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SERS\Downloads\"/>
    </mc:Choice>
  </mc:AlternateContent>
  <xr:revisionPtr revIDLastSave="0" documentId="13_ncr:1_{92EF6BD0-5250-411F-AACF-FE10CCFE0A21}" xr6:coauthVersionLast="47" xr6:coauthVersionMax="47" xr10:uidLastSave="{00000000-0000-0000-0000-000000000000}"/>
  <bookViews>
    <workbookView xWindow="10584" yWindow="0" windowWidth="12552" windowHeight="14496" tabRatio="500" activeTab="2" xr2:uid="{00000000-000D-0000-FFFF-FFFF00000000}"/>
  </bookViews>
  <sheets>
    <sheet name="Summary" sheetId="1" r:id="rId1"/>
    <sheet name="Data" sheetId="6" r:id="rId2"/>
    <sheet name="Data 1" sheetId="9" r:id="rId3"/>
    <sheet name="Monthly" sheetId="2" r:id="rId4"/>
    <sheet name="Seasonal" sheetId="3" r:id="rId5"/>
    <sheet name="Products" sheetId="4" r:id="rId6"/>
    <sheet name="ABC-XYZ" sheetId="5" r:id="rId7"/>
    <sheet name="Pareto" sheetId="7" r:id="rId8"/>
  </sheets>
  <definedNames>
    <definedName name="_xlnm._FilterDatabase" localSheetId="1" hidden="1">Data!$A$1:$P$2379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G363" i="9" l="1" a="1"/>
  <c r="BG363" i="9" s="1"/>
  <c r="BC363" i="9"/>
  <c r="BB363" i="9"/>
  <c r="BA363" i="9"/>
  <c r="AZ363" i="9"/>
  <c r="AX363" i="9"/>
  <c r="AV363" i="9"/>
  <c r="AU363" i="9"/>
  <c r="AT363" i="9"/>
  <c r="BE363" i="9" s="1"/>
  <c r="AS363" i="9"/>
  <c r="BD363" i="9" s="1"/>
  <c r="AR363" i="9"/>
  <c r="AQ363" i="9"/>
  <c r="AP363" i="9"/>
  <c r="AO363" i="9"/>
  <c r="AN363" i="9"/>
  <c r="AY363" i="9" s="1"/>
  <c r="AM363" i="9"/>
  <c r="AL363" i="9"/>
  <c r="AW363" i="9" s="1"/>
  <c r="AK363" i="9"/>
  <c r="AJ363" i="9"/>
  <c r="B363" i="9"/>
  <c r="BG362" i="9"/>
  <c r="BG362" i="9" a="1"/>
  <c r="BE362" i="9"/>
  <c r="BD362" i="9"/>
  <c r="BC362" i="9"/>
  <c r="AX362" i="9"/>
  <c r="AW362" i="9"/>
  <c r="AV362" i="9"/>
  <c r="BF362" i="9" s="1"/>
  <c r="AU362" i="9"/>
  <c r="AT362" i="9"/>
  <c r="AS362" i="9"/>
  <c r="AR362" i="9"/>
  <c r="AQ362" i="9"/>
  <c r="BB362" i="9" s="1"/>
  <c r="AP362" i="9"/>
  <c r="BA362" i="9" s="1"/>
  <c r="AO362" i="9"/>
  <c r="AZ362" i="9" s="1"/>
  <c r="AN362" i="9"/>
  <c r="AY362" i="9" s="1"/>
  <c r="AM362" i="9"/>
  <c r="AL362" i="9"/>
  <c r="AK362" i="9"/>
  <c r="AJ362" i="9"/>
  <c r="B362" i="9"/>
  <c r="BG361" i="9" a="1"/>
  <c r="BG361" i="9" s="1"/>
  <c r="BE361" i="9"/>
  <c r="BD361" i="9"/>
  <c r="BB361" i="9"/>
  <c r="AX361" i="9"/>
  <c r="AW361" i="9"/>
  <c r="AT361" i="9"/>
  <c r="AS361" i="9"/>
  <c r="AR361" i="9"/>
  <c r="BC361" i="9" s="1"/>
  <c r="AQ361" i="9"/>
  <c r="AP361" i="9"/>
  <c r="BA361" i="9" s="1"/>
  <c r="AO361" i="9"/>
  <c r="AZ361" i="9" s="1"/>
  <c r="AN361" i="9"/>
  <c r="AY361" i="9" s="1"/>
  <c r="AM361" i="9"/>
  <c r="AL361" i="9"/>
  <c r="AK361" i="9"/>
  <c r="AV361" i="9" s="1"/>
  <c r="AJ361" i="9"/>
  <c r="AU361" i="9" s="1"/>
  <c r="BF361" i="9" s="1"/>
  <c r="B361" i="9"/>
  <c r="BG360" i="9"/>
  <c r="BG360" i="9" a="1"/>
  <c r="BA360" i="9"/>
  <c r="AZ360" i="9"/>
  <c r="AY360" i="9"/>
  <c r="AX360" i="9"/>
  <c r="AW360" i="9"/>
  <c r="AV360" i="9"/>
  <c r="AU360" i="9"/>
  <c r="AT360" i="9"/>
  <c r="BE360" i="9" s="1"/>
  <c r="AS360" i="9"/>
  <c r="BD360" i="9" s="1"/>
  <c r="AR360" i="9"/>
  <c r="BC360" i="9" s="1"/>
  <c r="AQ360" i="9"/>
  <c r="BB360" i="9" s="1"/>
  <c r="AP360" i="9"/>
  <c r="AO360" i="9"/>
  <c r="AN360" i="9"/>
  <c r="AM360" i="9"/>
  <c r="AL360" i="9"/>
  <c r="AK360" i="9"/>
  <c r="AJ360" i="9"/>
  <c r="B360" i="9"/>
  <c r="BG359" i="9" a="1"/>
  <c r="BG359" i="9" s="1"/>
  <c r="BD359" i="9"/>
  <c r="BA359" i="9"/>
  <c r="AU359" i="9"/>
  <c r="AT359" i="9"/>
  <c r="BE359" i="9" s="1"/>
  <c r="AS359" i="9"/>
  <c r="AR359" i="9"/>
  <c r="BC359" i="9" s="1"/>
  <c r="AQ359" i="9"/>
  <c r="BB359" i="9" s="1"/>
  <c r="AP359" i="9"/>
  <c r="AO359" i="9"/>
  <c r="AZ359" i="9" s="1"/>
  <c r="AN359" i="9"/>
  <c r="AY359" i="9" s="1"/>
  <c r="AM359" i="9"/>
  <c r="AX359" i="9" s="1"/>
  <c r="AL359" i="9"/>
  <c r="AW359" i="9" s="1"/>
  <c r="AK359" i="9"/>
  <c r="AV359" i="9" s="1"/>
  <c r="BF359" i="9" s="1"/>
  <c r="AJ359" i="9"/>
  <c r="B359" i="9"/>
  <c r="BG358" i="9" a="1"/>
  <c r="BG358" i="9" s="1"/>
  <c r="BE358" i="9"/>
  <c r="BD358" i="9"/>
  <c r="BC358" i="9"/>
  <c r="BB358" i="9"/>
  <c r="BA358" i="9"/>
  <c r="AY358" i="9"/>
  <c r="AW358" i="9"/>
  <c r="AU358" i="9"/>
  <c r="BF358" i="9" s="1"/>
  <c r="AT358" i="9"/>
  <c r="AS358" i="9"/>
  <c r="AR358" i="9"/>
  <c r="AQ358" i="9"/>
  <c r="AP358" i="9"/>
  <c r="AO358" i="9"/>
  <c r="AZ358" i="9" s="1"/>
  <c r="AN358" i="9"/>
  <c r="AM358" i="9"/>
  <c r="AX358" i="9" s="1"/>
  <c r="AL358" i="9"/>
  <c r="AK358" i="9"/>
  <c r="AV358" i="9" s="1"/>
  <c r="AJ358" i="9"/>
  <c r="B358" i="9"/>
  <c r="BG357" i="9" a="1"/>
  <c r="BG357" i="9" s="1"/>
  <c r="BE357" i="9"/>
  <c r="AY357" i="9"/>
  <c r="AX357" i="9"/>
  <c r="AW357" i="9"/>
  <c r="AV357" i="9"/>
  <c r="AU357" i="9"/>
  <c r="AT357" i="9"/>
  <c r="AS357" i="9"/>
  <c r="BD357" i="9" s="1"/>
  <c r="AR357" i="9"/>
  <c r="BC357" i="9" s="1"/>
  <c r="AQ357" i="9"/>
  <c r="BB357" i="9" s="1"/>
  <c r="AP357" i="9"/>
  <c r="BA357" i="9" s="1"/>
  <c r="AO357" i="9"/>
  <c r="AZ357" i="9" s="1"/>
  <c r="AN357" i="9"/>
  <c r="AM357" i="9"/>
  <c r="AL357" i="9"/>
  <c r="AK357" i="9"/>
  <c r="AJ357" i="9"/>
  <c r="B357" i="9"/>
  <c r="BG356" i="9" a="1"/>
  <c r="BG356" i="9" s="1"/>
  <c r="BC356" i="9"/>
  <c r="BF356" i="9" s="1"/>
  <c r="AZ356" i="9"/>
  <c r="AY356" i="9"/>
  <c r="AT356" i="9"/>
  <c r="BE356" i="9" s="1"/>
  <c r="AS356" i="9"/>
  <c r="BD356" i="9" s="1"/>
  <c r="AR356" i="9"/>
  <c r="AQ356" i="9"/>
  <c r="BB356" i="9" s="1"/>
  <c r="AP356" i="9"/>
  <c r="BA356" i="9" s="1"/>
  <c r="AO356" i="9"/>
  <c r="AN356" i="9"/>
  <c r="AM356" i="9"/>
  <c r="AX356" i="9" s="1"/>
  <c r="AL356" i="9"/>
  <c r="AW356" i="9" s="1"/>
  <c r="AK356" i="9"/>
  <c r="AV356" i="9" s="1"/>
  <c r="AJ356" i="9"/>
  <c r="AU356" i="9" s="1"/>
  <c r="B356" i="9"/>
  <c r="BG355" i="9" a="1"/>
  <c r="BG355" i="9" s="1"/>
  <c r="BC355" i="9"/>
  <c r="BB355" i="9"/>
  <c r="BA355" i="9"/>
  <c r="AZ355" i="9"/>
  <c r="AY355" i="9"/>
  <c r="AW355" i="9"/>
  <c r="AV355" i="9"/>
  <c r="AT355" i="9"/>
  <c r="BE355" i="9" s="1"/>
  <c r="AS355" i="9"/>
  <c r="BD355" i="9" s="1"/>
  <c r="AR355" i="9"/>
  <c r="AQ355" i="9"/>
  <c r="AP355" i="9"/>
  <c r="AO355" i="9"/>
  <c r="AN355" i="9"/>
  <c r="AM355" i="9"/>
  <c r="AX355" i="9" s="1"/>
  <c r="AL355" i="9"/>
  <c r="AK355" i="9"/>
  <c r="AJ355" i="9"/>
  <c r="AU355" i="9" s="1"/>
  <c r="B355" i="9"/>
  <c r="BG354" i="9"/>
  <c r="BG354" i="9" a="1"/>
  <c r="AX354" i="9"/>
  <c r="AW354" i="9"/>
  <c r="AV354" i="9"/>
  <c r="AU354" i="9"/>
  <c r="AT354" i="9"/>
  <c r="BE354" i="9" s="1"/>
  <c r="AS354" i="9"/>
  <c r="BD354" i="9" s="1"/>
  <c r="AR354" i="9"/>
  <c r="BC354" i="9" s="1"/>
  <c r="AQ354" i="9"/>
  <c r="BB354" i="9" s="1"/>
  <c r="AP354" i="9"/>
  <c r="BA354" i="9" s="1"/>
  <c r="AO354" i="9"/>
  <c r="AZ354" i="9" s="1"/>
  <c r="AN354" i="9"/>
  <c r="AY354" i="9" s="1"/>
  <c r="AM354" i="9"/>
  <c r="AL354" i="9"/>
  <c r="AK354" i="9"/>
  <c r="AJ354" i="9"/>
  <c r="B354" i="9"/>
  <c r="BG353" i="9"/>
  <c r="BG353" i="9" a="1"/>
  <c r="BE353" i="9"/>
  <c r="BD353" i="9"/>
  <c r="BC353" i="9"/>
  <c r="BB353" i="9"/>
  <c r="AZ353" i="9"/>
  <c r="BF353" i="9" s="1"/>
  <c r="AX353" i="9"/>
  <c r="AT353" i="9"/>
  <c r="AS353" i="9"/>
  <c r="AR353" i="9"/>
  <c r="AQ353" i="9"/>
  <c r="AP353" i="9"/>
  <c r="BA353" i="9" s="1"/>
  <c r="AO353" i="9"/>
  <c r="AN353" i="9"/>
  <c r="AY353" i="9" s="1"/>
  <c r="AM353" i="9"/>
  <c r="AL353" i="9"/>
  <c r="AW353" i="9" s="1"/>
  <c r="AK353" i="9"/>
  <c r="AV353" i="9" s="1"/>
  <c r="AJ353" i="9"/>
  <c r="AU353" i="9" s="1"/>
  <c r="B353" i="9"/>
  <c r="BG352" i="9"/>
  <c r="BG352" i="9" a="1"/>
  <c r="BB352" i="9"/>
  <c r="BA352" i="9"/>
  <c r="AZ352" i="9"/>
  <c r="AY352" i="9"/>
  <c r="AX352" i="9"/>
  <c r="AW352" i="9"/>
  <c r="AT352" i="9"/>
  <c r="BE352" i="9" s="1"/>
  <c r="AS352" i="9"/>
  <c r="BD352" i="9" s="1"/>
  <c r="AR352" i="9"/>
  <c r="BC352" i="9" s="1"/>
  <c r="AQ352" i="9"/>
  <c r="AP352" i="9"/>
  <c r="AO352" i="9"/>
  <c r="AN352" i="9"/>
  <c r="AM352" i="9"/>
  <c r="AL352" i="9"/>
  <c r="AK352" i="9"/>
  <c r="AV352" i="9" s="1"/>
  <c r="AJ352" i="9"/>
  <c r="AU352" i="9" s="1"/>
  <c r="B352" i="9"/>
  <c r="BG351" i="9" a="1"/>
  <c r="BG351" i="9" s="1"/>
  <c r="BB351" i="9"/>
  <c r="BA351" i="9"/>
  <c r="AV351" i="9"/>
  <c r="BF351" i="9" s="1"/>
  <c r="AU351" i="9"/>
  <c r="AT351" i="9"/>
  <c r="BE351" i="9" s="1"/>
  <c r="AS351" i="9"/>
  <c r="BD351" i="9" s="1"/>
  <c r="AR351" i="9"/>
  <c r="BC351" i="9" s="1"/>
  <c r="AQ351" i="9"/>
  <c r="AP351" i="9"/>
  <c r="AO351" i="9"/>
  <c r="AZ351" i="9" s="1"/>
  <c r="AN351" i="9"/>
  <c r="AY351" i="9" s="1"/>
  <c r="AM351" i="9"/>
  <c r="AX351" i="9" s="1"/>
  <c r="AL351" i="9"/>
  <c r="AW351" i="9" s="1"/>
  <c r="AK351" i="9"/>
  <c r="AJ351" i="9"/>
  <c r="B351" i="9"/>
  <c r="BG350" i="9" a="1"/>
  <c r="BG350" i="9" s="1"/>
  <c r="BE350" i="9"/>
  <c r="BC350" i="9"/>
  <c r="BB350" i="9"/>
  <c r="BA350" i="9"/>
  <c r="AU350" i="9"/>
  <c r="AT350" i="9"/>
  <c r="AS350" i="9"/>
  <c r="BD350" i="9" s="1"/>
  <c r="AR350" i="9"/>
  <c r="AQ350" i="9"/>
  <c r="AP350" i="9"/>
  <c r="AO350" i="9"/>
  <c r="AZ350" i="9" s="1"/>
  <c r="AN350" i="9"/>
  <c r="AY350" i="9" s="1"/>
  <c r="AM350" i="9"/>
  <c r="AX350" i="9" s="1"/>
  <c r="AL350" i="9"/>
  <c r="AW350" i="9" s="1"/>
  <c r="AK350" i="9"/>
  <c r="AV350" i="9" s="1"/>
  <c r="AJ350" i="9"/>
  <c r="B350" i="9"/>
  <c r="BG349" i="9" a="1"/>
  <c r="BG349" i="9" s="1"/>
  <c r="BA349" i="9"/>
  <c r="AZ349" i="9"/>
  <c r="AY349" i="9"/>
  <c r="AW349" i="9"/>
  <c r="AU349" i="9"/>
  <c r="AT349" i="9"/>
  <c r="BE349" i="9" s="1"/>
  <c r="AS349" i="9"/>
  <c r="BD349" i="9" s="1"/>
  <c r="AR349" i="9"/>
  <c r="BC349" i="9" s="1"/>
  <c r="AQ349" i="9"/>
  <c r="BB349" i="9" s="1"/>
  <c r="AP349" i="9"/>
  <c r="AO349" i="9"/>
  <c r="AN349" i="9"/>
  <c r="AM349" i="9"/>
  <c r="AX349" i="9" s="1"/>
  <c r="AL349" i="9"/>
  <c r="AK349" i="9"/>
  <c r="AV349" i="9" s="1"/>
  <c r="AJ349" i="9"/>
  <c r="B349" i="9"/>
  <c r="BG348" i="9" a="1"/>
  <c r="BG348" i="9" s="1"/>
  <c r="BE348" i="9"/>
  <c r="BD348" i="9"/>
  <c r="BC348" i="9"/>
  <c r="BB348" i="9"/>
  <c r="BA348" i="9"/>
  <c r="AW348" i="9"/>
  <c r="AT348" i="9"/>
  <c r="AS348" i="9"/>
  <c r="AR348" i="9"/>
  <c r="AQ348" i="9"/>
  <c r="AP348" i="9"/>
  <c r="AO348" i="9"/>
  <c r="AZ348" i="9" s="1"/>
  <c r="AN348" i="9"/>
  <c r="AY348" i="9" s="1"/>
  <c r="AM348" i="9"/>
  <c r="AX348" i="9" s="1"/>
  <c r="AL348" i="9"/>
  <c r="AK348" i="9"/>
  <c r="AV348" i="9" s="1"/>
  <c r="AJ348" i="9"/>
  <c r="AU348" i="9" s="1"/>
  <c r="B348" i="9"/>
  <c r="BG347" i="9" a="1"/>
  <c r="BG347" i="9" s="1"/>
  <c r="BD347" i="9"/>
  <c r="BC347" i="9"/>
  <c r="BA347" i="9"/>
  <c r="AZ347" i="9"/>
  <c r="AW347" i="9"/>
  <c r="AU347" i="9"/>
  <c r="AT347" i="9"/>
  <c r="BE347" i="9" s="1"/>
  <c r="AS347" i="9"/>
  <c r="AR347" i="9"/>
  <c r="AQ347" i="9"/>
  <c r="BB347" i="9" s="1"/>
  <c r="AP347" i="9"/>
  <c r="AO347" i="9"/>
  <c r="AN347" i="9"/>
  <c r="AY347" i="9" s="1"/>
  <c r="AM347" i="9"/>
  <c r="AX347" i="9" s="1"/>
  <c r="AL347" i="9"/>
  <c r="AK347" i="9"/>
  <c r="AV347" i="9" s="1"/>
  <c r="AJ347" i="9"/>
  <c r="B347" i="9"/>
  <c r="BG346" i="9" a="1"/>
  <c r="BG346" i="9" s="1"/>
  <c r="BE346" i="9"/>
  <c r="BC346" i="9"/>
  <c r="AW346" i="9"/>
  <c r="AV346" i="9"/>
  <c r="AU346" i="9"/>
  <c r="AT346" i="9"/>
  <c r="AS346" i="9"/>
  <c r="BD346" i="9" s="1"/>
  <c r="AR346" i="9"/>
  <c r="AQ346" i="9"/>
  <c r="BB346" i="9" s="1"/>
  <c r="AP346" i="9"/>
  <c r="BA346" i="9" s="1"/>
  <c r="AO346" i="9"/>
  <c r="AZ346" i="9" s="1"/>
  <c r="AN346" i="9"/>
  <c r="AY346" i="9" s="1"/>
  <c r="AM346" i="9"/>
  <c r="AX346" i="9" s="1"/>
  <c r="AL346" i="9"/>
  <c r="AK346" i="9"/>
  <c r="AJ346" i="9"/>
  <c r="B346" i="9"/>
  <c r="BG345" i="9" a="1"/>
  <c r="BG345" i="9" s="1"/>
  <c r="BE345" i="9"/>
  <c r="BC345" i="9"/>
  <c r="BB345" i="9"/>
  <c r="BA345" i="9"/>
  <c r="AY345" i="9"/>
  <c r="AX345" i="9"/>
  <c r="AU345" i="9"/>
  <c r="AT345" i="9"/>
  <c r="AS345" i="9"/>
  <c r="BD345" i="9" s="1"/>
  <c r="AR345" i="9"/>
  <c r="AQ345" i="9"/>
  <c r="AP345" i="9"/>
  <c r="AO345" i="9"/>
  <c r="AZ345" i="9" s="1"/>
  <c r="AN345" i="9"/>
  <c r="AM345" i="9"/>
  <c r="AL345" i="9"/>
  <c r="AW345" i="9" s="1"/>
  <c r="AK345" i="9"/>
  <c r="AV345" i="9" s="1"/>
  <c r="AJ345" i="9"/>
  <c r="B345" i="9"/>
  <c r="BG344" i="9" a="1"/>
  <c r="BG344" i="9" s="1"/>
  <c r="BA344" i="9"/>
  <c r="AY344" i="9"/>
  <c r="AW344" i="9"/>
  <c r="AV344" i="9"/>
  <c r="AT344" i="9"/>
  <c r="BE344" i="9" s="1"/>
  <c r="AS344" i="9"/>
  <c r="BD344" i="9" s="1"/>
  <c r="AR344" i="9"/>
  <c r="BC344" i="9" s="1"/>
  <c r="AQ344" i="9"/>
  <c r="BB344" i="9" s="1"/>
  <c r="AP344" i="9"/>
  <c r="AO344" i="9"/>
  <c r="AZ344" i="9" s="1"/>
  <c r="AN344" i="9"/>
  <c r="AM344" i="9"/>
  <c r="AX344" i="9" s="1"/>
  <c r="AL344" i="9"/>
  <c r="AK344" i="9"/>
  <c r="AJ344" i="9"/>
  <c r="AU344" i="9" s="1"/>
  <c r="B344" i="9"/>
  <c r="BG343" i="9" a="1"/>
  <c r="BG343" i="9" s="1"/>
  <c r="BB343" i="9"/>
  <c r="BA343" i="9"/>
  <c r="AY343" i="9"/>
  <c r="AV343" i="9"/>
  <c r="AU343" i="9"/>
  <c r="AT343" i="9"/>
  <c r="BE343" i="9" s="1"/>
  <c r="AS343" i="9"/>
  <c r="BD343" i="9" s="1"/>
  <c r="AR343" i="9"/>
  <c r="BC343" i="9" s="1"/>
  <c r="AQ343" i="9"/>
  <c r="AP343" i="9"/>
  <c r="AO343" i="9"/>
  <c r="AZ343" i="9" s="1"/>
  <c r="AN343" i="9"/>
  <c r="AM343" i="9"/>
  <c r="AX343" i="9" s="1"/>
  <c r="AL343" i="9"/>
  <c r="AW343" i="9" s="1"/>
  <c r="AK343" i="9"/>
  <c r="AJ343" i="9"/>
  <c r="B343" i="9"/>
  <c r="BG342" i="9" a="1"/>
  <c r="BG342" i="9" s="1"/>
  <c r="BE342" i="9"/>
  <c r="BD342" i="9"/>
  <c r="BC342" i="9"/>
  <c r="BB342" i="9"/>
  <c r="AU342" i="9"/>
  <c r="AT342" i="9"/>
  <c r="AS342" i="9"/>
  <c r="AR342" i="9"/>
  <c r="AQ342" i="9"/>
  <c r="AP342" i="9"/>
  <c r="BA342" i="9" s="1"/>
  <c r="AO342" i="9"/>
  <c r="AZ342" i="9" s="1"/>
  <c r="AN342" i="9"/>
  <c r="AY342" i="9" s="1"/>
  <c r="AM342" i="9"/>
  <c r="AX342" i="9" s="1"/>
  <c r="AL342" i="9"/>
  <c r="AW342" i="9" s="1"/>
  <c r="AK342" i="9"/>
  <c r="AV342" i="9" s="1"/>
  <c r="BF342" i="9" s="1"/>
  <c r="AJ342" i="9"/>
  <c r="B342" i="9"/>
  <c r="BG341" i="9"/>
  <c r="BG341" i="9" a="1"/>
  <c r="BC341" i="9"/>
  <c r="AY341" i="9"/>
  <c r="AW341" i="9"/>
  <c r="AV341" i="9"/>
  <c r="AU341" i="9"/>
  <c r="AT341" i="9"/>
  <c r="BE341" i="9" s="1"/>
  <c r="AS341" i="9"/>
  <c r="BD341" i="9" s="1"/>
  <c r="AR341" i="9"/>
  <c r="AQ341" i="9"/>
  <c r="BB341" i="9" s="1"/>
  <c r="AP341" i="9"/>
  <c r="BA341" i="9" s="1"/>
  <c r="AO341" i="9"/>
  <c r="AZ341" i="9" s="1"/>
  <c r="AN341" i="9"/>
  <c r="AM341" i="9"/>
  <c r="AX341" i="9" s="1"/>
  <c r="AL341" i="9"/>
  <c r="AK341" i="9"/>
  <c r="AJ341" i="9"/>
  <c r="B341" i="9"/>
  <c r="BG340" i="9" a="1"/>
  <c r="BG340" i="9" s="1"/>
  <c r="BE340" i="9"/>
  <c r="BD340" i="9"/>
  <c r="BC340" i="9"/>
  <c r="AZ340" i="9"/>
  <c r="AY340" i="9"/>
  <c r="AU340" i="9"/>
  <c r="BF340" i="9" s="1"/>
  <c r="AT340" i="9"/>
  <c r="AS340" i="9"/>
  <c r="AR340" i="9"/>
  <c r="AQ340" i="9"/>
  <c r="BB340" i="9" s="1"/>
  <c r="AP340" i="9"/>
  <c r="BA340" i="9" s="1"/>
  <c r="AO340" i="9"/>
  <c r="AN340" i="9"/>
  <c r="AM340" i="9"/>
  <c r="AX340" i="9" s="1"/>
  <c r="AL340" i="9"/>
  <c r="AW340" i="9" s="1"/>
  <c r="AK340" i="9"/>
  <c r="AV340" i="9" s="1"/>
  <c r="AJ340" i="9"/>
  <c r="B340" i="9"/>
  <c r="BG339" i="9" a="1"/>
  <c r="BG339" i="9" s="1"/>
  <c r="BE339" i="9"/>
  <c r="BC339" i="9"/>
  <c r="BB339" i="9"/>
  <c r="BA339" i="9"/>
  <c r="AY339" i="9"/>
  <c r="AW339" i="9"/>
  <c r="AU339" i="9"/>
  <c r="AT339" i="9"/>
  <c r="AS339" i="9"/>
  <c r="BD339" i="9" s="1"/>
  <c r="AR339" i="9"/>
  <c r="AQ339" i="9"/>
  <c r="AP339" i="9"/>
  <c r="AO339" i="9"/>
  <c r="AZ339" i="9" s="1"/>
  <c r="AN339" i="9"/>
  <c r="AM339" i="9"/>
  <c r="AX339" i="9" s="1"/>
  <c r="AL339" i="9"/>
  <c r="AK339" i="9"/>
  <c r="AV339" i="9" s="1"/>
  <c r="AJ339" i="9"/>
  <c r="B339" i="9"/>
  <c r="BG338" i="9" a="1"/>
  <c r="BG338" i="9" s="1"/>
  <c r="BE338" i="9"/>
  <c r="BC338" i="9"/>
  <c r="AX338" i="9"/>
  <c r="AW338" i="9"/>
  <c r="AU338" i="9"/>
  <c r="AT338" i="9"/>
  <c r="AS338" i="9"/>
  <c r="BD338" i="9" s="1"/>
  <c r="AR338" i="9"/>
  <c r="AQ338" i="9"/>
  <c r="BB338" i="9" s="1"/>
  <c r="AP338" i="9"/>
  <c r="BA338" i="9" s="1"/>
  <c r="AO338" i="9"/>
  <c r="AZ338" i="9" s="1"/>
  <c r="AN338" i="9"/>
  <c r="AY338" i="9" s="1"/>
  <c r="AM338" i="9"/>
  <c r="AL338" i="9"/>
  <c r="AK338" i="9"/>
  <c r="AV338" i="9" s="1"/>
  <c r="AJ338" i="9"/>
  <c r="B338" i="9"/>
  <c r="BG337" i="9"/>
  <c r="BG337" i="9" a="1"/>
  <c r="BE337" i="9"/>
  <c r="BD337" i="9"/>
  <c r="BC337" i="9"/>
  <c r="BB337" i="9"/>
  <c r="AZ337" i="9"/>
  <c r="AY337" i="9"/>
  <c r="AX337" i="9"/>
  <c r="AW337" i="9"/>
  <c r="AT337" i="9"/>
  <c r="AS337" i="9"/>
  <c r="AR337" i="9"/>
  <c r="AQ337" i="9"/>
  <c r="AP337" i="9"/>
  <c r="BA337" i="9" s="1"/>
  <c r="AO337" i="9"/>
  <c r="AN337" i="9"/>
  <c r="AM337" i="9"/>
  <c r="AL337" i="9"/>
  <c r="AK337" i="9"/>
  <c r="AV337" i="9" s="1"/>
  <c r="AJ337" i="9"/>
  <c r="AU337" i="9" s="1"/>
  <c r="B337" i="9"/>
  <c r="BG336" i="9"/>
  <c r="BG336" i="9" a="1"/>
  <c r="BE336" i="9"/>
  <c r="BB336" i="9"/>
  <c r="BA336" i="9"/>
  <c r="AY336" i="9"/>
  <c r="AX336" i="9"/>
  <c r="AV336" i="9"/>
  <c r="AU336" i="9"/>
  <c r="AT336" i="9"/>
  <c r="AS336" i="9"/>
  <c r="BD336" i="9" s="1"/>
  <c r="AR336" i="9"/>
  <c r="BC336" i="9" s="1"/>
  <c r="AQ336" i="9"/>
  <c r="AP336" i="9"/>
  <c r="AO336" i="9"/>
  <c r="AZ336" i="9" s="1"/>
  <c r="AN336" i="9"/>
  <c r="AM336" i="9"/>
  <c r="AL336" i="9"/>
  <c r="AW336" i="9" s="1"/>
  <c r="AK336" i="9"/>
  <c r="AJ336" i="9"/>
  <c r="B336" i="9"/>
  <c r="BG335" i="9"/>
  <c r="BG335" i="9" a="1"/>
  <c r="BD335" i="9"/>
  <c r="BC335" i="9"/>
  <c r="BA335" i="9"/>
  <c r="AY335" i="9"/>
  <c r="AU335" i="9"/>
  <c r="AT335" i="9"/>
  <c r="BE335" i="9" s="1"/>
  <c r="AS335" i="9"/>
  <c r="AR335" i="9"/>
  <c r="AQ335" i="9"/>
  <c r="BB335" i="9" s="1"/>
  <c r="AP335" i="9"/>
  <c r="AO335" i="9"/>
  <c r="AZ335" i="9" s="1"/>
  <c r="AN335" i="9"/>
  <c r="AM335" i="9"/>
  <c r="AX335" i="9" s="1"/>
  <c r="AL335" i="9"/>
  <c r="AW335" i="9" s="1"/>
  <c r="AK335" i="9"/>
  <c r="AV335" i="9" s="1"/>
  <c r="BF335" i="9" s="1"/>
  <c r="AJ335" i="9"/>
  <c r="B335" i="9"/>
  <c r="BG334" i="9" a="1"/>
  <c r="BG334" i="9" s="1"/>
  <c r="BE334" i="9"/>
  <c r="BC334" i="9"/>
  <c r="AZ334" i="9"/>
  <c r="AW334" i="9"/>
  <c r="AV334" i="9"/>
  <c r="AU334" i="9"/>
  <c r="AT334" i="9"/>
  <c r="AS334" i="9"/>
  <c r="BD334" i="9" s="1"/>
  <c r="AR334" i="9"/>
  <c r="AQ334" i="9"/>
  <c r="BB334" i="9" s="1"/>
  <c r="AP334" i="9"/>
  <c r="BA334" i="9" s="1"/>
  <c r="AO334" i="9"/>
  <c r="AN334" i="9"/>
  <c r="AY334" i="9" s="1"/>
  <c r="AM334" i="9"/>
  <c r="AX334" i="9" s="1"/>
  <c r="AL334" i="9"/>
  <c r="AK334" i="9"/>
  <c r="AJ334" i="9"/>
  <c r="B334" i="9"/>
  <c r="BG333" i="9" a="1"/>
  <c r="BG333" i="9" s="1"/>
  <c r="BE333" i="9"/>
  <c r="BA333" i="9"/>
  <c r="AY333" i="9"/>
  <c r="AX333" i="9"/>
  <c r="AW333" i="9"/>
  <c r="AV333" i="9"/>
  <c r="AU333" i="9"/>
  <c r="AT333" i="9"/>
  <c r="AS333" i="9"/>
  <c r="BD333" i="9" s="1"/>
  <c r="AR333" i="9"/>
  <c r="BC333" i="9" s="1"/>
  <c r="AQ333" i="9"/>
  <c r="BB333" i="9" s="1"/>
  <c r="AP333" i="9"/>
  <c r="AO333" i="9"/>
  <c r="AZ333" i="9" s="1"/>
  <c r="AN333" i="9"/>
  <c r="AM333" i="9"/>
  <c r="AL333" i="9"/>
  <c r="AK333" i="9"/>
  <c r="AJ333" i="9"/>
  <c r="B333" i="9"/>
  <c r="BG332" i="9"/>
  <c r="BG332" i="9" a="1"/>
  <c r="BE332" i="9"/>
  <c r="BB332" i="9"/>
  <c r="AY332" i="9"/>
  <c r="BF332" i="9" s="1"/>
  <c r="AW332" i="9"/>
  <c r="AT332" i="9"/>
  <c r="AS332" i="9"/>
  <c r="BD332" i="9" s="1"/>
  <c r="AR332" i="9"/>
  <c r="BC332" i="9" s="1"/>
  <c r="AQ332" i="9"/>
  <c r="AP332" i="9"/>
  <c r="BA332" i="9" s="1"/>
  <c r="AO332" i="9"/>
  <c r="AZ332" i="9" s="1"/>
  <c r="AN332" i="9"/>
  <c r="AM332" i="9"/>
  <c r="AX332" i="9" s="1"/>
  <c r="AL332" i="9"/>
  <c r="AK332" i="9"/>
  <c r="AV332" i="9" s="1"/>
  <c r="AJ332" i="9"/>
  <c r="AU332" i="9" s="1"/>
  <c r="B332" i="9"/>
  <c r="BG331" i="9" a="1"/>
  <c r="BG331" i="9" s="1"/>
  <c r="BE331" i="9"/>
  <c r="BD331" i="9"/>
  <c r="BC331" i="9"/>
  <c r="BA331" i="9"/>
  <c r="AY331" i="9"/>
  <c r="AX331" i="9"/>
  <c r="AV331" i="9"/>
  <c r="AU331" i="9"/>
  <c r="AT331" i="9"/>
  <c r="AS331" i="9"/>
  <c r="AR331" i="9"/>
  <c r="AQ331" i="9"/>
  <c r="BB331" i="9" s="1"/>
  <c r="AP331" i="9"/>
  <c r="AO331" i="9"/>
  <c r="AZ331" i="9" s="1"/>
  <c r="AN331" i="9"/>
  <c r="AM331" i="9"/>
  <c r="AL331" i="9"/>
  <c r="AW331" i="9" s="1"/>
  <c r="AK331" i="9"/>
  <c r="AJ331" i="9"/>
  <c r="B331" i="9"/>
  <c r="BG330" i="9"/>
  <c r="BG330" i="9" a="1"/>
  <c r="BA330" i="9"/>
  <c r="AY330" i="9"/>
  <c r="AW330" i="9"/>
  <c r="AV330" i="9"/>
  <c r="AU330" i="9"/>
  <c r="BF330" i="9" s="1"/>
  <c r="AT330" i="9"/>
  <c r="BE330" i="9" s="1"/>
  <c r="AS330" i="9"/>
  <c r="BD330" i="9" s="1"/>
  <c r="AR330" i="9"/>
  <c r="BC330" i="9" s="1"/>
  <c r="AQ330" i="9"/>
  <c r="BB330" i="9" s="1"/>
  <c r="AP330" i="9"/>
  <c r="AO330" i="9"/>
  <c r="AZ330" i="9" s="1"/>
  <c r="AN330" i="9"/>
  <c r="AM330" i="9"/>
  <c r="AX330" i="9" s="1"/>
  <c r="AL330" i="9"/>
  <c r="AK330" i="9"/>
  <c r="AJ330" i="9"/>
  <c r="B330" i="9"/>
  <c r="BG329" i="9" a="1"/>
  <c r="BG329" i="9" s="1"/>
  <c r="BE329" i="9"/>
  <c r="BC329" i="9"/>
  <c r="BB329" i="9"/>
  <c r="AZ329" i="9"/>
  <c r="AW329" i="9"/>
  <c r="AT329" i="9"/>
  <c r="AS329" i="9"/>
  <c r="BD329" i="9" s="1"/>
  <c r="AR329" i="9"/>
  <c r="AQ329" i="9"/>
  <c r="AP329" i="9"/>
  <c r="BA329" i="9" s="1"/>
  <c r="AO329" i="9"/>
  <c r="AN329" i="9"/>
  <c r="AY329" i="9" s="1"/>
  <c r="AM329" i="9"/>
  <c r="AX329" i="9" s="1"/>
  <c r="AL329" i="9"/>
  <c r="AK329" i="9"/>
  <c r="AV329" i="9" s="1"/>
  <c r="AJ329" i="9"/>
  <c r="AU329" i="9" s="1"/>
  <c r="B329" i="9"/>
  <c r="BG328" i="9" a="1"/>
  <c r="BG328" i="9" s="1"/>
  <c r="BA328" i="9"/>
  <c r="AY328" i="9"/>
  <c r="AX328" i="9"/>
  <c r="AW328" i="9"/>
  <c r="AV328" i="9"/>
  <c r="AU328" i="9"/>
  <c r="AT328" i="9"/>
  <c r="BE328" i="9" s="1"/>
  <c r="AS328" i="9"/>
  <c r="BD328" i="9" s="1"/>
  <c r="AR328" i="9"/>
  <c r="BC328" i="9" s="1"/>
  <c r="AQ328" i="9"/>
  <c r="BB328" i="9" s="1"/>
  <c r="AP328" i="9"/>
  <c r="AO328" i="9"/>
  <c r="AZ328" i="9" s="1"/>
  <c r="AN328" i="9"/>
  <c r="AM328" i="9"/>
  <c r="AL328" i="9"/>
  <c r="AK328" i="9"/>
  <c r="AJ328" i="9"/>
  <c r="B328" i="9"/>
  <c r="BG327" i="9"/>
  <c r="BG327" i="9" a="1"/>
  <c r="BF327" i="9"/>
  <c r="BE327" i="9"/>
  <c r="BC327" i="9"/>
  <c r="BB327" i="9"/>
  <c r="BA327" i="9"/>
  <c r="AY327" i="9"/>
  <c r="AW327" i="9"/>
  <c r="AU327" i="9"/>
  <c r="AT327" i="9"/>
  <c r="AS327" i="9"/>
  <c r="BD327" i="9" s="1"/>
  <c r="AR327" i="9"/>
  <c r="AQ327" i="9"/>
  <c r="AP327" i="9"/>
  <c r="AO327" i="9"/>
  <c r="AZ327" i="9" s="1"/>
  <c r="AN327" i="9"/>
  <c r="AM327" i="9"/>
  <c r="AX327" i="9" s="1"/>
  <c r="AL327" i="9"/>
  <c r="AK327" i="9"/>
  <c r="AV327" i="9" s="1"/>
  <c r="AJ327" i="9"/>
  <c r="B327" i="9"/>
  <c r="BG326" i="9" a="1"/>
  <c r="BG326" i="9" s="1"/>
  <c r="BE326" i="9"/>
  <c r="BC326" i="9"/>
  <c r="BA326" i="9"/>
  <c r="AY326" i="9"/>
  <c r="AX326" i="9"/>
  <c r="AV326" i="9"/>
  <c r="AU326" i="9"/>
  <c r="AT326" i="9"/>
  <c r="AS326" i="9"/>
  <c r="BD326" i="9" s="1"/>
  <c r="AR326" i="9"/>
  <c r="AQ326" i="9"/>
  <c r="BB326" i="9" s="1"/>
  <c r="AP326" i="9"/>
  <c r="AO326" i="9"/>
  <c r="AZ326" i="9" s="1"/>
  <c r="AN326" i="9"/>
  <c r="AM326" i="9"/>
  <c r="AL326" i="9"/>
  <c r="AW326" i="9" s="1"/>
  <c r="AK326" i="9"/>
  <c r="AJ326" i="9"/>
  <c r="B326" i="9"/>
  <c r="BG325" i="9" a="1"/>
  <c r="BG325" i="9" s="1"/>
  <c r="BC325" i="9"/>
  <c r="BA325" i="9"/>
  <c r="AZ325" i="9"/>
  <c r="AY325" i="9"/>
  <c r="AX325" i="9"/>
  <c r="AW325" i="9"/>
  <c r="AT325" i="9"/>
  <c r="BE325" i="9" s="1"/>
  <c r="AS325" i="9"/>
  <c r="BD325" i="9" s="1"/>
  <c r="AR325" i="9"/>
  <c r="AQ325" i="9"/>
  <c r="BB325" i="9" s="1"/>
  <c r="AP325" i="9"/>
  <c r="AO325" i="9"/>
  <c r="AN325" i="9"/>
  <c r="AM325" i="9"/>
  <c r="AL325" i="9"/>
  <c r="AK325" i="9"/>
  <c r="AV325" i="9" s="1"/>
  <c r="AJ325" i="9"/>
  <c r="AU325" i="9" s="1"/>
  <c r="B325" i="9"/>
  <c r="BG324" i="9"/>
  <c r="BG324" i="9" a="1"/>
  <c r="BD324" i="9"/>
  <c r="BC324" i="9"/>
  <c r="BA324" i="9"/>
  <c r="AY324" i="9"/>
  <c r="AU324" i="9"/>
  <c r="AT324" i="9"/>
  <c r="BE324" i="9" s="1"/>
  <c r="AS324" i="9"/>
  <c r="AR324" i="9"/>
  <c r="AQ324" i="9"/>
  <c r="BB324" i="9" s="1"/>
  <c r="AP324" i="9"/>
  <c r="AO324" i="9"/>
  <c r="AZ324" i="9" s="1"/>
  <c r="AN324" i="9"/>
  <c r="AM324" i="9"/>
  <c r="AX324" i="9" s="1"/>
  <c r="AL324" i="9"/>
  <c r="AW324" i="9" s="1"/>
  <c r="AK324" i="9"/>
  <c r="AV324" i="9" s="1"/>
  <c r="AJ324" i="9"/>
  <c r="B324" i="9"/>
  <c r="BG323" i="9" a="1"/>
  <c r="BG323" i="9" s="1"/>
  <c r="BC323" i="9"/>
  <c r="BA323" i="9"/>
  <c r="AY323" i="9"/>
  <c r="AW323" i="9"/>
  <c r="AT323" i="9"/>
  <c r="BE323" i="9" s="1"/>
  <c r="AS323" i="9"/>
  <c r="BD323" i="9" s="1"/>
  <c r="AR323" i="9"/>
  <c r="AQ323" i="9"/>
  <c r="BB323" i="9" s="1"/>
  <c r="AP323" i="9"/>
  <c r="AO323" i="9"/>
  <c r="AZ323" i="9" s="1"/>
  <c r="AN323" i="9"/>
  <c r="AM323" i="9"/>
  <c r="AX323" i="9" s="1"/>
  <c r="AL323" i="9"/>
  <c r="AK323" i="9"/>
  <c r="AV323" i="9" s="1"/>
  <c r="AJ323" i="9"/>
  <c r="AU323" i="9" s="1"/>
  <c r="B323" i="9"/>
  <c r="BG322" i="9" a="1"/>
  <c r="BG322" i="9" s="1"/>
  <c r="AY322" i="9"/>
  <c r="AX322" i="9"/>
  <c r="AW322" i="9"/>
  <c r="AV322" i="9"/>
  <c r="AU322" i="9"/>
  <c r="AT322" i="9"/>
  <c r="BE322" i="9" s="1"/>
  <c r="AS322" i="9"/>
  <c r="BD322" i="9" s="1"/>
  <c r="AR322" i="9"/>
  <c r="BC322" i="9" s="1"/>
  <c r="AQ322" i="9"/>
  <c r="BB322" i="9" s="1"/>
  <c r="AP322" i="9"/>
  <c r="BA322" i="9" s="1"/>
  <c r="AO322" i="9"/>
  <c r="AZ322" i="9" s="1"/>
  <c r="AN322" i="9"/>
  <c r="AM322" i="9"/>
  <c r="AL322" i="9"/>
  <c r="AK322" i="9"/>
  <c r="AJ322" i="9"/>
  <c r="B322" i="9"/>
  <c r="BG321" i="9" a="1"/>
  <c r="BG321" i="9" s="1"/>
  <c r="BE321" i="9"/>
  <c r="BD321" i="9"/>
  <c r="BC321" i="9"/>
  <c r="BB321" i="9"/>
  <c r="AT321" i="9"/>
  <c r="AS321" i="9"/>
  <c r="AR321" i="9"/>
  <c r="AQ321" i="9"/>
  <c r="AP321" i="9"/>
  <c r="BA321" i="9" s="1"/>
  <c r="AO321" i="9"/>
  <c r="AZ321" i="9" s="1"/>
  <c r="AN321" i="9"/>
  <c r="AY321" i="9" s="1"/>
  <c r="AM321" i="9"/>
  <c r="AX321" i="9" s="1"/>
  <c r="AL321" i="9"/>
  <c r="AW321" i="9" s="1"/>
  <c r="AK321" i="9"/>
  <c r="AV321" i="9" s="1"/>
  <c r="AJ321" i="9"/>
  <c r="AU321" i="9" s="1"/>
  <c r="B321" i="9"/>
  <c r="BG320" i="9"/>
  <c r="BG320" i="9" a="1"/>
  <c r="BC320" i="9"/>
  <c r="BA320" i="9"/>
  <c r="AZ320" i="9"/>
  <c r="AY320" i="9"/>
  <c r="AW320" i="9"/>
  <c r="AV320" i="9"/>
  <c r="AU320" i="9"/>
  <c r="AT320" i="9"/>
  <c r="BE320" i="9" s="1"/>
  <c r="AS320" i="9"/>
  <c r="BD320" i="9" s="1"/>
  <c r="AR320" i="9"/>
  <c r="AQ320" i="9"/>
  <c r="BB320" i="9" s="1"/>
  <c r="AP320" i="9"/>
  <c r="AO320" i="9"/>
  <c r="AN320" i="9"/>
  <c r="AM320" i="9"/>
  <c r="AX320" i="9" s="1"/>
  <c r="AL320" i="9"/>
  <c r="AK320" i="9"/>
  <c r="AJ320" i="9"/>
  <c r="B320" i="9"/>
  <c r="BG319" i="9" a="1"/>
  <c r="BG319" i="9" s="1"/>
  <c r="BE319" i="9"/>
  <c r="BD319" i="9"/>
  <c r="BC319" i="9"/>
  <c r="BB319" i="9"/>
  <c r="BA319" i="9"/>
  <c r="AY319" i="9"/>
  <c r="AU319" i="9"/>
  <c r="AT319" i="9"/>
  <c r="AS319" i="9"/>
  <c r="AR319" i="9"/>
  <c r="AQ319" i="9"/>
  <c r="AP319" i="9"/>
  <c r="AO319" i="9"/>
  <c r="AZ319" i="9" s="1"/>
  <c r="AN319" i="9"/>
  <c r="AM319" i="9"/>
  <c r="AX319" i="9" s="1"/>
  <c r="AL319" i="9"/>
  <c r="AW319" i="9" s="1"/>
  <c r="BF319" i="9" s="1"/>
  <c r="AK319" i="9"/>
  <c r="AV319" i="9" s="1"/>
  <c r="AJ319" i="9"/>
  <c r="B319" i="9"/>
  <c r="BG318" i="9" a="1"/>
  <c r="BG318" i="9" s="1"/>
  <c r="BE318" i="9"/>
  <c r="BD318" i="9"/>
  <c r="BC318" i="9"/>
  <c r="BA318" i="9"/>
  <c r="AZ318" i="9"/>
  <c r="AX318" i="9"/>
  <c r="AW318" i="9"/>
  <c r="AV318" i="9"/>
  <c r="AU318" i="9"/>
  <c r="AT318" i="9"/>
  <c r="AS318" i="9"/>
  <c r="AR318" i="9"/>
  <c r="AQ318" i="9"/>
  <c r="BB318" i="9" s="1"/>
  <c r="AP318" i="9"/>
  <c r="AO318" i="9"/>
  <c r="AN318" i="9"/>
  <c r="AY318" i="9" s="1"/>
  <c r="AM318" i="9"/>
  <c r="AL318" i="9"/>
  <c r="AK318" i="9"/>
  <c r="AJ318" i="9"/>
  <c r="B318" i="9"/>
  <c r="BG317" i="9"/>
  <c r="BG317" i="9" a="1"/>
  <c r="BE317" i="9"/>
  <c r="BC317" i="9"/>
  <c r="BF317" i="9" s="1"/>
  <c r="BA317" i="9"/>
  <c r="AZ317" i="9"/>
  <c r="AY317" i="9"/>
  <c r="AW317" i="9"/>
  <c r="AU317" i="9"/>
  <c r="AT317" i="9"/>
  <c r="AS317" i="9"/>
  <c r="BD317" i="9" s="1"/>
  <c r="AR317" i="9"/>
  <c r="AQ317" i="9"/>
  <c r="BB317" i="9" s="1"/>
  <c r="AP317" i="9"/>
  <c r="AO317" i="9"/>
  <c r="AN317" i="9"/>
  <c r="AM317" i="9"/>
  <c r="AX317" i="9" s="1"/>
  <c r="AL317" i="9"/>
  <c r="AK317" i="9"/>
  <c r="AV317" i="9" s="1"/>
  <c r="AJ317" i="9"/>
  <c r="B317" i="9"/>
  <c r="BG316" i="9" a="1"/>
  <c r="BG316" i="9" s="1"/>
  <c r="BC316" i="9"/>
  <c r="BA316" i="9"/>
  <c r="AZ316" i="9"/>
  <c r="AW316" i="9"/>
  <c r="AU316" i="9"/>
  <c r="AT316" i="9"/>
  <c r="BE316" i="9" s="1"/>
  <c r="AS316" i="9"/>
  <c r="BD316" i="9" s="1"/>
  <c r="AR316" i="9"/>
  <c r="AQ316" i="9"/>
  <c r="BB316" i="9" s="1"/>
  <c r="AP316" i="9"/>
  <c r="AO316" i="9"/>
  <c r="AN316" i="9"/>
  <c r="AY316" i="9" s="1"/>
  <c r="AM316" i="9"/>
  <c r="AX316" i="9" s="1"/>
  <c r="BF316" i="9" s="1"/>
  <c r="AL316" i="9"/>
  <c r="AK316" i="9"/>
  <c r="AV316" i="9" s="1"/>
  <c r="AJ316" i="9"/>
  <c r="B316" i="9"/>
  <c r="BG315" i="9" a="1"/>
  <c r="BG315" i="9" s="1"/>
  <c r="BE315" i="9"/>
  <c r="BD315" i="9"/>
  <c r="BC315" i="9"/>
  <c r="BB315" i="9"/>
  <c r="BA315" i="9"/>
  <c r="AV315" i="9"/>
  <c r="AT315" i="9"/>
  <c r="AS315" i="9"/>
  <c r="AR315" i="9"/>
  <c r="AQ315" i="9"/>
  <c r="AP315" i="9"/>
  <c r="AO315" i="9"/>
  <c r="AZ315" i="9" s="1"/>
  <c r="AN315" i="9"/>
  <c r="AY315" i="9" s="1"/>
  <c r="AM315" i="9"/>
  <c r="AX315" i="9" s="1"/>
  <c r="AL315" i="9"/>
  <c r="AW315" i="9" s="1"/>
  <c r="AK315" i="9"/>
  <c r="AJ315" i="9"/>
  <c r="AU315" i="9" s="1"/>
  <c r="B315" i="9"/>
  <c r="BG314" i="9" a="1"/>
  <c r="BG314" i="9" s="1"/>
  <c r="BA314" i="9"/>
  <c r="AY314" i="9"/>
  <c r="AX314" i="9"/>
  <c r="AW314" i="9"/>
  <c r="AU314" i="9"/>
  <c r="AT314" i="9"/>
  <c r="BE314" i="9" s="1"/>
  <c r="AS314" i="9"/>
  <c r="BD314" i="9" s="1"/>
  <c r="AR314" i="9"/>
  <c r="BC314" i="9" s="1"/>
  <c r="AQ314" i="9"/>
  <c r="BB314" i="9" s="1"/>
  <c r="AP314" i="9"/>
  <c r="AO314" i="9"/>
  <c r="AZ314" i="9" s="1"/>
  <c r="AN314" i="9"/>
  <c r="AM314" i="9"/>
  <c r="AL314" i="9"/>
  <c r="AK314" i="9"/>
  <c r="AV314" i="9" s="1"/>
  <c r="AJ314" i="9"/>
  <c r="B314" i="9"/>
  <c r="BG313" i="9" a="1"/>
  <c r="BG313" i="9" s="1"/>
  <c r="BE313" i="9"/>
  <c r="BD313" i="9"/>
  <c r="BB313" i="9"/>
  <c r="AX313" i="9"/>
  <c r="AT313" i="9"/>
  <c r="AS313" i="9"/>
  <c r="AR313" i="9"/>
  <c r="BC313" i="9" s="1"/>
  <c r="AQ313" i="9"/>
  <c r="AP313" i="9"/>
  <c r="BA313" i="9" s="1"/>
  <c r="AO313" i="9"/>
  <c r="AZ313" i="9" s="1"/>
  <c r="AN313" i="9"/>
  <c r="AY313" i="9" s="1"/>
  <c r="AM313" i="9"/>
  <c r="AL313" i="9"/>
  <c r="AW313" i="9" s="1"/>
  <c r="AK313" i="9"/>
  <c r="AV313" i="9" s="1"/>
  <c r="AJ313" i="9"/>
  <c r="AU313" i="9" s="1"/>
  <c r="B313" i="9"/>
  <c r="BG312" i="9" a="1"/>
  <c r="BG312" i="9" s="1"/>
  <c r="BB312" i="9"/>
  <c r="BA312" i="9"/>
  <c r="AZ312" i="9"/>
  <c r="AY312" i="9"/>
  <c r="AX312" i="9"/>
  <c r="AV312" i="9"/>
  <c r="AU312" i="9"/>
  <c r="AT312" i="9"/>
  <c r="BE312" i="9" s="1"/>
  <c r="AS312" i="9"/>
  <c r="BD312" i="9" s="1"/>
  <c r="AR312" i="9"/>
  <c r="BC312" i="9" s="1"/>
  <c r="AQ312" i="9"/>
  <c r="AP312" i="9"/>
  <c r="AO312" i="9"/>
  <c r="AN312" i="9"/>
  <c r="AM312" i="9"/>
  <c r="AL312" i="9"/>
  <c r="AW312" i="9" s="1"/>
  <c r="AK312" i="9"/>
  <c r="AJ312" i="9"/>
  <c r="B312" i="9"/>
  <c r="BG311" i="9"/>
  <c r="BG311" i="9" a="1"/>
  <c r="BE311" i="9"/>
  <c r="BD311" i="9"/>
  <c r="BC311" i="9"/>
  <c r="BB311" i="9"/>
  <c r="AU311" i="9"/>
  <c r="AT311" i="9"/>
  <c r="AS311" i="9"/>
  <c r="AR311" i="9"/>
  <c r="AQ311" i="9"/>
  <c r="AP311" i="9"/>
  <c r="BA311" i="9" s="1"/>
  <c r="AO311" i="9"/>
  <c r="AZ311" i="9" s="1"/>
  <c r="AN311" i="9"/>
  <c r="AY311" i="9" s="1"/>
  <c r="AM311" i="9"/>
  <c r="AX311" i="9" s="1"/>
  <c r="AL311" i="9"/>
  <c r="AW311" i="9" s="1"/>
  <c r="AK311" i="9"/>
  <c r="AV311" i="9" s="1"/>
  <c r="BF311" i="9" s="1"/>
  <c r="AJ311" i="9"/>
  <c r="B311" i="9"/>
  <c r="BG310" i="9" a="1"/>
  <c r="BG310" i="9" s="1"/>
  <c r="BE310" i="9"/>
  <c r="BC310" i="9"/>
  <c r="BB310" i="9"/>
  <c r="AZ310" i="9"/>
  <c r="AY310" i="9"/>
  <c r="AX310" i="9"/>
  <c r="AW310" i="9"/>
  <c r="AV310" i="9"/>
  <c r="AU310" i="9"/>
  <c r="BF310" i="9" s="1"/>
  <c r="AT310" i="9"/>
  <c r="AS310" i="9"/>
  <c r="BD310" i="9" s="1"/>
  <c r="AR310" i="9"/>
  <c r="AQ310" i="9"/>
  <c r="AP310" i="9"/>
  <c r="BA310" i="9" s="1"/>
  <c r="AO310" i="9"/>
  <c r="AN310" i="9"/>
  <c r="AM310" i="9"/>
  <c r="AL310" i="9"/>
  <c r="AK310" i="9"/>
  <c r="AJ310" i="9"/>
  <c r="B310" i="9"/>
  <c r="BG309" i="9"/>
  <c r="BG309" i="9" a="1"/>
  <c r="BE309" i="9"/>
  <c r="BC309" i="9"/>
  <c r="AY309" i="9"/>
  <c r="AX309" i="9"/>
  <c r="AW309" i="9"/>
  <c r="AU309" i="9"/>
  <c r="AT309" i="9"/>
  <c r="AS309" i="9"/>
  <c r="BD309" i="9" s="1"/>
  <c r="AR309" i="9"/>
  <c r="AQ309" i="9"/>
  <c r="BB309" i="9" s="1"/>
  <c r="AP309" i="9"/>
  <c r="BA309" i="9" s="1"/>
  <c r="AO309" i="9"/>
  <c r="AZ309" i="9" s="1"/>
  <c r="AN309" i="9"/>
  <c r="AM309" i="9"/>
  <c r="AL309" i="9"/>
  <c r="AK309" i="9"/>
  <c r="AV309" i="9" s="1"/>
  <c r="AJ309" i="9"/>
  <c r="B309" i="9"/>
  <c r="BG308" i="9"/>
  <c r="BG308" i="9" a="1"/>
  <c r="BC308" i="9"/>
  <c r="BB308" i="9"/>
  <c r="AY308" i="9"/>
  <c r="AW308" i="9"/>
  <c r="AT308" i="9"/>
  <c r="BE308" i="9" s="1"/>
  <c r="AS308" i="9"/>
  <c r="BD308" i="9" s="1"/>
  <c r="AR308" i="9"/>
  <c r="AQ308" i="9"/>
  <c r="AP308" i="9"/>
  <c r="BA308" i="9" s="1"/>
  <c r="AO308" i="9"/>
  <c r="AZ308" i="9" s="1"/>
  <c r="AN308" i="9"/>
  <c r="AM308" i="9"/>
  <c r="AX308" i="9" s="1"/>
  <c r="AL308" i="9"/>
  <c r="AK308" i="9"/>
  <c r="AV308" i="9" s="1"/>
  <c r="AJ308" i="9"/>
  <c r="AU308" i="9" s="1"/>
  <c r="BF308" i="9" s="1"/>
  <c r="B308" i="9"/>
  <c r="BG307" i="9" a="1"/>
  <c r="BG307" i="9" s="1"/>
  <c r="BE307" i="9"/>
  <c r="BC307" i="9"/>
  <c r="BA307" i="9"/>
  <c r="AW307" i="9"/>
  <c r="AU307" i="9"/>
  <c r="AT307" i="9"/>
  <c r="AS307" i="9"/>
  <c r="BD307" i="9" s="1"/>
  <c r="AR307" i="9"/>
  <c r="AQ307" i="9"/>
  <c r="BB307" i="9" s="1"/>
  <c r="AP307" i="9"/>
  <c r="AO307" i="9"/>
  <c r="AZ307" i="9" s="1"/>
  <c r="AN307" i="9"/>
  <c r="AY307" i="9" s="1"/>
  <c r="AM307" i="9"/>
  <c r="AX307" i="9" s="1"/>
  <c r="AL307" i="9"/>
  <c r="AK307" i="9"/>
  <c r="AV307" i="9" s="1"/>
  <c r="AJ307" i="9"/>
  <c r="B307" i="9"/>
  <c r="BG306" i="9" a="1"/>
  <c r="BG306" i="9" s="1"/>
  <c r="BE306" i="9"/>
  <c r="BC306" i="9"/>
  <c r="BA306" i="9"/>
  <c r="AY306" i="9"/>
  <c r="AW306" i="9"/>
  <c r="AV306" i="9"/>
  <c r="AU306" i="9"/>
  <c r="AT306" i="9"/>
  <c r="AS306" i="9"/>
  <c r="BD306" i="9" s="1"/>
  <c r="AR306" i="9"/>
  <c r="AQ306" i="9"/>
  <c r="BB306" i="9" s="1"/>
  <c r="AP306" i="9"/>
  <c r="AO306" i="9"/>
  <c r="AZ306" i="9" s="1"/>
  <c r="AN306" i="9"/>
  <c r="AM306" i="9"/>
  <c r="AX306" i="9" s="1"/>
  <c r="AL306" i="9"/>
  <c r="AK306" i="9"/>
  <c r="AJ306" i="9"/>
  <c r="B306" i="9"/>
  <c r="BG305" i="9" a="1"/>
  <c r="BG305" i="9" s="1"/>
  <c r="BE305" i="9"/>
  <c r="BC305" i="9"/>
  <c r="AU305" i="9"/>
  <c r="AT305" i="9"/>
  <c r="AS305" i="9"/>
  <c r="BD305" i="9" s="1"/>
  <c r="AR305" i="9"/>
  <c r="AQ305" i="9"/>
  <c r="BB305" i="9" s="1"/>
  <c r="AP305" i="9"/>
  <c r="BA305" i="9" s="1"/>
  <c r="BF305" i="9" s="1"/>
  <c r="AO305" i="9"/>
  <c r="AZ305" i="9" s="1"/>
  <c r="AN305" i="9"/>
  <c r="AY305" i="9" s="1"/>
  <c r="AM305" i="9"/>
  <c r="AX305" i="9" s="1"/>
  <c r="AL305" i="9"/>
  <c r="AW305" i="9" s="1"/>
  <c r="AK305" i="9"/>
  <c r="AV305" i="9" s="1"/>
  <c r="AJ305" i="9"/>
  <c r="B305" i="9"/>
  <c r="BG304" i="9"/>
  <c r="BG304" i="9" a="1"/>
  <c r="BC304" i="9"/>
  <c r="BA304" i="9"/>
  <c r="AZ304" i="9"/>
  <c r="AY304" i="9"/>
  <c r="AX304" i="9"/>
  <c r="AW304" i="9"/>
  <c r="AV304" i="9"/>
  <c r="AU304" i="9"/>
  <c r="AT304" i="9"/>
  <c r="BE304" i="9" s="1"/>
  <c r="AS304" i="9"/>
  <c r="BD304" i="9" s="1"/>
  <c r="AR304" i="9"/>
  <c r="AQ304" i="9"/>
  <c r="BB304" i="9" s="1"/>
  <c r="AP304" i="9"/>
  <c r="AO304" i="9"/>
  <c r="AN304" i="9"/>
  <c r="AM304" i="9"/>
  <c r="AL304" i="9"/>
  <c r="AK304" i="9"/>
  <c r="AJ304" i="9"/>
  <c r="B304" i="9"/>
  <c r="BG303" i="9" a="1"/>
  <c r="BG303" i="9" s="1"/>
  <c r="BE303" i="9"/>
  <c r="BF303" i="9" s="1"/>
  <c r="BD303" i="9"/>
  <c r="BA303" i="9"/>
  <c r="AV303" i="9"/>
  <c r="AU303" i="9"/>
  <c r="AT303" i="9"/>
  <c r="AS303" i="9"/>
  <c r="AR303" i="9"/>
  <c r="BC303" i="9" s="1"/>
  <c r="AQ303" i="9"/>
  <c r="BB303" i="9" s="1"/>
  <c r="AP303" i="9"/>
  <c r="AO303" i="9"/>
  <c r="AZ303" i="9" s="1"/>
  <c r="AN303" i="9"/>
  <c r="AY303" i="9" s="1"/>
  <c r="AM303" i="9"/>
  <c r="AX303" i="9" s="1"/>
  <c r="AL303" i="9"/>
  <c r="AW303" i="9" s="1"/>
  <c r="AK303" i="9"/>
  <c r="AJ303" i="9"/>
  <c r="B303" i="9"/>
  <c r="BG302" i="9" a="1"/>
  <c r="BG302" i="9" s="1"/>
  <c r="BE302" i="9"/>
  <c r="BD302" i="9"/>
  <c r="BC302" i="9"/>
  <c r="BA302" i="9"/>
  <c r="AZ302" i="9"/>
  <c r="AY302" i="9"/>
  <c r="AX302" i="9"/>
  <c r="AV302" i="9"/>
  <c r="AU302" i="9"/>
  <c r="AT302" i="9"/>
  <c r="AS302" i="9"/>
  <c r="AR302" i="9"/>
  <c r="AQ302" i="9"/>
  <c r="BB302" i="9" s="1"/>
  <c r="AP302" i="9"/>
  <c r="AO302" i="9"/>
  <c r="AN302" i="9"/>
  <c r="AM302" i="9"/>
  <c r="AL302" i="9"/>
  <c r="AW302" i="9" s="1"/>
  <c r="AK302" i="9"/>
  <c r="AJ302" i="9"/>
  <c r="B302" i="9"/>
  <c r="BG301" i="9" a="1"/>
  <c r="BG301" i="9" s="1"/>
  <c r="BE301" i="9"/>
  <c r="AZ301" i="9"/>
  <c r="AY301" i="9"/>
  <c r="AW301" i="9"/>
  <c r="AV301" i="9"/>
  <c r="AU301" i="9"/>
  <c r="AT301" i="9"/>
  <c r="AS301" i="9"/>
  <c r="BD301" i="9" s="1"/>
  <c r="AR301" i="9"/>
  <c r="BC301" i="9" s="1"/>
  <c r="AQ301" i="9"/>
  <c r="BB301" i="9" s="1"/>
  <c r="AP301" i="9"/>
  <c r="BA301" i="9" s="1"/>
  <c r="AO301" i="9"/>
  <c r="AN301" i="9"/>
  <c r="AM301" i="9"/>
  <c r="AX301" i="9" s="1"/>
  <c r="AL301" i="9"/>
  <c r="AK301" i="9"/>
  <c r="AJ301" i="9"/>
  <c r="B301" i="9"/>
  <c r="BG300" i="9" a="1"/>
  <c r="BG300" i="9" s="1"/>
  <c r="BE300" i="9"/>
  <c r="BD300" i="9"/>
  <c r="BC300" i="9"/>
  <c r="BA300" i="9"/>
  <c r="AY300" i="9"/>
  <c r="AU300" i="9"/>
  <c r="BF300" i="9" s="1"/>
  <c r="AT300" i="9"/>
  <c r="AS300" i="9"/>
  <c r="AR300" i="9"/>
  <c r="AQ300" i="9"/>
  <c r="BB300" i="9" s="1"/>
  <c r="AP300" i="9"/>
  <c r="AO300" i="9"/>
  <c r="AZ300" i="9" s="1"/>
  <c r="AN300" i="9"/>
  <c r="AM300" i="9"/>
  <c r="AX300" i="9" s="1"/>
  <c r="AL300" i="9"/>
  <c r="AW300" i="9" s="1"/>
  <c r="AK300" i="9"/>
  <c r="AV300" i="9" s="1"/>
  <c r="AJ300" i="9"/>
  <c r="B300" i="9"/>
  <c r="BG299" i="9" a="1"/>
  <c r="BG299" i="9" s="1"/>
  <c r="BE299" i="9"/>
  <c r="BC299" i="9"/>
  <c r="BA299" i="9"/>
  <c r="AZ299" i="9"/>
  <c r="AY299" i="9"/>
  <c r="AW299" i="9"/>
  <c r="AV299" i="9"/>
  <c r="AU299" i="9"/>
  <c r="AT299" i="9"/>
  <c r="AS299" i="9"/>
  <c r="BD299" i="9" s="1"/>
  <c r="AR299" i="9"/>
  <c r="AQ299" i="9"/>
  <c r="BB299" i="9" s="1"/>
  <c r="AP299" i="9"/>
  <c r="AO299" i="9"/>
  <c r="AN299" i="9"/>
  <c r="AM299" i="9"/>
  <c r="AX299" i="9" s="1"/>
  <c r="AL299" i="9"/>
  <c r="AK299" i="9"/>
  <c r="AJ299" i="9"/>
  <c r="B299" i="9"/>
  <c r="BG298" i="9" a="1"/>
  <c r="BG298" i="9" s="1"/>
  <c r="BE298" i="9"/>
  <c r="BD298" i="9"/>
  <c r="BC298" i="9"/>
  <c r="BA298" i="9"/>
  <c r="AY298" i="9"/>
  <c r="AW298" i="9"/>
  <c r="AU298" i="9"/>
  <c r="AT298" i="9"/>
  <c r="AS298" i="9"/>
  <c r="AR298" i="9"/>
  <c r="AQ298" i="9"/>
  <c r="BB298" i="9" s="1"/>
  <c r="AP298" i="9"/>
  <c r="AO298" i="9"/>
  <c r="AZ298" i="9" s="1"/>
  <c r="AN298" i="9"/>
  <c r="AM298" i="9"/>
  <c r="AX298" i="9" s="1"/>
  <c r="AL298" i="9"/>
  <c r="AK298" i="9"/>
  <c r="AV298" i="9" s="1"/>
  <c r="AJ298" i="9"/>
  <c r="B298" i="9"/>
  <c r="BG297" i="9" a="1"/>
  <c r="BG297" i="9" s="1"/>
  <c r="BE297" i="9"/>
  <c r="AX297" i="9"/>
  <c r="AW297" i="9"/>
  <c r="AU297" i="9"/>
  <c r="AT297" i="9"/>
  <c r="AS297" i="9"/>
  <c r="BD297" i="9" s="1"/>
  <c r="AR297" i="9"/>
  <c r="BC297" i="9" s="1"/>
  <c r="AQ297" i="9"/>
  <c r="BB297" i="9" s="1"/>
  <c r="AP297" i="9"/>
  <c r="BA297" i="9" s="1"/>
  <c r="AO297" i="9"/>
  <c r="AZ297" i="9" s="1"/>
  <c r="AN297" i="9"/>
  <c r="AY297" i="9" s="1"/>
  <c r="AM297" i="9"/>
  <c r="AL297" i="9"/>
  <c r="AK297" i="9"/>
  <c r="AV297" i="9" s="1"/>
  <c r="AJ297" i="9"/>
  <c r="B297" i="9"/>
  <c r="BG296" i="9"/>
  <c r="BG296" i="9" a="1"/>
  <c r="BE296" i="9"/>
  <c r="BC296" i="9"/>
  <c r="BB296" i="9"/>
  <c r="BA296" i="9"/>
  <c r="AZ296" i="9"/>
  <c r="AY296" i="9"/>
  <c r="AX296" i="9"/>
  <c r="AV296" i="9"/>
  <c r="AT296" i="9"/>
  <c r="AS296" i="9"/>
  <c r="BD296" i="9" s="1"/>
  <c r="AR296" i="9"/>
  <c r="AQ296" i="9"/>
  <c r="AP296" i="9"/>
  <c r="AO296" i="9"/>
  <c r="AN296" i="9"/>
  <c r="AM296" i="9"/>
  <c r="AL296" i="9"/>
  <c r="AW296" i="9" s="1"/>
  <c r="AK296" i="9"/>
  <c r="AJ296" i="9"/>
  <c r="AU296" i="9" s="1"/>
  <c r="B296" i="9"/>
  <c r="BG295" i="9" a="1"/>
  <c r="BG295" i="9" s="1"/>
  <c r="BC295" i="9"/>
  <c r="AW295" i="9"/>
  <c r="AU295" i="9"/>
  <c r="AT295" i="9"/>
  <c r="BE295" i="9" s="1"/>
  <c r="AS295" i="9"/>
  <c r="BD295" i="9" s="1"/>
  <c r="AR295" i="9"/>
  <c r="AQ295" i="9"/>
  <c r="BB295" i="9" s="1"/>
  <c r="AP295" i="9"/>
  <c r="BA295" i="9" s="1"/>
  <c r="AO295" i="9"/>
  <c r="AZ295" i="9" s="1"/>
  <c r="AN295" i="9"/>
  <c r="AY295" i="9" s="1"/>
  <c r="AM295" i="9"/>
  <c r="AX295" i="9" s="1"/>
  <c r="AL295" i="9"/>
  <c r="AK295" i="9"/>
  <c r="AV295" i="9" s="1"/>
  <c r="AJ295" i="9"/>
  <c r="B295" i="9"/>
  <c r="BG294" i="9" a="1"/>
  <c r="BG294" i="9" s="1"/>
  <c r="BE294" i="9"/>
  <c r="BC294" i="9"/>
  <c r="BA294" i="9"/>
  <c r="AY294" i="9"/>
  <c r="AW294" i="9"/>
  <c r="AT294" i="9"/>
  <c r="AS294" i="9"/>
  <c r="BD294" i="9" s="1"/>
  <c r="AR294" i="9"/>
  <c r="AQ294" i="9"/>
  <c r="BB294" i="9" s="1"/>
  <c r="AP294" i="9"/>
  <c r="AO294" i="9"/>
  <c r="AZ294" i="9" s="1"/>
  <c r="AN294" i="9"/>
  <c r="AM294" i="9"/>
  <c r="AX294" i="9" s="1"/>
  <c r="AL294" i="9"/>
  <c r="AK294" i="9"/>
  <c r="AV294" i="9" s="1"/>
  <c r="AJ294" i="9"/>
  <c r="AU294" i="9" s="1"/>
  <c r="B294" i="9"/>
  <c r="BG293" i="9" a="1"/>
  <c r="BG293" i="9" s="1"/>
  <c r="BC293" i="9"/>
  <c r="BA293" i="9"/>
  <c r="AY293" i="9"/>
  <c r="AX293" i="9"/>
  <c r="AW293" i="9"/>
  <c r="AV293" i="9"/>
  <c r="AU293" i="9"/>
  <c r="AT293" i="9"/>
  <c r="BE293" i="9" s="1"/>
  <c r="AS293" i="9"/>
  <c r="BD293" i="9" s="1"/>
  <c r="AR293" i="9"/>
  <c r="AQ293" i="9"/>
  <c r="BB293" i="9" s="1"/>
  <c r="AP293" i="9"/>
  <c r="AO293" i="9"/>
  <c r="AZ293" i="9" s="1"/>
  <c r="AN293" i="9"/>
  <c r="AM293" i="9"/>
  <c r="AL293" i="9"/>
  <c r="AK293" i="9"/>
  <c r="AJ293" i="9"/>
  <c r="B293" i="9"/>
  <c r="BG292" i="9" a="1"/>
  <c r="BG292" i="9" s="1"/>
  <c r="BE292" i="9"/>
  <c r="BD292" i="9"/>
  <c r="BC292" i="9"/>
  <c r="BA292" i="9"/>
  <c r="AT292" i="9"/>
  <c r="AS292" i="9"/>
  <c r="AR292" i="9"/>
  <c r="AQ292" i="9"/>
  <c r="BB292" i="9" s="1"/>
  <c r="AP292" i="9"/>
  <c r="AO292" i="9"/>
  <c r="AZ292" i="9" s="1"/>
  <c r="AN292" i="9"/>
  <c r="AY292" i="9" s="1"/>
  <c r="AM292" i="9"/>
  <c r="AX292" i="9" s="1"/>
  <c r="AL292" i="9"/>
  <c r="AW292" i="9" s="1"/>
  <c r="AK292" i="9"/>
  <c r="AV292" i="9" s="1"/>
  <c r="AJ292" i="9"/>
  <c r="AU292" i="9" s="1"/>
  <c r="B292" i="9"/>
  <c r="BG291" i="9" a="1"/>
  <c r="BG291" i="9" s="1"/>
  <c r="BC291" i="9"/>
  <c r="BA291" i="9"/>
  <c r="AY291" i="9"/>
  <c r="AX291" i="9"/>
  <c r="AW291" i="9"/>
  <c r="AV291" i="9"/>
  <c r="AU291" i="9"/>
  <c r="AT291" i="9"/>
  <c r="BE291" i="9" s="1"/>
  <c r="AS291" i="9"/>
  <c r="BD291" i="9" s="1"/>
  <c r="AR291" i="9"/>
  <c r="AQ291" i="9"/>
  <c r="BB291" i="9" s="1"/>
  <c r="AP291" i="9"/>
  <c r="AO291" i="9"/>
  <c r="AZ291" i="9" s="1"/>
  <c r="AN291" i="9"/>
  <c r="AM291" i="9"/>
  <c r="AL291" i="9"/>
  <c r="AK291" i="9"/>
  <c r="AJ291" i="9"/>
  <c r="B291" i="9"/>
  <c r="BG290" i="9" a="1"/>
  <c r="BG290" i="9" s="1"/>
  <c r="BE290" i="9"/>
  <c r="BC290" i="9"/>
  <c r="BA290" i="9"/>
  <c r="AY290" i="9"/>
  <c r="AX290" i="9"/>
  <c r="AW290" i="9"/>
  <c r="AU290" i="9"/>
  <c r="AT290" i="9"/>
  <c r="AS290" i="9"/>
  <c r="BD290" i="9" s="1"/>
  <c r="AR290" i="9"/>
  <c r="AQ290" i="9"/>
  <c r="BB290" i="9" s="1"/>
  <c r="AP290" i="9"/>
  <c r="AO290" i="9"/>
  <c r="AZ290" i="9" s="1"/>
  <c r="AN290" i="9"/>
  <c r="AM290" i="9"/>
  <c r="AL290" i="9"/>
  <c r="AK290" i="9"/>
  <c r="AV290" i="9" s="1"/>
  <c r="AJ290" i="9"/>
  <c r="B290" i="9"/>
  <c r="BG289" i="9" a="1"/>
  <c r="BG289" i="9" s="1"/>
  <c r="BE289" i="9"/>
  <c r="BD289" i="9"/>
  <c r="AZ289" i="9"/>
  <c r="AY289" i="9"/>
  <c r="AT289" i="9"/>
  <c r="AS289" i="9"/>
  <c r="AR289" i="9"/>
  <c r="BC289" i="9" s="1"/>
  <c r="AQ289" i="9"/>
  <c r="BB289" i="9" s="1"/>
  <c r="AP289" i="9"/>
  <c r="BA289" i="9" s="1"/>
  <c r="AO289" i="9"/>
  <c r="AN289" i="9"/>
  <c r="AM289" i="9"/>
  <c r="AX289" i="9" s="1"/>
  <c r="AL289" i="9"/>
  <c r="AW289" i="9" s="1"/>
  <c r="AK289" i="9"/>
  <c r="AV289" i="9" s="1"/>
  <c r="AJ289" i="9"/>
  <c r="AU289" i="9" s="1"/>
  <c r="BF289" i="9" s="1"/>
  <c r="B289" i="9"/>
  <c r="BG288" i="9"/>
  <c r="BG288" i="9" a="1"/>
  <c r="BE288" i="9"/>
  <c r="BB288" i="9"/>
  <c r="BA288" i="9"/>
  <c r="AZ288" i="9"/>
  <c r="AY288" i="9"/>
  <c r="AX288" i="9"/>
  <c r="AU288" i="9"/>
  <c r="BF288" i="9" s="1"/>
  <c r="AT288" i="9"/>
  <c r="AS288" i="9"/>
  <c r="BD288" i="9" s="1"/>
  <c r="AR288" i="9"/>
  <c r="BC288" i="9" s="1"/>
  <c r="AQ288" i="9"/>
  <c r="AP288" i="9"/>
  <c r="AO288" i="9"/>
  <c r="AN288" i="9"/>
  <c r="AM288" i="9"/>
  <c r="AL288" i="9"/>
  <c r="AW288" i="9" s="1"/>
  <c r="AK288" i="9"/>
  <c r="AV288" i="9" s="1"/>
  <c r="AJ288" i="9"/>
  <c r="B288" i="9"/>
  <c r="BG287" i="9"/>
  <c r="BG287" i="9" a="1"/>
  <c r="BE287" i="9"/>
  <c r="AY287" i="9"/>
  <c r="AV287" i="9"/>
  <c r="AU287" i="9"/>
  <c r="AT287" i="9"/>
  <c r="AS287" i="9"/>
  <c r="BD287" i="9" s="1"/>
  <c r="AR287" i="9"/>
  <c r="BC287" i="9" s="1"/>
  <c r="AQ287" i="9"/>
  <c r="BB287" i="9" s="1"/>
  <c r="AP287" i="9"/>
  <c r="BA287" i="9" s="1"/>
  <c r="AO287" i="9"/>
  <c r="AZ287" i="9" s="1"/>
  <c r="AN287" i="9"/>
  <c r="AM287" i="9"/>
  <c r="AX287" i="9" s="1"/>
  <c r="AL287" i="9"/>
  <c r="AW287" i="9" s="1"/>
  <c r="AK287" i="9"/>
  <c r="AJ287" i="9"/>
  <c r="B287" i="9"/>
  <c r="BG286" i="9" a="1"/>
  <c r="BG286" i="9" s="1"/>
  <c r="BE286" i="9"/>
  <c r="BD286" i="9"/>
  <c r="BC286" i="9"/>
  <c r="BB286" i="9"/>
  <c r="AZ286" i="9"/>
  <c r="AV286" i="9"/>
  <c r="AU286" i="9"/>
  <c r="BF286" i="9" s="1"/>
  <c r="AT286" i="9"/>
  <c r="AS286" i="9"/>
  <c r="AR286" i="9"/>
  <c r="AQ286" i="9"/>
  <c r="AP286" i="9"/>
  <c r="BA286" i="9" s="1"/>
  <c r="AO286" i="9"/>
  <c r="AN286" i="9"/>
  <c r="AY286" i="9" s="1"/>
  <c r="AM286" i="9"/>
  <c r="AX286" i="9" s="1"/>
  <c r="AL286" i="9"/>
  <c r="AW286" i="9" s="1"/>
  <c r="AK286" i="9"/>
  <c r="AJ286" i="9"/>
  <c r="B286" i="9"/>
  <c r="BG285" i="9" a="1"/>
  <c r="BG285" i="9" s="1"/>
  <c r="BE285" i="9"/>
  <c r="BA285" i="9"/>
  <c r="AZ285" i="9"/>
  <c r="AY285" i="9"/>
  <c r="AX285" i="9"/>
  <c r="AW285" i="9"/>
  <c r="AT285" i="9"/>
  <c r="AS285" i="9"/>
  <c r="BD285" i="9" s="1"/>
  <c r="AR285" i="9"/>
  <c r="BC285" i="9" s="1"/>
  <c r="AQ285" i="9"/>
  <c r="BB285" i="9" s="1"/>
  <c r="AP285" i="9"/>
  <c r="AO285" i="9"/>
  <c r="AN285" i="9"/>
  <c r="AM285" i="9"/>
  <c r="AL285" i="9"/>
  <c r="AK285" i="9"/>
  <c r="AV285" i="9" s="1"/>
  <c r="AJ285" i="9"/>
  <c r="AU285" i="9" s="1"/>
  <c r="B285" i="9"/>
  <c r="BG284" i="9"/>
  <c r="BG284" i="9" a="1"/>
  <c r="BE284" i="9"/>
  <c r="BD284" i="9"/>
  <c r="AT284" i="9"/>
  <c r="AS284" i="9"/>
  <c r="AR284" i="9"/>
  <c r="BC284" i="9" s="1"/>
  <c r="AQ284" i="9"/>
  <c r="BB284" i="9" s="1"/>
  <c r="AP284" i="9"/>
  <c r="BA284" i="9" s="1"/>
  <c r="AO284" i="9"/>
  <c r="AZ284" i="9" s="1"/>
  <c r="AN284" i="9"/>
  <c r="AY284" i="9" s="1"/>
  <c r="AM284" i="9"/>
  <c r="AX284" i="9" s="1"/>
  <c r="AL284" i="9"/>
  <c r="AW284" i="9" s="1"/>
  <c r="AK284" i="9"/>
  <c r="AV284" i="9" s="1"/>
  <c r="BF284" i="9" s="1"/>
  <c r="AJ284" i="9"/>
  <c r="AU284" i="9" s="1"/>
  <c r="B284" i="9"/>
  <c r="BG283" i="9" a="1"/>
  <c r="BG283" i="9" s="1"/>
  <c r="BC283" i="9"/>
  <c r="BA283" i="9"/>
  <c r="AZ283" i="9"/>
  <c r="AX283" i="9"/>
  <c r="AW283" i="9"/>
  <c r="AV283" i="9"/>
  <c r="AU283" i="9"/>
  <c r="AT283" i="9"/>
  <c r="BE283" i="9" s="1"/>
  <c r="AS283" i="9"/>
  <c r="BD283" i="9" s="1"/>
  <c r="AR283" i="9"/>
  <c r="AQ283" i="9"/>
  <c r="BB283" i="9" s="1"/>
  <c r="AP283" i="9"/>
  <c r="AO283" i="9"/>
  <c r="AN283" i="9"/>
  <c r="AY283" i="9" s="1"/>
  <c r="AM283" i="9"/>
  <c r="AL283" i="9"/>
  <c r="AK283" i="9"/>
  <c r="AJ283" i="9"/>
  <c r="B283" i="9"/>
  <c r="BG282" i="9" a="1"/>
  <c r="BG282" i="9" s="1"/>
  <c r="BE282" i="9"/>
  <c r="BD282" i="9"/>
  <c r="BC282" i="9"/>
  <c r="BA282" i="9"/>
  <c r="AY282" i="9"/>
  <c r="AW282" i="9"/>
  <c r="AU282" i="9"/>
  <c r="BF282" i="9" s="1"/>
  <c r="AT282" i="9"/>
  <c r="AS282" i="9"/>
  <c r="AR282" i="9"/>
  <c r="AQ282" i="9"/>
  <c r="BB282" i="9" s="1"/>
  <c r="AP282" i="9"/>
  <c r="AO282" i="9"/>
  <c r="AZ282" i="9" s="1"/>
  <c r="AN282" i="9"/>
  <c r="AM282" i="9"/>
  <c r="AX282" i="9" s="1"/>
  <c r="AL282" i="9"/>
  <c r="AK282" i="9"/>
  <c r="AV282" i="9" s="1"/>
  <c r="AJ282" i="9"/>
  <c r="B282" i="9"/>
  <c r="BG281" i="9" a="1"/>
  <c r="BG281" i="9" s="1"/>
  <c r="BE281" i="9"/>
  <c r="BC281" i="9"/>
  <c r="BF281" i="9" s="1"/>
  <c r="BB281" i="9"/>
  <c r="BA281" i="9"/>
  <c r="AX281" i="9"/>
  <c r="AU281" i="9"/>
  <c r="AT281" i="9"/>
  <c r="AS281" i="9"/>
  <c r="BD281" i="9" s="1"/>
  <c r="AR281" i="9"/>
  <c r="AQ281" i="9"/>
  <c r="AP281" i="9"/>
  <c r="AO281" i="9"/>
  <c r="AZ281" i="9" s="1"/>
  <c r="AN281" i="9"/>
  <c r="AY281" i="9" s="1"/>
  <c r="AM281" i="9"/>
  <c r="AL281" i="9"/>
  <c r="AW281" i="9" s="1"/>
  <c r="AK281" i="9"/>
  <c r="AV281" i="9" s="1"/>
  <c r="AJ281" i="9"/>
  <c r="B281" i="9"/>
  <c r="BG280" i="9"/>
  <c r="BG280" i="9" a="1"/>
  <c r="BC280" i="9"/>
  <c r="BB280" i="9"/>
  <c r="BA280" i="9"/>
  <c r="AZ280" i="9"/>
  <c r="AY280" i="9"/>
  <c r="AW280" i="9"/>
  <c r="AT280" i="9"/>
  <c r="BE280" i="9" s="1"/>
  <c r="AS280" i="9"/>
  <c r="BD280" i="9" s="1"/>
  <c r="AR280" i="9"/>
  <c r="AQ280" i="9"/>
  <c r="AP280" i="9"/>
  <c r="AO280" i="9"/>
  <c r="AN280" i="9"/>
  <c r="AM280" i="9"/>
  <c r="AX280" i="9" s="1"/>
  <c r="AL280" i="9"/>
  <c r="AK280" i="9"/>
  <c r="AV280" i="9" s="1"/>
  <c r="AJ280" i="9"/>
  <c r="AU280" i="9" s="1"/>
  <c r="B280" i="9"/>
  <c r="BG279" i="9" a="1"/>
  <c r="BG279" i="9" s="1"/>
  <c r="BD279" i="9"/>
  <c r="BB279" i="9"/>
  <c r="BA279" i="9"/>
  <c r="AV279" i="9"/>
  <c r="AU279" i="9"/>
  <c r="AT279" i="9"/>
  <c r="BE279" i="9" s="1"/>
  <c r="AS279" i="9"/>
  <c r="AR279" i="9"/>
  <c r="BC279" i="9" s="1"/>
  <c r="AQ279" i="9"/>
  <c r="AP279" i="9"/>
  <c r="AO279" i="9"/>
  <c r="AZ279" i="9" s="1"/>
  <c r="AN279" i="9"/>
  <c r="AY279" i="9" s="1"/>
  <c r="AM279" i="9"/>
  <c r="AX279" i="9" s="1"/>
  <c r="AL279" i="9"/>
  <c r="AW279" i="9" s="1"/>
  <c r="AK279" i="9"/>
  <c r="AJ279" i="9"/>
  <c r="B279" i="9"/>
  <c r="BG278" i="9" a="1"/>
  <c r="BG278" i="9" s="1"/>
  <c r="BE278" i="9"/>
  <c r="BC278" i="9"/>
  <c r="AX278" i="9"/>
  <c r="AU278" i="9"/>
  <c r="AT278" i="9"/>
  <c r="AS278" i="9"/>
  <c r="BD278" i="9" s="1"/>
  <c r="AR278" i="9"/>
  <c r="AQ278" i="9"/>
  <c r="BB278" i="9" s="1"/>
  <c r="AP278" i="9"/>
  <c r="BA278" i="9" s="1"/>
  <c r="AO278" i="9"/>
  <c r="AZ278" i="9" s="1"/>
  <c r="AN278" i="9"/>
  <c r="AY278" i="9" s="1"/>
  <c r="AM278" i="9"/>
  <c r="AL278" i="9"/>
  <c r="AW278" i="9" s="1"/>
  <c r="AK278" i="9"/>
  <c r="AV278" i="9" s="1"/>
  <c r="AJ278" i="9"/>
  <c r="B278" i="9"/>
  <c r="BG277" i="9" a="1"/>
  <c r="BG277" i="9" s="1"/>
  <c r="BE277" i="9"/>
  <c r="BC277" i="9"/>
  <c r="BA277" i="9"/>
  <c r="AZ277" i="9"/>
  <c r="AY277" i="9"/>
  <c r="AW277" i="9"/>
  <c r="AU277" i="9"/>
  <c r="AT277" i="9"/>
  <c r="AS277" i="9"/>
  <c r="BD277" i="9" s="1"/>
  <c r="AR277" i="9"/>
  <c r="AQ277" i="9"/>
  <c r="BB277" i="9" s="1"/>
  <c r="AP277" i="9"/>
  <c r="AO277" i="9"/>
  <c r="AN277" i="9"/>
  <c r="AM277" i="9"/>
  <c r="AX277" i="9" s="1"/>
  <c r="AL277" i="9"/>
  <c r="AK277" i="9"/>
  <c r="AV277" i="9" s="1"/>
  <c r="AJ277" i="9"/>
  <c r="B277" i="9"/>
  <c r="BG276" i="9" a="1"/>
  <c r="BG276" i="9" s="1"/>
  <c r="BC276" i="9"/>
  <c r="AY276" i="9"/>
  <c r="AU276" i="9"/>
  <c r="AT276" i="9"/>
  <c r="BE276" i="9" s="1"/>
  <c r="AS276" i="9"/>
  <c r="BD276" i="9" s="1"/>
  <c r="AR276" i="9"/>
  <c r="AQ276" i="9"/>
  <c r="BB276" i="9" s="1"/>
  <c r="AP276" i="9"/>
  <c r="BA276" i="9" s="1"/>
  <c r="AO276" i="9"/>
  <c r="AZ276" i="9" s="1"/>
  <c r="AN276" i="9"/>
  <c r="AM276" i="9"/>
  <c r="AX276" i="9" s="1"/>
  <c r="AL276" i="9"/>
  <c r="AW276" i="9" s="1"/>
  <c r="AK276" i="9"/>
  <c r="AV276" i="9" s="1"/>
  <c r="AJ276" i="9"/>
  <c r="B276" i="9"/>
  <c r="BG275" i="9" a="1"/>
  <c r="BG275" i="9" s="1"/>
  <c r="BC275" i="9"/>
  <c r="BB275" i="9"/>
  <c r="BA275" i="9"/>
  <c r="AY275" i="9"/>
  <c r="AX275" i="9"/>
  <c r="AW275" i="9"/>
  <c r="AT275" i="9"/>
  <c r="BE275" i="9" s="1"/>
  <c r="AS275" i="9"/>
  <c r="BD275" i="9" s="1"/>
  <c r="AR275" i="9"/>
  <c r="AQ275" i="9"/>
  <c r="AP275" i="9"/>
  <c r="AO275" i="9"/>
  <c r="AZ275" i="9" s="1"/>
  <c r="AN275" i="9"/>
  <c r="AM275" i="9"/>
  <c r="AL275" i="9"/>
  <c r="AK275" i="9"/>
  <c r="AV275" i="9" s="1"/>
  <c r="AJ275" i="9"/>
  <c r="AU275" i="9" s="1"/>
  <c r="B275" i="9"/>
  <c r="BG274" i="9" a="1"/>
  <c r="BG274" i="9" s="1"/>
  <c r="BE274" i="9"/>
  <c r="BC274" i="9"/>
  <c r="AW274" i="9"/>
  <c r="AU274" i="9"/>
  <c r="AT274" i="9"/>
  <c r="AS274" i="9"/>
  <c r="BD274" i="9" s="1"/>
  <c r="AR274" i="9"/>
  <c r="AQ274" i="9"/>
  <c r="BB274" i="9" s="1"/>
  <c r="AP274" i="9"/>
  <c r="BA274" i="9" s="1"/>
  <c r="AO274" i="9"/>
  <c r="AZ274" i="9" s="1"/>
  <c r="AN274" i="9"/>
  <c r="AY274" i="9" s="1"/>
  <c r="AM274" i="9"/>
  <c r="AX274" i="9" s="1"/>
  <c r="AL274" i="9"/>
  <c r="AK274" i="9"/>
  <c r="AV274" i="9" s="1"/>
  <c r="AJ274" i="9"/>
  <c r="B274" i="9"/>
  <c r="BG273" i="9" a="1"/>
  <c r="BG273" i="9" s="1"/>
  <c r="BE273" i="9"/>
  <c r="BD273" i="9"/>
  <c r="BC273" i="9"/>
  <c r="BB273" i="9"/>
  <c r="AZ273" i="9"/>
  <c r="AX273" i="9"/>
  <c r="AT273" i="9"/>
  <c r="AS273" i="9"/>
  <c r="AR273" i="9"/>
  <c r="AQ273" i="9"/>
  <c r="AP273" i="9"/>
  <c r="BA273" i="9" s="1"/>
  <c r="AO273" i="9"/>
  <c r="AN273" i="9"/>
  <c r="AY273" i="9" s="1"/>
  <c r="AM273" i="9"/>
  <c r="AL273" i="9"/>
  <c r="AW273" i="9" s="1"/>
  <c r="AK273" i="9"/>
  <c r="AV273" i="9" s="1"/>
  <c r="AJ273" i="9"/>
  <c r="AU273" i="9" s="1"/>
  <c r="B273" i="9"/>
  <c r="BG272" i="9" a="1"/>
  <c r="BG272" i="9" s="1"/>
  <c r="BE272" i="9"/>
  <c r="BC272" i="9"/>
  <c r="BB272" i="9"/>
  <c r="BA272" i="9"/>
  <c r="AY272" i="9"/>
  <c r="AV272" i="9"/>
  <c r="AU272" i="9"/>
  <c r="AT272" i="9"/>
  <c r="AS272" i="9"/>
  <c r="BD272" i="9" s="1"/>
  <c r="AR272" i="9"/>
  <c r="AQ272" i="9"/>
  <c r="AP272" i="9"/>
  <c r="AO272" i="9"/>
  <c r="AZ272" i="9" s="1"/>
  <c r="AN272" i="9"/>
  <c r="AM272" i="9"/>
  <c r="AX272" i="9" s="1"/>
  <c r="AL272" i="9"/>
  <c r="AW272" i="9" s="1"/>
  <c r="AK272" i="9"/>
  <c r="AJ272" i="9"/>
  <c r="B272" i="9"/>
  <c r="BG271" i="9" a="1"/>
  <c r="BG271" i="9" s="1"/>
  <c r="BD271" i="9"/>
  <c r="BC271" i="9"/>
  <c r="BA271" i="9"/>
  <c r="AY271" i="9"/>
  <c r="AW271" i="9"/>
  <c r="AU271" i="9"/>
  <c r="AT271" i="9"/>
  <c r="BE271" i="9" s="1"/>
  <c r="AS271" i="9"/>
  <c r="AR271" i="9"/>
  <c r="AQ271" i="9"/>
  <c r="BB271" i="9" s="1"/>
  <c r="AP271" i="9"/>
  <c r="AO271" i="9"/>
  <c r="AZ271" i="9" s="1"/>
  <c r="AN271" i="9"/>
  <c r="AM271" i="9"/>
  <c r="AX271" i="9" s="1"/>
  <c r="AL271" i="9"/>
  <c r="AK271" i="9"/>
  <c r="AV271" i="9" s="1"/>
  <c r="AJ271" i="9"/>
  <c r="B271" i="9"/>
  <c r="BG270" i="9" a="1"/>
  <c r="BG270" i="9" s="1"/>
  <c r="BE270" i="9"/>
  <c r="BD270" i="9"/>
  <c r="BC270" i="9"/>
  <c r="AZ270" i="9"/>
  <c r="AY270" i="9"/>
  <c r="AW270" i="9"/>
  <c r="AV270" i="9"/>
  <c r="AT270" i="9"/>
  <c r="AS270" i="9"/>
  <c r="AR270" i="9"/>
  <c r="AQ270" i="9"/>
  <c r="BB270" i="9" s="1"/>
  <c r="AP270" i="9"/>
  <c r="BA270" i="9" s="1"/>
  <c r="AO270" i="9"/>
  <c r="AN270" i="9"/>
  <c r="AM270" i="9"/>
  <c r="AX270" i="9" s="1"/>
  <c r="BF270" i="9" s="1"/>
  <c r="AL270" i="9"/>
  <c r="AK270" i="9"/>
  <c r="AJ270" i="9"/>
  <c r="AU270" i="9" s="1"/>
  <c r="B270" i="9"/>
  <c r="BG269" i="9"/>
  <c r="BG269" i="9" a="1"/>
  <c r="BE269" i="9"/>
  <c r="AZ269" i="9"/>
  <c r="AY269" i="9"/>
  <c r="AX269" i="9"/>
  <c r="AW269" i="9"/>
  <c r="AV269" i="9"/>
  <c r="AT269" i="9"/>
  <c r="AS269" i="9"/>
  <c r="BD269" i="9" s="1"/>
  <c r="AR269" i="9"/>
  <c r="BC269" i="9" s="1"/>
  <c r="AQ269" i="9"/>
  <c r="BB269" i="9" s="1"/>
  <c r="AP269" i="9"/>
  <c r="BA269" i="9" s="1"/>
  <c r="AO269" i="9"/>
  <c r="AN269" i="9"/>
  <c r="AM269" i="9"/>
  <c r="AL269" i="9"/>
  <c r="AK269" i="9"/>
  <c r="AJ269" i="9"/>
  <c r="AU269" i="9" s="1"/>
  <c r="B269" i="9"/>
  <c r="BG268" i="9"/>
  <c r="BG268" i="9" a="1"/>
  <c r="BB268" i="9"/>
  <c r="AZ268" i="9"/>
  <c r="AY268" i="9"/>
  <c r="AW268" i="9"/>
  <c r="AT268" i="9"/>
  <c r="BE268" i="9" s="1"/>
  <c r="AS268" i="9"/>
  <c r="BD268" i="9" s="1"/>
  <c r="AR268" i="9"/>
  <c r="BC268" i="9" s="1"/>
  <c r="AQ268" i="9"/>
  <c r="AP268" i="9"/>
  <c r="BA268" i="9" s="1"/>
  <c r="AO268" i="9"/>
  <c r="AN268" i="9"/>
  <c r="AM268" i="9"/>
  <c r="AX268" i="9" s="1"/>
  <c r="AL268" i="9"/>
  <c r="AK268" i="9"/>
  <c r="AV268" i="9" s="1"/>
  <c r="AJ268" i="9"/>
  <c r="AU268" i="9" s="1"/>
  <c r="B268" i="9"/>
  <c r="BG267" i="9" a="1"/>
  <c r="BG267" i="9" s="1"/>
  <c r="BE267" i="9"/>
  <c r="BD267" i="9"/>
  <c r="BB267" i="9"/>
  <c r="AZ267" i="9"/>
  <c r="AX267" i="9"/>
  <c r="AV267" i="9"/>
  <c r="AT267" i="9"/>
  <c r="AS267" i="9"/>
  <c r="AR267" i="9"/>
  <c r="BC267" i="9" s="1"/>
  <c r="AQ267" i="9"/>
  <c r="AP267" i="9"/>
  <c r="BA267" i="9" s="1"/>
  <c r="AO267" i="9"/>
  <c r="AN267" i="9"/>
  <c r="AY267" i="9" s="1"/>
  <c r="AM267" i="9"/>
  <c r="AL267" i="9"/>
  <c r="AW267" i="9" s="1"/>
  <c r="AK267" i="9"/>
  <c r="AJ267" i="9"/>
  <c r="AU267" i="9" s="1"/>
  <c r="B267" i="9"/>
  <c r="BG266" i="9"/>
  <c r="BG266" i="9" a="1"/>
  <c r="BB266" i="9"/>
  <c r="BA266" i="9"/>
  <c r="AZ266" i="9"/>
  <c r="AY266" i="9"/>
  <c r="AX266" i="9"/>
  <c r="AT266" i="9"/>
  <c r="BE266" i="9" s="1"/>
  <c r="AS266" i="9"/>
  <c r="BD266" i="9" s="1"/>
  <c r="AR266" i="9"/>
  <c r="BC266" i="9" s="1"/>
  <c r="AQ266" i="9"/>
  <c r="AP266" i="9"/>
  <c r="AO266" i="9"/>
  <c r="AN266" i="9"/>
  <c r="AM266" i="9"/>
  <c r="AL266" i="9"/>
  <c r="AW266" i="9" s="1"/>
  <c r="AK266" i="9"/>
  <c r="AV266" i="9" s="1"/>
  <c r="AJ266" i="9"/>
  <c r="AU266" i="9" s="1"/>
  <c r="B266" i="9"/>
  <c r="BG265" i="9"/>
  <c r="BG265" i="9" a="1"/>
  <c r="AV265" i="9"/>
  <c r="AT265" i="9"/>
  <c r="BE265" i="9" s="1"/>
  <c r="AS265" i="9"/>
  <c r="BD265" i="9" s="1"/>
  <c r="AR265" i="9"/>
  <c r="BC265" i="9" s="1"/>
  <c r="AQ265" i="9"/>
  <c r="BB265" i="9" s="1"/>
  <c r="AP265" i="9"/>
  <c r="BA265" i="9" s="1"/>
  <c r="AO265" i="9"/>
  <c r="AZ265" i="9" s="1"/>
  <c r="AN265" i="9"/>
  <c r="AY265" i="9" s="1"/>
  <c r="AM265" i="9"/>
  <c r="AX265" i="9" s="1"/>
  <c r="AL265" i="9"/>
  <c r="AW265" i="9" s="1"/>
  <c r="AK265" i="9"/>
  <c r="AJ265" i="9"/>
  <c r="AU265" i="9" s="1"/>
  <c r="B265" i="9"/>
  <c r="BG264" i="9" a="1"/>
  <c r="BG264" i="9" s="1"/>
  <c r="BE264" i="9"/>
  <c r="BC264" i="9"/>
  <c r="BB264" i="9"/>
  <c r="BA264" i="9"/>
  <c r="AY264" i="9"/>
  <c r="AX264" i="9"/>
  <c r="AW264" i="9"/>
  <c r="AT264" i="9"/>
  <c r="AS264" i="9"/>
  <c r="BD264" i="9" s="1"/>
  <c r="AR264" i="9"/>
  <c r="AQ264" i="9"/>
  <c r="AP264" i="9"/>
  <c r="AO264" i="9"/>
  <c r="AZ264" i="9" s="1"/>
  <c r="AN264" i="9"/>
  <c r="AM264" i="9"/>
  <c r="AL264" i="9"/>
  <c r="AK264" i="9"/>
  <c r="AV264" i="9" s="1"/>
  <c r="AJ264" i="9"/>
  <c r="AU264" i="9" s="1"/>
  <c r="BF264" i="9" s="1"/>
  <c r="B264" i="9"/>
  <c r="BG263" i="9"/>
  <c r="BG263" i="9" a="1"/>
  <c r="BE263" i="9"/>
  <c r="BC263" i="9"/>
  <c r="AY263" i="9"/>
  <c r="AW263" i="9"/>
  <c r="AV263" i="9"/>
  <c r="AU263" i="9"/>
  <c r="AT263" i="9"/>
  <c r="AS263" i="9"/>
  <c r="BD263" i="9" s="1"/>
  <c r="AR263" i="9"/>
  <c r="AQ263" i="9"/>
  <c r="BB263" i="9" s="1"/>
  <c r="AP263" i="9"/>
  <c r="BA263" i="9" s="1"/>
  <c r="AO263" i="9"/>
  <c r="AZ263" i="9" s="1"/>
  <c r="AN263" i="9"/>
  <c r="AM263" i="9"/>
  <c r="AX263" i="9" s="1"/>
  <c r="AL263" i="9"/>
  <c r="AK263" i="9"/>
  <c r="AJ263" i="9"/>
  <c r="B263" i="9"/>
  <c r="BG262" i="9" a="1"/>
  <c r="BG262" i="9" s="1"/>
  <c r="BE262" i="9"/>
  <c r="BC262" i="9"/>
  <c r="BB262" i="9"/>
  <c r="BA262" i="9"/>
  <c r="AY262" i="9"/>
  <c r="AW262" i="9"/>
  <c r="AT262" i="9"/>
  <c r="AS262" i="9"/>
  <c r="BD262" i="9" s="1"/>
  <c r="AR262" i="9"/>
  <c r="AQ262" i="9"/>
  <c r="AP262" i="9"/>
  <c r="AO262" i="9"/>
  <c r="AZ262" i="9" s="1"/>
  <c r="AN262" i="9"/>
  <c r="AM262" i="9"/>
  <c r="AX262" i="9" s="1"/>
  <c r="BF262" i="9" s="1"/>
  <c r="AL262" i="9"/>
  <c r="AK262" i="9"/>
  <c r="AV262" i="9" s="1"/>
  <c r="AJ262" i="9"/>
  <c r="AU262" i="9" s="1"/>
  <c r="B262" i="9"/>
  <c r="BG261" i="9" a="1"/>
  <c r="BG261" i="9" s="1"/>
  <c r="BA261" i="9"/>
  <c r="AZ261" i="9"/>
  <c r="AY261" i="9"/>
  <c r="AW261" i="9"/>
  <c r="AV261" i="9"/>
  <c r="AU261" i="9"/>
  <c r="BF261" i="9" s="1"/>
  <c r="AT261" i="9"/>
  <c r="BE261" i="9" s="1"/>
  <c r="AS261" i="9"/>
  <c r="BD261" i="9" s="1"/>
  <c r="AR261" i="9"/>
  <c r="BC261" i="9" s="1"/>
  <c r="AQ261" i="9"/>
  <c r="BB261" i="9" s="1"/>
  <c r="AP261" i="9"/>
  <c r="AO261" i="9"/>
  <c r="AN261" i="9"/>
  <c r="AM261" i="9"/>
  <c r="AX261" i="9" s="1"/>
  <c r="AL261" i="9"/>
  <c r="AK261" i="9"/>
  <c r="AJ261" i="9"/>
  <c r="B261" i="9"/>
  <c r="BG260" i="9" a="1"/>
  <c r="BG260" i="9" s="1"/>
  <c r="BE260" i="9"/>
  <c r="BD260" i="9"/>
  <c r="BC260" i="9"/>
  <c r="BA260" i="9"/>
  <c r="AU260" i="9"/>
  <c r="AT260" i="9"/>
  <c r="AS260" i="9"/>
  <c r="AR260" i="9"/>
  <c r="AQ260" i="9"/>
  <c r="BB260" i="9" s="1"/>
  <c r="AP260" i="9"/>
  <c r="AO260" i="9"/>
  <c r="AZ260" i="9" s="1"/>
  <c r="AN260" i="9"/>
  <c r="AY260" i="9" s="1"/>
  <c r="AM260" i="9"/>
  <c r="AX260" i="9" s="1"/>
  <c r="AL260" i="9"/>
  <c r="AW260" i="9" s="1"/>
  <c r="AK260" i="9"/>
  <c r="AV260" i="9" s="1"/>
  <c r="BF260" i="9" s="1"/>
  <c r="AJ260" i="9"/>
  <c r="B260" i="9"/>
  <c r="BG259" i="9"/>
  <c r="BG259" i="9" a="1"/>
  <c r="BE259" i="9"/>
  <c r="BD259" i="9"/>
  <c r="BA259" i="9"/>
  <c r="AY259" i="9"/>
  <c r="AW259" i="9"/>
  <c r="AU259" i="9"/>
  <c r="AT259" i="9"/>
  <c r="AS259" i="9"/>
  <c r="AR259" i="9"/>
  <c r="BC259" i="9" s="1"/>
  <c r="AQ259" i="9"/>
  <c r="BB259" i="9" s="1"/>
  <c r="AP259" i="9"/>
  <c r="AO259" i="9"/>
  <c r="AZ259" i="9" s="1"/>
  <c r="AN259" i="9"/>
  <c r="AM259" i="9"/>
  <c r="AX259" i="9" s="1"/>
  <c r="AL259" i="9"/>
  <c r="AK259" i="9"/>
  <c r="AV259" i="9" s="1"/>
  <c r="AJ259" i="9"/>
  <c r="B259" i="9"/>
  <c r="BG258" i="9"/>
  <c r="BG258" i="9" a="1"/>
  <c r="BE258" i="9"/>
  <c r="BB258" i="9"/>
  <c r="BA258" i="9"/>
  <c r="AZ258" i="9"/>
  <c r="AY258" i="9"/>
  <c r="AX258" i="9"/>
  <c r="AW258" i="9"/>
  <c r="BF258" i="9" s="1"/>
  <c r="AT258" i="9"/>
  <c r="AS258" i="9"/>
  <c r="BD258" i="9" s="1"/>
  <c r="AR258" i="9"/>
  <c r="BC258" i="9" s="1"/>
  <c r="AQ258" i="9"/>
  <c r="AP258" i="9"/>
  <c r="AO258" i="9"/>
  <c r="AN258" i="9"/>
  <c r="AM258" i="9"/>
  <c r="AL258" i="9"/>
  <c r="AK258" i="9"/>
  <c r="AV258" i="9" s="1"/>
  <c r="AJ258" i="9"/>
  <c r="AU258" i="9" s="1"/>
  <c r="B258" i="9"/>
  <c r="BG257" i="9" a="1"/>
  <c r="BG257" i="9" s="1"/>
  <c r="BC257" i="9"/>
  <c r="BA257" i="9"/>
  <c r="AZ257" i="9"/>
  <c r="AY257" i="9"/>
  <c r="AV257" i="9"/>
  <c r="AU257" i="9"/>
  <c r="AT257" i="9"/>
  <c r="BE257" i="9" s="1"/>
  <c r="AS257" i="9"/>
  <c r="BD257" i="9" s="1"/>
  <c r="AR257" i="9"/>
  <c r="AQ257" i="9"/>
  <c r="BB257" i="9" s="1"/>
  <c r="AP257" i="9"/>
  <c r="AO257" i="9"/>
  <c r="AN257" i="9"/>
  <c r="AM257" i="9"/>
  <c r="AX257" i="9" s="1"/>
  <c r="AL257" i="9"/>
  <c r="AW257" i="9" s="1"/>
  <c r="AK257" i="9"/>
  <c r="AJ257" i="9"/>
  <c r="B257" i="9"/>
  <c r="BG256" i="9" a="1"/>
  <c r="BG256" i="9" s="1"/>
  <c r="BE256" i="9"/>
  <c r="BD256" i="9"/>
  <c r="BC256" i="9"/>
  <c r="BB256" i="9"/>
  <c r="AZ256" i="9"/>
  <c r="AX256" i="9"/>
  <c r="AV256" i="9"/>
  <c r="AT256" i="9"/>
  <c r="AS256" i="9"/>
  <c r="AR256" i="9"/>
  <c r="AQ256" i="9"/>
  <c r="AP256" i="9"/>
  <c r="BA256" i="9" s="1"/>
  <c r="AO256" i="9"/>
  <c r="AN256" i="9"/>
  <c r="AY256" i="9" s="1"/>
  <c r="AM256" i="9"/>
  <c r="AL256" i="9"/>
  <c r="AW256" i="9" s="1"/>
  <c r="AK256" i="9"/>
  <c r="AJ256" i="9"/>
  <c r="AU256" i="9" s="1"/>
  <c r="BF256" i="9" s="1"/>
  <c r="B256" i="9"/>
  <c r="BG255" i="9"/>
  <c r="BG255" i="9" a="1"/>
  <c r="BD255" i="9"/>
  <c r="BC255" i="9"/>
  <c r="BA255" i="9"/>
  <c r="AY255" i="9"/>
  <c r="AX255" i="9"/>
  <c r="AW255" i="9"/>
  <c r="AV255" i="9"/>
  <c r="BF255" i="9" s="1"/>
  <c r="AT255" i="9"/>
  <c r="BE255" i="9" s="1"/>
  <c r="AS255" i="9"/>
  <c r="AR255" i="9"/>
  <c r="AQ255" i="9"/>
  <c r="BB255" i="9" s="1"/>
  <c r="AP255" i="9"/>
  <c r="AO255" i="9"/>
  <c r="AZ255" i="9" s="1"/>
  <c r="AN255" i="9"/>
  <c r="AM255" i="9"/>
  <c r="AL255" i="9"/>
  <c r="AK255" i="9"/>
  <c r="AJ255" i="9"/>
  <c r="AU255" i="9" s="1"/>
  <c r="B255" i="9"/>
  <c r="BG254" i="9"/>
  <c r="BG254" i="9" a="1"/>
  <c r="BA254" i="9"/>
  <c r="AY254" i="9"/>
  <c r="AW254" i="9"/>
  <c r="AT254" i="9"/>
  <c r="BE254" i="9" s="1"/>
  <c r="AS254" i="9"/>
  <c r="BD254" i="9" s="1"/>
  <c r="AR254" i="9"/>
  <c r="BC254" i="9" s="1"/>
  <c r="AQ254" i="9"/>
  <c r="BB254" i="9" s="1"/>
  <c r="AP254" i="9"/>
  <c r="AO254" i="9"/>
  <c r="AZ254" i="9" s="1"/>
  <c r="AN254" i="9"/>
  <c r="AM254" i="9"/>
  <c r="AX254" i="9" s="1"/>
  <c r="AL254" i="9"/>
  <c r="AK254" i="9"/>
  <c r="AV254" i="9" s="1"/>
  <c r="AJ254" i="9"/>
  <c r="AU254" i="9" s="1"/>
  <c r="B254" i="9"/>
  <c r="BG253" i="9"/>
  <c r="BG253" i="9" a="1"/>
  <c r="BE253" i="9"/>
  <c r="BC253" i="9"/>
  <c r="BB253" i="9"/>
  <c r="BA253" i="9"/>
  <c r="AY253" i="9"/>
  <c r="AT253" i="9"/>
  <c r="AS253" i="9"/>
  <c r="BD253" i="9" s="1"/>
  <c r="AR253" i="9"/>
  <c r="AQ253" i="9"/>
  <c r="AP253" i="9"/>
  <c r="AO253" i="9"/>
  <c r="AZ253" i="9" s="1"/>
  <c r="AN253" i="9"/>
  <c r="AM253" i="9"/>
  <c r="AX253" i="9" s="1"/>
  <c r="AL253" i="9"/>
  <c r="AW253" i="9" s="1"/>
  <c r="AK253" i="9"/>
  <c r="AV253" i="9" s="1"/>
  <c r="AJ253" i="9"/>
  <c r="AU253" i="9" s="1"/>
  <c r="BF253" i="9" s="1"/>
  <c r="B253" i="9"/>
  <c r="BG252" i="9" a="1"/>
  <c r="BG252" i="9" s="1"/>
  <c r="AX252" i="9"/>
  <c r="AV252" i="9"/>
  <c r="AU252" i="9"/>
  <c r="AT252" i="9"/>
  <c r="BE252" i="9" s="1"/>
  <c r="AS252" i="9"/>
  <c r="BD252" i="9" s="1"/>
  <c r="AR252" i="9"/>
  <c r="BC252" i="9" s="1"/>
  <c r="AQ252" i="9"/>
  <c r="BB252" i="9" s="1"/>
  <c r="AP252" i="9"/>
  <c r="BA252" i="9" s="1"/>
  <c r="AO252" i="9"/>
  <c r="AZ252" i="9" s="1"/>
  <c r="AN252" i="9"/>
  <c r="AY252" i="9" s="1"/>
  <c r="AM252" i="9"/>
  <c r="AL252" i="9"/>
  <c r="AW252" i="9" s="1"/>
  <c r="AK252" i="9"/>
  <c r="AJ252" i="9"/>
  <c r="B252" i="9"/>
  <c r="BG251" i="9"/>
  <c r="BG251" i="9" a="1"/>
  <c r="BE251" i="9"/>
  <c r="BD251" i="9"/>
  <c r="BB251" i="9"/>
  <c r="BA251" i="9"/>
  <c r="AZ251" i="9"/>
  <c r="AY251" i="9"/>
  <c r="AX251" i="9"/>
  <c r="AV251" i="9"/>
  <c r="AT251" i="9"/>
  <c r="AS251" i="9"/>
  <c r="AR251" i="9"/>
  <c r="BC251" i="9" s="1"/>
  <c r="AQ251" i="9"/>
  <c r="AP251" i="9"/>
  <c r="AO251" i="9"/>
  <c r="AN251" i="9"/>
  <c r="AM251" i="9"/>
  <c r="AL251" i="9"/>
  <c r="AW251" i="9" s="1"/>
  <c r="AK251" i="9"/>
  <c r="AJ251" i="9"/>
  <c r="AU251" i="9" s="1"/>
  <c r="B251" i="9"/>
  <c r="BG250" i="9"/>
  <c r="BG250" i="9" a="1"/>
  <c r="BC250" i="9"/>
  <c r="BA250" i="9"/>
  <c r="AY250" i="9"/>
  <c r="AW250" i="9"/>
  <c r="AU250" i="9"/>
  <c r="AT250" i="9"/>
  <c r="BE250" i="9" s="1"/>
  <c r="AS250" i="9"/>
  <c r="BD250" i="9" s="1"/>
  <c r="AR250" i="9"/>
  <c r="AQ250" i="9"/>
  <c r="BB250" i="9" s="1"/>
  <c r="AP250" i="9"/>
  <c r="AO250" i="9"/>
  <c r="AZ250" i="9" s="1"/>
  <c r="AN250" i="9"/>
  <c r="AM250" i="9"/>
  <c r="AX250" i="9" s="1"/>
  <c r="AL250" i="9"/>
  <c r="AK250" i="9"/>
  <c r="AV250" i="9" s="1"/>
  <c r="BF250" i="9" s="1"/>
  <c r="AJ250" i="9"/>
  <c r="B250" i="9"/>
  <c r="BG249" i="9" a="1"/>
  <c r="BG249" i="9" s="1"/>
  <c r="BC249" i="9"/>
  <c r="BA249" i="9"/>
  <c r="AY249" i="9"/>
  <c r="AT249" i="9"/>
  <c r="BE249" i="9" s="1"/>
  <c r="AS249" i="9"/>
  <c r="BD249" i="9" s="1"/>
  <c r="AR249" i="9"/>
  <c r="AQ249" i="9"/>
  <c r="BB249" i="9" s="1"/>
  <c r="AP249" i="9"/>
  <c r="AO249" i="9"/>
  <c r="AZ249" i="9" s="1"/>
  <c r="AN249" i="9"/>
  <c r="AM249" i="9"/>
  <c r="AX249" i="9" s="1"/>
  <c r="AL249" i="9"/>
  <c r="AW249" i="9" s="1"/>
  <c r="AK249" i="9"/>
  <c r="AV249" i="9" s="1"/>
  <c r="AJ249" i="9"/>
  <c r="AU249" i="9" s="1"/>
  <c r="B249" i="9"/>
  <c r="BG248" i="9" a="1"/>
  <c r="BG248" i="9" s="1"/>
  <c r="BE248" i="9"/>
  <c r="BC248" i="9"/>
  <c r="BB248" i="9"/>
  <c r="BA248" i="9"/>
  <c r="AZ248" i="9"/>
  <c r="AY248" i="9"/>
  <c r="AX248" i="9"/>
  <c r="AV248" i="9"/>
  <c r="AT248" i="9"/>
  <c r="AS248" i="9"/>
  <c r="BD248" i="9" s="1"/>
  <c r="AR248" i="9"/>
  <c r="AQ248" i="9"/>
  <c r="AP248" i="9"/>
  <c r="AO248" i="9"/>
  <c r="AN248" i="9"/>
  <c r="AM248" i="9"/>
  <c r="AL248" i="9"/>
  <c r="AW248" i="9" s="1"/>
  <c r="AK248" i="9"/>
  <c r="AJ248" i="9"/>
  <c r="AU248" i="9" s="1"/>
  <c r="B248" i="9"/>
  <c r="BG247" i="9"/>
  <c r="BG247" i="9" a="1"/>
  <c r="BF247" i="9"/>
  <c r="BD247" i="9"/>
  <c r="AZ247" i="9"/>
  <c r="AW247" i="9"/>
  <c r="AV247" i="9"/>
  <c r="AU247" i="9"/>
  <c r="AT247" i="9"/>
  <c r="BE247" i="9" s="1"/>
  <c r="AS247" i="9"/>
  <c r="AR247" i="9"/>
  <c r="BC247" i="9" s="1"/>
  <c r="AQ247" i="9"/>
  <c r="BB247" i="9" s="1"/>
  <c r="AP247" i="9"/>
  <c r="BA247" i="9" s="1"/>
  <c r="AO247" i="9"/>
  <c r="AN247" i="9"/>
  <c r="AY247" i="9" s="1"/>
  <c r="AM247" i="9"/>
  <c r="AX247" i="9" s="1"/>
  <c r="AL247" i="9"/>
  <c r="AK247" i="9"/>
  <c r="AJ247" i="9"/>
  <c r="B247" i="9"/>
  <c r="BG246" i="9"/>
  <c r="BG246" i="9" a="1"/>
  <c r="BE246" i="9"/>
  <c r="BD246" i="9"/>
  <c r="BC246" i="9"/>
  <c r="BB246" i="9"/>
  <c r="AZ246" i="9"/>
  <c r="AT246" i="9"/>
  <c r="AS246" i="9"/>
  <c r="AR246" i="9"/>
  <c r="AQ246" i="9"/>
  <c r="AP246" i="9"/>
  <c r="BA246" i="9" s="1"/>
  <c r="AO246" i="9"/>
  <c r="AN246" i="9"/>
  <c r="AY246" i="9" s="1"/>
  <c r="BF246" i="9" s="1"/>
  <c r="AM246" i="9"/>
  <c r="AX246" i="9" s="1"/>
  <c r="AL246" i="9"/>
  <c r="AW246" i="9" s="1"/>
  <c r="AK246" i="9"/>
  <c r="AV246" i="9" s="1"/>
  <c r="AJ246" i="9"/>
  <c r="AU246" i="9" s="1"/>
  <c r="B246" i="9"/>
  <c r="BG245" i="9"/>
  <c r="BG245" i="9" a="1"/>
  <c r="BA245" i="9"/>
  <c r="AZ245" i="9"/>
  <c r="AX245" i="9"/>
  <c r="AW245" i="9"/>
  <c r="AV245" i="9"/>
  <c r="AT245" i="9"/>
  <c r="BE245" i="9" s="1"/>
  <c r="AS245" i="9"/>
  <c r="BD245" i="9" s="1"/>
  <c r="AR245" i="9"/>
  <c r="BC245" i="9" s="1"/>
  <c r="AQ245" i="9"/>
  <c r="BB245" i="9" s="1"/>
  <c r="AP245" i="9"/>
  <c r="AO245" i="9"/>
  <c r="AN245" i="9"/>
  <c r="AY245" i="9" s="1"/>
  <c r="AM245" i="9"/>
  <c r="AL245" i="9"/>
  <c r="AK245" i="9"/>
  <c r="AJ245" i="9"/>
  <c r="AU245" i="9" s="1"/>
  <c r="B245" i="9"/>
  <c r="BG244" i="9" a="1"/>
  <c r="BG244" i="9" s="1"/>
  <c r="BE244" i="9"/>
  <c r="BD244" i="9"/>
  <c r="BC244" i="9"/>
  <c r="BB244" i="9"/>
  <c r="BA244" i="9"/>
  <c r="BF244" i="9" s="1"/>
  <c r="AU244" i="9"/>
  <c r="AT244" i="9"/>
  <c r="AS244" i="9"/>
  <c r="AR244" i="9"/>
  <c r="AQ244" i="9"/>
  <c r="AP244" i="9"/>
  <c r="AO244" i="9"/>
  <c r="AZ244" i="9" s="1"/>
  <c r="AN244" i="9"/>
  <c r="AY244" i="9" s="1"/>
  <c r="AM244" i="9"/>
  <c r="AX244" i="9" s="1"/>
  <c r="AL244" i="9"/>
  <c r="AW244" i="9" s="1"/>
  <c r="AK244" i="9"/>
  <c r="AV244" i="9" s="1"/>
  <c r="AJ244" i="9"/>
  <c r="B244" i="9"/>
  <c r="BG243" i="9"/>
  <c r="BG243" i="9" a="1"/>
  <c r="BE243" i="9"/>
  <c r="BA243" i="9"/>
  <c r="AZ243" i="9"/>
  <c r="AY243" i="9"/>
  <c r="AX243" i="9"/>
  <c r="AW243" i="9"/>
  <c r="AV243" i="9"/>
  <c r="AU243" i="9"/>
  <c r="AT243" i="9"/>
  <c r="AS243" i="9"/>
  <c r="BD243" i="9" s="1"/>
  <c r="AR243" i="9"/>
  <c r="BC243" i="9" s="1"/>
  <c r="AQ243" i="9"/>
  <c r="BB243" i="9" s="1"/>
  <c r="AP243" i="9"/>
  <c r="AO243" i="9"/>
  <c r="AN243" i="9"/>
  <c r="AM243" i="9"/>
  <c r="AL243" i="9"/>
  <c r="AK243" i="9"/>
  <c r="AJ243" i="9"/>
  <c r="B243" i="9"/>
  <c r="BG242" i="9"/>
  <c r="BG242" i="9" a="1"/>
  <c r="BE242" i="9"/>
  <c r="BC242" i="9"/>
  <c r="BB242" i="9"/>
  <c r="BA242" i="9"/>
  <c r="AZ242" i="9"/>
  <c r="AY242" i="9"/>
  <c r="AT242" i="9"/>
  <c r="AS242" i="9"/>
  <c r="BD242" i="9" s="1"/>
  <c r="AR242" i="9"/>
  <c r="AQ242" i="9"/>
  <c r="AP242" i="9"/>
  <c r="AO242" i="9"/>
  <c r="AN242" i="9"/>
  <c r="AM242" i="9"/>
  <c r="AX242" i="9" s="1"/>
  <c r="AL242" i="9"/>
  <c r="AW242" i="9" s="1"/>
  <c r="AK242" i="9"/>
  <c r="AV242" i="9" s="1"/>
  <c r="BF242" i="9" s="1"/>
  <c r="AJ242" i="9"/>
  <c r="AU242" i="9" s="1"/>
  <c r="B242" i="9"/>
  <c r="BG241" i="9"/>
  <c r="BG241" i="9" a="1"/>
  <c r="BC241" i="9"/>
  <c r="BB241" i="9"/>
  <c r="BA241" i="9"/>
  <c r="AZ241" i="9"/>
  <c r="AY241" i="9"/>
  <c r="AW241" i="9"/>
  <c r="AU241" i="9"/>
  <c r="AT241" i="9"/>
  <c r="BE241" i="9" s="1"/>
  <c r="AS241" i="9"/>
  <c r="BD241" i="9" s="1"/>
  <c r="AR241" i="9"/>
  <c r="AQ241" i="9"/>
  <c r="AP241" i="9"/>
  <c r="AO241" i="9"/>
  <c r="AN241" i="9"/>
  <c r="AM241" i="9"/>
  <c r="AX241" i="9" s="1"/>
  <c r="AL241" i="9"/>
  <c r="AK241" i="9"/>
  <c r="AV241" i="9" s="1"/>
  <c r="AJ241" i="9"/>
  <c r="B241" i="9"/>
  <c r="BG240" i="9" a="1"/>
  <c r="BG240" i="9" s="1"/>
  <c r="BE240" i="9"/>
  <c r="BD240" i="9"/>
  <c r="BC240" i="9"/>
  <c r="BB240" i="9"/>
  <c r="AZ240" i="9"/>
  <c r="AX240" i="9"/>
  <c r="AV240" i="9"/>
  <c r="AT240" i="9"/>
  <c r="AS240" i="9"/>
  <c r="AR240" i="9"/>
  <c r="AQ240" i="9"/>
  <c r="AP240" i="9"/>
  <c r="BA240" i="9" s="1"/>
  <c r="AO240" i="9"/>
  <c r="AN240" i="9"/>
  <c r="AY240" i="9" s="1"/>
  <c r="AM240" i="9"/>
  <c r="AL240" i="9"/>
  <c r="AW240" i="9" s="1"/>
  <c r="AK240" i="9"/>
  <c r="AJ240" i="9"/>
  <c r="AU240" i="9" s="1"/>
  <c r="B240" i="9"/>
  <c r="BG239" i="9"/>
  <c r="BG239" i="9" a="1"/>
  <c r="BE239" i="9"/>
  <c r="BC239" i="9"/>
  <c r="BA239" i="9"/>
  <c r="AY239" i="9"/>
  <c r="AX239" i="9"/>
  <c r="AW239" i="9"/>
  <c r="AU239" i="9"/>
  <c r="AT239" i="9"/>
  <c r="AS239" i="9"/>
  <c r="BD239" i="9" s="1"/>
  <c r="AR239" i="9"/>
  <c r="AQ239" i="9"/>
  <c r="BB239" i="9" s="1"/>
  <c r="AP239" i="9"/>
  <c r="AO239" i="9"/>
  <c r="AZ239" i="9" s="1"/>
  <c r="AN239" i="9"/>
  <c r="AM239" i="9"/>
  <c r="AL239" i="9"/>
  <c r="AK239" i="9"/>
  <c r="AV239" i="9" s="1"/>
  <c r="AJ239" i="9"/>
  <c r="B239" i="9"/>
  <c r="BG238" i="9"/>
  <c r="BG238" i="9" a="1"/>
  <c r="BA238" i="9"/>
  <c r="AZ238" i="9"/>
  <c r="AY238" i="9"/>
  <c r="AX238" i="9"/>
  <c r="AW238" i="9"/>
  <c r="BF238" i="9" s="1"/>
  <c r="AT238" i="9"/>
  <c r="BE238" i="9" s="1"/>
  <c r="AS238" i="9"/>
  <c r="BD238" i="9" s="1"/>
  <c r="AR238" i="9"/>
  <c r="BC238" i="9" s="1"/>
  <c r="AQ238" i="9"/>
  <c r="BB238" i="9" s="1"/>
  <c r="AP238" i="9"/>
  <c r="AO238" i="9"/>
  <c r="AN238" i="9"/>
  <c r="AM238" i="9"/>
  <c r="AL238" i="9"/>
  <c r="AK238" i="9"/>
  <c r="AV238" i="9" s="1"/>
  <c r="AJ238" i="9"/>
  <c r="AU238" i="9" s="1"/>
  <c r="B238" i="9"/>
  <c r="BG237" i="9"/>
  <c r="BG237" i="9" a="1"/>
  <c r="BE237" i="9"/>
  <c r="BC237" i="9"/>
  <c r="BA237" i="9"/>
  <c r="AZ237" i="9"/>
  <c r="AX237" i="9"/>
  <c r="AT237" i="9"/>
  <c r="AS237" i="9"/>
  <c r="BD237" i="9" s="1"/>
  <c r="AR237" i="9"/>
  <c r="AQ237" i="9"/>
  <c r="BB237" i="9" s="1"/>
  <c r="AP237" i="9"/>
  <c r="AO237" i="9"/>
  <c r="AN237" i="9"/>
  <c r="AY237" i="9" s="1"/>
  <c r="AM237" i="9"/>
  <c r="AL237" i="9"/>
  <c r="AW237" i="9" s="1"/>
  <c r="AK237" i="9"/>
  <c r="AV237" i="9" s="1"/>
  <c r="AJ237" i="9"/>
  <c r="AU237" i="9" s="1"/>
  <c r="B237" i="9"/>
  <c r="BG236" i="9"/>
  <c r="BG236" i="9" a="1"/>
  <c r="BE236" i="9"/>
  <c r="BC236" i="9"/>
  <c r="BA236" i="9"/>
  <c r="AX236" i="9"/>
  <c r="AU236" i="9"/>
  <c r="AT236" i="9"/>
  <c r="AS236" i="9"/>
  <c r="BD236" i="9" s="1"/>
  <c r="AR236" i="9"/>
  <c r="AQ236" i="9"/>
  <c r="BB236" i="9" s="1"/>
  <c r="AP236" i="9"/>
  <c r="AO236" i="9"/>
  <c r="AZ236" i="9" s="1"/>
  <c r="AN236" i="9"/>
  <c r="AY236" i="9" s="1"/>
  <c r="AM236" i="9"/>
  <c r="AL236" i="9"/>
  <c r="AW236" i="9" s="1"/>
  <c r="AK236" i="9"/>
  <c r="AV236" i="9" s="1"/>
  <c r="AJ236" i="9"/>
  <c r="B236" i="9"/>
  <c r="BG235" i="9"/>
  <c r="BG235" i="9" a="1"/>
  <c r="BE235" i="9"/>
  <c r="AX235" i="9"/>
  <c r="AV235" i="9"/>
  <c r="AU235" i="9"/>
  <c r="AT235" i="9"/>
  <c r="AS235" i="9"/>
  <c r="BD235" i="9" s="1"/>
  <c r="AR235" i="9"/>
  <c r="BC235" i="9" s="1"/>
  <c r="AQ235" i="9"/>
  <c r="BB235" i="9" s="1"/>
  <c r="AP235" i="9"/>
  <c r="BA235" i="9" s="1"/>
  <c r="AO235" i="9"/>
  <c r="AZ235" i="9" s="1"/>
  <c r="AN235" i="9"/>
  <c r="AY235" i="9" s="1"/>
  <c r="AM235" i="9"/>
  <c r="AL235" i="9"/>
  <c r="AW235" i="9" s="1"/>
  <c r="AK235" i="9"/>
  <c r="AJ235" i="9"/>
  <c r="B235" i="9"/>
  <c r="BG234" i="9"/>
  <c r="BG234" i="9" a="1"/>
  <c r="BE234" i="9"/>
  <c r="BC234" i="9"/>
  <c r="BB234" i="9"/>
  <c r="BA234" i="9"/>
  <c r="AZ234" i="9"/>
  <c r="AY234" i="9"/>
  <c r="AT234" i="9"/>
  <c r="AS234" i="9"/>
  <c r="BD234" i="9" s="1"/>
  <c r="AR234" i="9"/>
  <c r="AQ234" i="9"/>
  <c r="AP234" i="9"/>
  <c r="AO234" i="9"/>
  <c r="AN234" i="9"/>
  <c r="AM234" i="9"/>
  <c r="AX234" i="9" s="1"/>
  <c r="AL234" i="9"/>
  <c r="AW234" i="9" s="1"/>
  <c r="AK234" i="9"/>
  <c r="AV234" i="9" s="1"/>
  <c r="AJ234" i="9"/>
  <c r="AU234" i="9" s="1"/>
  <c r="BF234" i="9" s="1"/>
  <c r="B234" i="9"/>
  <c r="BG233" i="9"/>
  <c r="BG233" i="9" a="1"/>
  <c r="BD233" i="9"/>
  <c r="AY233" i="9"/>
  <c r="AW233" i="9"/>
  <c r="AV233" i="9"/>
  <c r="AU233" i="9"/>
  <c r="AT233" i="9"/>
  <c r="BE233" i="9" s="1"/>
  <c r="AS233" i="9"/>
  <c r="AR233" i="9"/>
  <c r="BC233" i="9" s="1"/>
  <c r="AQ233" i="9"/>
  <c r="BB233" i="9" s="1"/>
  <c r="AP233" i="9"/>
  <c r="BA233" i="9" s="1"/>
  <c r="AO233" i="9"/>
  <c r="AZ233" i="9" s="1"/>
  <c r="AN233" i="9"/>
  <c r="AM233" i="9"/>
  <c r="AX233" i="9" s="1"/>
  <c r="AL233" i="9"/>
  <c r="AK233" i="9"/>
  <c r="AJ233" i="9"/>
  <c r="B233" i="9"/>
  <c r="BG232" i="9" a="1"/>
  <c r="BG232" i="9" s="1"/>
  <c r="BE232" i="9"/>
  <c r="BD232" i="9"/>
  <c r="BC232" i="9"/>
  <c r="BB232" i="9"/>
  <c r="BA232" i="9"/>
  <c r="AY232" i="9"/>
  <c r="AX232" i="9"/>
  <c r="AV232" i="9"/>
  <c r="AT232" i="9"/>
  <c r="AS232" i="9"/>
  <c r="AR232" i="9"/>
  <c r="AQ232" i="9"/>
  <c r="AP232" i="9"/>
  <c r="AO232" i="9"/>
  <c r="AZ232" i="9" s="1"/>
  <c r="AN232" i="9"/>
  <c r="AM232" i="9"/>
  <c r="AL232" i="9"/>
  <c r="AW232" i="9" s="1"/>
  <c r="AK232" i="9"/>
  <c r="AJ232" i="9"/>
  <c r="AU232" i="9" s="1"/>
  <c r="B232" i="9"/>
  <c r="BG231" i="9"/>
  <c r="BG231" i="9" a="1"/>
  <c r="BC231" i="9"/>
  <c r="AY231" i="9"/>
  <c r="AX231" i="9"/>
  <c r="AW231" i="9"/>
  <c r="AV231" i="9"/>
  <c r="BF231" i="9" s="1"/>
  <c r="AU231" i="9"/>
  <c r="AT231" i="9"/>
  <c r="BE231" i="9" s="1"/>
  <c r="AS231" i="9"/>
  <c r="BD231" i="9" s="1"/>
  <c r="AR231" i="9"/>
  <c r="AQ231" i="9"/>
  <c r="BB231" i="9" s="1"/>
  <c r="AP231" i="9"/>
  <c r="BA231" i="9" s="1"/>
  <c r="AO231" i="9"/>
  <c r="AZ231" i="9" s="1"/>
  <c r="AN231" i="9"/>
  <c r="AM231" i="9"/>
  <c r="AL231" i="9"/>
  <c r="AK231" i="9"/>
  <c r="AJ231" i="9"/>
  <c r="B231" i="9"/>
  <c r="BG230" i="9" a="1"/>
  <c r="BG230" i="9" s="1"/>
  <c r="BE230" i="9"/>
  <c r="BC230" i="9"/>
  <c r="BA230" i="9"/>
  <c r="AZ230" i="9"/>
  <c r="AT230" i="9"/>
  <c r="AS230" i="9"/>
  <c r="BD230" i="9" s="1"/>
  <c r="AR230" i="9"/>
  <c r="AQ230" i="9"/>
  <c r="BB230" i="9" s="1"/>
  <c r="AP230" i="9"/>
  <c r="AO230" i="9"/>
  <c r="AN230" i="9"/>
  <c r="AY230" i="9" s="1"/>
  <c r="AM230" i="9"/>
  <c r="AX230" i="9" s="1"/>
  <c r="AL230" i="9"/>
  <c r="AW230" i="9" s="1"/>
  <c r="AK230" i="9"/>
  <c r="AV230" i="9" s="1"/>
  <c r="AJ230" i="9"/>
  <c r="AU230" i="9" s="1"/>
  <c r="B230" i="9"/>
  <c r="BG229" i="9" a="1"/>
  <c r="BG229" i="9" s="1"/>
  <c r="BB229" i="9"/>
  <c r="BA229" i="9"/>
  <c r="AZ229" i="9"/>
  <c r="AX229" i="9"/>
  <c r="AV229" i="9"/>
  <c r="AT229" i="9"/>
  <c r="BE229" i="9" s="1"/>
  <c r="AS229" i="9"/>
  <c r="BD229" i="9" s="1"/>
  <c r="AR229" i="9"/>
  <c r="BC229" i="9" s="1"/>
  <c r="AQ229" i="9"/>
  <c r="AP229" i="9"/>
  <c r="AO229" i="9"/>
  <c r="AN229" i="9"/>
  <c r="AY229" i="9" s="1"/>
  <c r="AM229" i="9"/>
  <c r="AL229" i="9"/>
  <c r="AW229" i="9" s="1"/>
  <c r="AK229" i="9"/>
  <c r="AJ229" i="9"/>
  <c r="AU229" i="9" s="1"/>
  <c r="B229" i="9"/>
  <c r="BG228" i="9"/>
  <c r="BG228" i="9" a="1"/>
  <c r="BE228" i="9"/>
  <c r="BD228" i="9"/>
  <c r="BC228" i="9"/>
  <c r="BA228" i="9"/>
  <c r="AY228" i="9"/>
  <c r="AU228" i="9"/>
  <c r="AT228" i="9"/>
  <c r="AS228" i="9"/>
  <c r="AR228" i="9"/>
  <c r="AQ228" i="9"/>
  <c r="BB228" i="9" s="1"/>
  <c r="AP228" i="9"/>
  <c r="AO228" i="9"/>
  <c r="AZ228" i="9" s="1"/>
  <c r="AN228" i="9"/>
  <c r="AM228" i="9"/>
  <c r="AX228" i="9" s="1"/>
  <c r="AL228" i="9"/>
  <c r="AW228" i="9" s="1"/>
  <c r="AK228" i="9"/>
  <c r="AV228" i="9" s="1"/>
  <c r="AJ228" i="9"/>
  <c r="B228" i="9"/>
  <c r="BG227" i="9" a="1"/>
  <c r="BG227" i="9" s="1"/>
  <c r="BE227" i="9"/>
  <c r="BC227" i="9"/>
  <c r="BA227" i="9"/>
  <c r="AW227" i="9"/>
  <c r="AU227" i="9"/>
  <c r="AT227" i="9"/>
  <c r="AS227" i="9"/>
  <c r="BD227" i="9" s="1"/>
  <c r="AR227" i="9"/>
  <c r="AQ227" i="9"/>
  <c r="BB227" i="9" s="1"/>
  <c r="AP227" i="9"/>
  <c r="AO227" i="9"/>
  <c r="AZ227" i="9" s="1"/>
  <c r="AN227" i="9"/>
  <c r="AY227" i="9" s="1"/>
  <c r="AM227" i="9"/>
  <c r="AX227" i="9" s="1"/>
  <c r="AL227" i="9"/>
  <c r="AK227" i="9"/>
  <c r="AV227" i="9" s="1"/>
  <c r="AJ227" i="9"/>
  <c r="B227" i="9"/>
  <c r="BG226" i="9" a="1"/>
  <c r="BG226" i="9" s="1"/>
  <c r="BE226" i="9"/>
  <c r="BC226" i="9"/>
  <c r="BB226" i="9"/>
  <c r="AZ226" i="9"/>
  <c r="AY226" i="9"/>
  <c r="AX226" i="9"/>
  <c r="AW226" i="9"/>
  <c r="AV226" i="9"/>
  <c r="AT226" i="9"/>
  <c r="AS226" i="9"/>
  <c r="BD226" i="9" s="1"/>
  <c r="AR226" i="9"/>
  <c r="AQ226" i="9"/>
  <c r="AP226" i="9"/>
  <c r="BA226" i="9" s="1"/>
  <c r="AO226" i="9"/>
  <c r="AN226" i="9"/>
  <c r="AM226" i="9"/>
  <c r="AL226" i="9"/>
  <c r="AK226" i="9"/>
  <c r="AJ226" i="9"/>
  <c r="AU226" i="9" s="1"/>
  <c r="B226" i="9"/>
  <c r="BG225" i="9" a="1"/>
  <c r="BG225" i="9" s="1"/>
  <c r="BF225" i="9"/>
  <c r="BE225" i="9"/>
  <c r="BC225" i="9"/>
  <c r="AV225" i="9"/>
  <c r="AT225" i="9"/>
  <c r="AS225" i="9"/>
  <c r="BD225" i="9" s="1"/>
  <c r="AR225" i="9"/>
  <c r="AQ225" i="9"/>
  <c r="BB225" i="9" s="1"/>
  <c r="AP225" i="9"/>
  <c r="BA225" i="9" s="1"/>
  <c r="AO225" i="9"/>
  <c r="AZ225" i="9" s="1"/>
  <c r="AN225" i="9"/>
  <c r="AY225" i="9" s="1"/>
  <c r="AM225" i="9"/>
  <c r="AX225" i="9" s="1"/>
  <c r="AL225" i="9"/>
  <c r="AW225" i="9" s="1"/>
  <c r="AK225" i="9"/>
  <c r="AJ225" i="9"/>
  <c r="AU225" i="9" s="1"/>
  <c r="B225" i="9"/>
  <c r="BG224" i="9" a="1"/>
  <c r="BG224" i="9" s="1"/>
  <c r="BD224" i="9"/>
  <c r="BC224" i="9"/>
  <c r="BB224" i="9"/>
  <c r="AZ224" i="9"/>
  <c r="AX224" i="9"/>
  <c r="AW224" i="9"/>
  <c r="AV224" i="9"/>
  <c r="AT224" i="9"/>
  <c r="BE224" i="9" s="1"/>
  <c r="AS224" i="9"/>
  <c r="AR224" i="9"/>
  <c r="AQ224" i="9"/>
  <c r="AP224" i="9"/>
  <c r="BA224" i="9" s="1"/>
  <c r="AO224" i="9"/>
  <c r="AN224" i="9"/>
  <c r="AY224" i="9" s="1"/>
  <c r="AM224" i="9"/>
  <c r="AL224" i="9"/>
  <c r="AK224" i="9"/>
  <c r="AJ224" i="9"/>
  <c r="AU224" i="9" s="1"/>
  <c r="B224" i="9"/>
  <c r="BG223" i="9" a="1"/>
  <c r="BG223" i="9" s="1"/>
  <c r="BE223" i="9"/>
  <c r="BD223" i="9"/>
  <c r="BA223" i="9"/>
  <c r="AY223" i="9"/>
  <c r="AX223" i="9"/>
  <c r="AW223" i="9"/>
  <c r="AU223" i="9"/>
  <c r="AT223" i="9"/>
  <c r="AS223" i="9"/>
  <c r="AR223" i="9"/>
  <c r="BC223" i="9" s="1"/>
  <c r="AQ223" i="9"/>
  <c r="BB223" i="9" s="1"/>
  <c r="AP223" i="9"/>
  <c r="AO223" i="9"/>
  <c r="AZ223" i="9" s="1"/>
  <c r="AN223" i="9"/>
  <c r="AM223" i="9"/>
  <c r="AL223" i="9"/>
  <c r="AK223" i="9"/>
  <c r="AV223" i="9" s="1"/>
  <c r="AJ223" i="9"/>
  <c r="B223" i="9"/>
  <c r="BG222" i="9"/>
  <c r="BG222" i="9" a="1"/>
  <c r="BE222" i="9"/>
  <c r="BC222" i="9"/>
  <c r="BB222" i="9"/>
  <c r="BA222" i="9"/>
  <c r="AZ222" i="9"/>
  <c r="AY222" i="9"/>
  <c r="AX222" i="9"/>
  <c r="AU222" i="9"/>
  <c r="AT222" i="9"/>
  <c r="AS222" i="9"/>
  <c r="BD222" i="9" s="1"/>
  <c r="AR222" i="9"/>
  <c r="AQ222" i="9"/>
  <c r="AP222" i="9"/>
  <c r="AO222" i="9"/>
  <c r="AN222" i="9"/>
  <c r="AM222" i="9"/>
  <c r="AL222" i="9"/>
  <c r="AW222" i="9" s="1"/>
  <c r="AK222" i="9"/>
  <c r="AV222" i="9" s="1"/>
  <c r="AJ222" i="9"/>
  <c r="B222" i="9"/>
  <c r="BG221" i="9" a="1"/>
  <c r="BG221" i="9" s="1"/>
  <c r="BA221" i="9"/>
  <c r="AW221" i="9"/>
  <c r="AT221" i="9"/>
  <c r="BE221" i="9" s="1"/>
  <c r="AS221" i="9"/>
  <c r="BD221" i="9" s="1"/>
  <c r="AR221" i="9"/>
  <c r="BC221" i="9" s="1"/>
  <c r="AQ221" i="9"/>
  <c r="BB221" i="9" s="1"/>
  <c r="AP221" i="9"/>
  <c r="AO221" i="9"/>
  <c r="AZ221" i="9" s="1"/>
  <c r="AN221" i="9"/>
  <c r="AY221" i="9" s="1"/>
  <c r="AM221" i="9"/>
  <c r="AX221" i="9" s="1"/>
  <c r="AL221" i="9"/>
  <c r="AK221" i="9"/>
  <c r="AV221" i="9" s="1"/>
  <c r="AJ221" i="9"/>
  <c r="AU221" i="9" s="1"/>
  <c r="B221" i="9"/>
  <c r="BG220" i="9" a="1"/>
  <c r="BG220" i="9" s="1"/>
  <c r="BC220" i="9"/>
  <c r="BB220" i="9"/>
  <c r="BA220" i="9"/>
  <c r="AY220" i="9"/>
  <c r="AX220" i="9"/>
  <c r="AW220" i="9"/>
  <c r="AU220" i="9"/>
  <c r="AT220" i="9"/>
  <c r="BE220" i="9" s="1"/>
  <c r="AS220" i="9"/>
  <c r="BD220" i="9" s="1"/>
  <c r="AR220" i="9"/>
  <c r="AQ220" i="9"/>
  <c r="AP220" i="9"/>
  <c r="AO220" i="9"/>
  <c r="AZ220" i="9" s="1"/>
  <c r="AN220" i="9"/>
  <c r="AM220" i="9"/>
  <c r="AL220" i="9"/>
  <c r="AK220" i="9"/>
  <c r="AV220" i="9" s="1"/>
  <c r="AJ220" i="9"/>
  <c r="B220" i="9"/>
  <c r="BG219" i="9"/>
  <c r="BG219" i="9" a="1"/>
  <c r="BE219" i="9"/>
  <c r="BC219" i="9"/>
  <c r="AV219" i="9"/>
  <c r="AU219" i="9"/>
  <c r="AT219" i="9"/>
  <c r="AS219" i="9"/>
  <c r="BD219" i="9" s="1"/>
  <c r="AR219" i="9"/>
  <c r="AQ219" i="9"/>
  <c r="BB219" i="9" s="1"/>
  <c r="AP219" i="9"/>
  <c r="BA219" i="9" s="1"/>
  <c r="AO219" i="9"/>
  <c r="AZ219" i="9" s="1"/>
  <c r="AN219" i="9"/>
  <c r="AY219" i="9" s="1"/>
  <c r="AM219" i="9"/>
  <c r="AX219" i="9" s="1"/>
  <c r="AL219" i="9"/>
  <c r="AW219" i="9" s="1"/>
  <c r="BF219" i="9" s="1"/>
  <c r="AK219" i="9"/>
  <c r="AJ219" i="9"/>
  <c r="B219" i="9"/>
  <c r="BG218" i="9" a="1"/>
  <c r="BG218" i="9" s="1"/>
  <c r="BE218" i="9"/>
  <c r="BC218" i="9"/>
  <c r="BB218" i="9"/>
  <c r="BA218" i="9"/>
  <c r="AZ218" i="9"/>
  <c r="AY218" i="9"/>
  <c r="AX218" i="9"/>
  <c r="AW218" i="9"/>
  <c r="AV218" i="9"/>
  <c r="AU218" i="9"/>
  <c r="BF218" i="9" s="1"/>
  <c r="AT218" i="9"/>
  <c r="AS218" i="9"/>
  <c r="BD218" i="9" s="1"/>
  <c r="AR218" i="9"/>
  <c r="AQ218" i="9"/>
  <c r="AP218" i="9"/>
  <c r="AO218" i="9"/>
  <c r="AN218" i="9"/>
  <c r="AM218" i="9"/>
  <c r="AL218" i="9"/>
  <c r="AK218" i="9"/>
  <c r="AJ218" i="9"/>
  <c r="B218" i="9"/>
  <c r="BG217" i="9" a="1"/>
  <c r="BG217" i="9" s="1"/>
  <c r="BE217" i="9"/>
  <c r="BC217" i="9"/>
  <c r="AZ217" i="9"/>
  <c r="AW217" i="9"/>
  <c r="BF217" i="9" s="1"/>
  <c r="AV217" i="9"/>
  <c r="AU217" i="9"/>
  <c r="AT217" i="9"/>
  <c r="AS217" i="9"/>
  <c r="BD217" i="9" s="1"/>
  <c r="AR217" i="9"/>
  <c r="AQ217" i="9"/>
  <c r="BB217" i="9" s="1"/>
  <c r="AP217" i="9"/>
  <c r="BA217" i="9" s="1"/>
  <c r="AO217" i="9"/>
  <c r="AN217" i="9"/>
  <c r="AY217" i="9" s="1"/>
  <c r="AM217" i="9"/>
  <c r="AX217" i="9" s="1"/>
  <c r="AL217" i="9"/>
  <c r="AK217" i="9"/>
  <c r="AJ217" i="9"/>
  <c r="B217" i="9"/>
  <c r="BG216" i="9" a="1"/>
  <c r="BG216" i="9" s="1"/>
  <c r="BE216" i="9"/>
  <c r="BD216" i="9"/>
  <c r="BC216" i="9"/>
  <c r="BA216" i="9"/>
  <c r="AY216" i="9"/>
  <c r="AW216" i="9"/>
  <c r="AU216" i="9"/>
  <c r="AT216" i="9"/>
  <c r="AS216" i="9"/>
  <c r="AR216" i="9"/>
  <c r="AQ216" i="9"/>
  <c r="BB216" i="9" s="1"/>
  <c r="AP216" i="9"/>
  <c r="AO216" i="9"/>
  <c r="AZ216" i="9" s="1"/>
  <c r="AN216" i="9"/>
  <c r="AM216" i="9"/>
  <c r="AX216" i="9" s="1"/>
  <c r="BF216" i="9" s="1"/>
  <c r="AL216" i="9"/>
  <c r="AK216" i="9"/>
  <c r="AV216" i="9" s="1"/>
  <c r="AJ216" i="9"/>
  <c r="B216" i="9"/>
  <c r="BG215" i="9"/>
  <c r="BG215" i="9" a="1"/>
  <c r="AZ215" i="9"/>
  <c r="AX215" i="9"/>
  <c r="AW215" i="9"/>
  <c r="AT215" i="9"/>
  <c r="BE215" i="9" s="1"/>
  <c r="AS215" i="9"/>
  <c r="BD215" i="9" s="1"/>
  <c r="AR215" i="9"/>
  <c r="BC215" i="9" s="1"/>
  <c r="AQ215" i="9"/>
  <c r="BB215" i="9" s="1"/>
  <c r="AP215" i="9"/>
  <c r="BA215" i="9" s="1"/>
  <c r="AO215" i="9"/>
  <c r="AN215" i="9"/>
  <c r="AY215" i="9" s="1"/>
  <c r="AM215" i="9"/>
  <c r="AL215" i="9"/>
  <c r="AK215" i="9"/>
  <c r="AV215" i="9" s="1"/>
  <c r="AJ215" i="9"/>
  <c r="AU215" i="9" s="1"/>
  <c r="B215" i="9"/>
  <c r="BG214" i="9"/>
  <c r="BG214" i="9" a="1"/>
  <c r="BD214" i="9"/>
  <c r="BB214" i="9"/>
  <c r="BA214" i="9"/>
  <c r="AZ214" i="9"/>
  <c r="AU214" i="9"/>
  <c r="BF214" i="9" s="1"/>
  <c r="AT214" i="9"/>
  <c r="BE214" i="9" s="1"/>
  <c r="AS214" i="9"/>
  <c r="AR214" i="9"/>
  <c r="BC214" i="9" s="1"/>
  <c r="AQ214" i="9"/>
  <c r="AP214" i="9"/>
  <c r="AO214" i="9"/>
  <c r="AN214" i="9"/>
  <c r="AY214" i="9" s="1"/>
  <c r="AM214" i="9"/>
  <c r="AX214" i="9" s="1"/>
  <c r="AL214" i="9"/>
  <c r="AW214" i="9" s="1"/>
  <c r="AK214" i="9"/>
  <c r="AV214" i="9" s="1"/>
  <c r="AJ214" i="9"/>
  <c r="B214" i="9"/>
  <c r="BG213" i="9" a="1"/>
  <c r="BG213" i="9" s="1"/>
  <c r="BD213" i="9"/>
  <c r="BB213" i="9"/>
  <c r="BA213" i="9"/>
  <c r="AZ213" i="9"/>
  <c r="AX213" i="9"/>
  <c r="AV213" i="9"/>
  <c r="AT213" i="9"/>
  <c r="BE213" i="9" s="1"/>
  <c r="AS213" i="9"/>
  <c r="AR213" i="9"/>
  <c r="BC213" i="9" s="1"/>
  <c r="AQ213" i="9"/>
  <c r="AP213" i="9"/>
  <c r="AO213" i="9"/>
  <c r="AN213" i="9"/>
  <c r="AY213" i="9" s="1"/>
  <c r="AM213" i="9"/>
  <c r="AL213" i="9"/>
  <c r="AW213" i="9" s="1"/>
  <c r="AK213" i="9"/>
  <c r="AJ213" i="9"/>
  <c r="AU213" i="9" s="1"/>
  <c r="B213" i="9"/>
  <c r="BG212" i="9"/>
  <c r="BG212" i="9" a="1"/>
  <c r="AY212" i="9"/>
  <c r="AW212" i="9"/>
  <c r="AU212" i="9"/>
  <c r="AT212" i="9"/>
  <c r="BE212" i="9" s="1"/>
  <c r="AS212" i="9"/>
  <c r="BD212" i="9" s="1"/>
  <c r="AR212" i="9"/>
  <c r="BC212" i="9" s="1"/>
  <c r="AQ212" i="9"/>
  <c r="BB212" i="9" s="1"/>
  <c r="AP212" i="9"/>
  <c r="BA212" i="9" s="1"/>
  <c r="AO212" i="9"/>
  <c r="AZ212" i="9" s="1"/>
  <c r="AN212" i="9"/>
  <c r="AM212" i="9"/>
  <c r="AX212" i="9" s="1"/>
  <c r="AL212" i="9"/>
  <c r="AK212" i="9"/>
  <c r="AV212" i="9" s="1"/>
  <c r="AJ212" i="9"/>
  <c r="B212" i="9"/>
  <c r="BG211" i="9" a="1"/>
  <c r="BG211" i="9" s="1"/>
  <c r="BE211" i="9"/>
  <c r="BD211" i="9"/>
  <c r="BC211" i="9"/>
  <c r="BB211" i="9"/>
  <c r="AX211" i="9"/>
  <c r="AT211" i="9"/>
  <c r="AS211" i="9"/>
  <c r="AR211" i="9"/>
  <c r="AQ211" i="9"/>
  <c r="AP211" i="9"/>
  <c r="BA211" i="9" s="1"/>
  <c r="AO211" i="9"/>
  <c r="AZ211" i="9" s="1"/>
  <c r="AN211" i="9"/>
  <c r="AY211" i="9" s="1"/>
  <c r="AM211" i="9"/>
  <c r="AL211" i="9"/>
  <c r="AW211" i="9" s="1"/>
  <c r="AK211" i="9"/>
  <c r="AV211" i="9" s="1"/>
  <c r="AJ211" i="9"/>
  <c r="AU211" i="9" s="1"/>
  <c r="B211" i="9"/>
  <c r="BG210" i="9"/>
  <c r="BG210" i="9" a="1"/>
  <c r="AY210" i="9"/>
  <c r="AX210" i="9"/>
  <c r="AW210" i="9"/>
  <c r="AV210" i="9"/>
  <c r="AU210" i="9"/>
  <c r="AT210" i="9"/>
  <c r="BE210" i="9" s="1"/>
  <c r="AS210" i="9"/>
  <c r="BD210" i="9" s="1"/>
  <c r="AR210" i="9"/>
  <c r="BC210" i="9" s="1"/>
  <c r="AQ210" i="9"/>
  <c r="BB210" i="9" s="1"/>
  <c r="AP210" i="9"/>
  <c r="BA210" i="9" s="1"/>
  <c r="AO210" i="9"/>
  <c r="AZ210" i="9" s="1"/>
  <c r="AN210" i="9"/>
  <c r="AM210" i="9"/>
  <c r="AL210" i="9"/>
  <c r="AK210" i="9"/>
  <c r="AJ210" i="9"/>
  <c r="B210" i="9"/>
  <c r="BG209" i="9" a="1"/>
  <c r="BG209" i="9" s="1"/>
  <c r="BE209" i="9"/>
  <c r="BD209" i="9"/>
  <c r="BC209" i="9"/>
  <c r="BB209" i="9"/>
  <c r="BA209" i="9"/>
  <c r="AZ209" i="9"/>
  <c r="AT209" i="9"/>
  <c r="AS209" i="9"/>
  <c r="AR209" i="9"/>
  <c r="AQ209" i="9"/>
  <c r="AP209" i="9"/>
  <c r="AO209" i="9"/>
  <c r="AN209" i="9"/>
  <c r="AY209" i="9" s="1"/>
  <c r="AM209" i="9"/>
  <c r="AX209" i="9" s="1"/>
  <c r="AL209" i="9"/>
  <c r="AW209" i="9" s="1"/>
  <c r="AK209" i="9"/>
  <c r="AV209" i="9" s="1"/>
  <c r="AJ209" i="9"/>
  <c r="AU209" i="9" s="1"/>
  <c r="BF209" i="9" s="1"/>
  <c r="B209" i="9"/>
  <c r="BG208" i="9" a="1"/>
  <c r="BG208" i="9" s="1"/>
  <c r="BC208" i="9"/>
  <c r="AZ208" i="9"/>
  <c r="AY208" i="9"/>
  <c r="AX208" i="9"/>
  <c r="AW208" i="9"/>
  <c r="AU208" i="9"/>
  <c r="AT208" i="9"/>
  <c r="BE208" i="9" s="1"/>
  <c r="AS208" i="9"/>
  <c r="BD208" i="9" s="1"/>
  <c r="AR208" i="9"/>
  <c r="AQ208" i="9"/>
  <c r="BB208" i="9" s="1"/>
  <c r="AP208" i="9"/>
  <c r="BA208" i="9" s="1"/>
  <c r="AO208" i="9"/>
  <c r="AN208" i="9"/>
  <c r="AM208" i="9"/>
  <c r="AL208" i="9"/>
  <c r="AK208" i="9"/>
  <c r="AV208" i="9" s="1"/>
  <c r="BF208" i="9" s="1"/>
  <c r="AJ208" i="9"/>
  <c r="B208" i="9"/>
  <c r="BG207" i="9" a="1"/>
  <c r="BG207" i="9" s="1"/>
  <c r="BD207" i="9"/>
  <c r="AZ207" i="9"/>
  <c r="AY207" i="9"/>
  <c r="AW207" i="9"/>
  <c r="AT207" i="9"/>
  <c r="BE207" i="9" s="1"/>
  <c r="AS207" i="9"/>
  <c r="AR207" i="9"/>
  <c r="BC207" i="9" s="1"/>
  <c r="AQ207" i="9"/>
  <c r="BB207" i="9" s="1"/>
  <c r="AP207" i="9"/>
  <c r="BA207" i="9" s="1"/>
  <c r="AO207" i="9"/>
  <c r="AN207" i="9"/>
  <c r="AM207" i="9"/>
  <c r="AX207" i="9" s="1"/>
  <c r="AL207" i="9"/>
  <c r="AK207" i="9"/>
  <c r="AV207" i="9" s="1"/>
  <c r="AJ207" i="9"/>
  <c r="AU207" i="9" s="1"/>
  <c r="B207" i="9"/>
  <c r="BG206" i="9" a="1"/>
  <c r="BG206" i="9" s="1"/>
  <c r="BD206" i="9"/>
  <c r="BB206" i="9"/>
  <c r="AZ206" i="9"/>
  <c r="AX206" i="9"/>
  <c r="AW206" i="9"/>
  <c r="AU206" i="9"/>
  <c r="AT206" i="9"/>
  <c r="BE206" i="9" s="1"/>
  <c r="AS206" i="9"/>
  <c r="AR206" i="9"/>
  <c r="BC206" i="9" s="1"/>
  <c r="AQ206" i="9"/>
  <c r="AP206" i="9"/>
  <c r="BA206" i="9" s="1"/>
  <c r="AO206" i="9"/>
  <c r="AN206" i="9"/>
  <c r="AY206" i="9" s="1"/>
  <c r="AM206" i="9"/>
  <c r="AL206" i="9"/>
  <c r="AK206" i="9"/>
  <c r="AV206" i="9" s="1"/>
  <c r="AJ206" i="9"/>
  <c r="B206" i="9"/>
  <c r="BG205" i="9" a="1"/>
  <c r="BG205" i="9" s="1"/>
  <c r="BD205" i="9"/>
  <c r="BC205" i="9"/>
  <c r="BB205" i="9"/>
  <c r="BA205" i="9"/>
  <c r="AW205" i="9"/>
  <c r="AU205" i="9"/>
  <c r="AT205" i="9"/>
  <c r="BE205" i="9" s="1"/>
  <c r="AS205" i="9"/>
  <c r="AR205" i="9"/>
  <c r="AQ205" i="9"/>
  <c r="AP205" i="9"/>
  <c r="AO205" i="9"/>
  <c r="AZ205" i="9" s="1"/>
  <c r="AN205" i="9"/>
  <c r="AY205" i="9" s="1"/>
  <c r="AM205" i="9"/>
  <c r="AX205" i="9" s="1"/>
  <c r="AL205" i="9"/>
  <c r="AK205" i="9"/>
  <c r="AV205" i="9" s="1"/>
  <c r="AJ205" i="9"/>
  <c r="B205" i="9"/>
  <c r="BG204" i="9" a="1"/>
  <c r="BG204" i="9" s="1"/>
  <c r="BD204" i="9"/>
  <c r="BB204" i="9"/>
  <c r="AV204" i="9"/>
  <c r="BF204" i="9" s="1"/>
  <c r="AU204" i="9"/>
  <c r="AT204" i="9"/>
  <c r="BE204" i="9" s="1"/>
  <c r="AS204" i="9"/>
  <c r="AR204" i="9"/>
  <c r="BC204" i="9" s="1"/>
  <c r="AQ204" i="9"/>
  <c r="AP204" i="9"/>
  <c r="BA204" i="9" s="1"/>
  <c r="AO204" i="9"/>
  <c r="AZ204" i="9" s="1"/>
  <c r="AN204" i="9"/>
  <c r="AY204" i="9" s="1"/>
  <c r="AM204" i="9"/>
  <c r="AX204" i="9" s="1"/>
  <c r="AL204" i="9"/>
  <c r="AW204" i="9" s="1"/>
  <c r="AK204" i="9"/>
  <c r="AJ204" i="9"/>
  <c r="B204" i="9"/>
  <c r="BG203" i="9"/>
  <c r="BG203" i="9" a="1"/>
  <c r="BE203" i="9"/>
  <c r="BD203" i="9"/>
  <c r="BB203" i="9"/>
  <c r="AZ203" i="9"/>
  <c r="AX203" i="9"/>
  <c r="AW203" i="9"/>
  <c r="AV203" i="9"/>
  <c r="AU203" i="9"/>
  <c r="AT203" i="9"/>
  <c r="AS203" i="9"/>
  <c r="AR203" i="9"/>
  <c r="BC203" i="9" s="1"/>
  <c r="AQ203" i="9"/>
  <c r="AP203" i="9"/>
  <c r="BA203" i="9" s="1"/>
  <c r="AO203" i="9"/>
  <c r="AN203" i="9"/>
  <c r="AY203" i="9" s="1"/>
  <c r="BF203" i="9" s="1"/>
  <c r="AM203" i="9"/>
  <c r="AL203" i="9"/>
  <c r="AK203" i="9"/>
  <c r="AJ203" i="9"/>
  <c r="B203" i="9"/>
  <c r="BG202" i="9"/>
  <c r="BG202" i="9" a="1"/>
  <c r="BE202" i="9"/>
  <c r="BA202" i="9"/>
  <c r="AY202" i="9"/>
  <c r="AT202" i="9"/>
  <c r="AS202" i="9"/>
  <c r="BD202" i="9" s="1"/>
  <c r="AR202" i="9"/>
  <c r="BC202" i="9" s="1"/>
  <c r="AQ202" i="9"/>
  <c r="BB202" i="9" s="1"/>
  <c r="AP202" i="9"/>
  <c r="AO202" i="9"/>
  <c r="AZ202" i="9" s="1"/>
  <c r="AN202" i="9"/>
  <c r="AM202" i="9"/>
  <c r="AX202" i="9" s="1"/>
  <c r="AL202" i="9"/>
  <c r="AW202" i="9" s="1"/>
  <c r="AK202" i="9"/>
  <c r="AV202" i="9" s="1"/>
  <c r="AJ202" i="9"/>
  <c r="AU202" i="9" s="1"/>
  <c r="B202" i="9"/>
  <c r="BG201" i="9"/>
  <c r="BG201" i="9" a="1"/>
  <c r="BC201" i="9"/>
  <c r="BB201" i="9"/>
  <c r="BA201" i="9"/>
  <c r="AZ201" i="9"/>
  <c r="AY201" i="9"/>
  <c r="AW201" i="9"/>
  <c r="AU201" i="9"/>
  <c r="AT201" i="9"/>
  <c r="BE201" i="9" s="1"/>
  <c r="AS201" i="9"/>
  <c r="BD201" i="9" s="1"/>
  <c r="AR201" i="9"/>
  <c r="AQ201" i="9"/>
  <c r="AP201" i="9"/>
  <c r="AO201" i="9"/>
  <c r="AN201" i="9"/>
  <c r="AM201" i="9"/>
  <c r="AX201" i="9" s="1"/>
  <c r="AL201" i="9"/>
  <c r="AK201" i="9"/>
  <c r="AV201" i="9" s="1"/>
  <c r="AJ201" i="9"/>
  <c r="B201" i="9"/>
  <c r="BG200" i="9" a="1"/>
  <c r="BG200" i="9" s="1"/>
  <c r="BD200" i="9"/>
  <c r="BC200" i="9"/>
  <c r="BB200" i="9"/>
  <c r="AZ200" i="9"/>
  <c r="AT200" i="9"/>
  <c r="BE200" i="9" s="1"/>
  <c r="AS200" i="9"/>
  <c r="AR200" i="9"/>
  <c r="AQ200" i="9"/>
  <c r="AP200" i="9"/>
  <c r="BA200" i="9" s="1"/>
  <c r="AO200" i="9"/>
  <c r="AN200" i="9"/>
  <c r="AY200" i="9" s="1"/>
  <c r="AM200" i="9"/>
  <c r="AX200" i="9" s="1"/>
  <c r="AL200" i="9"/>
  <c r="AW200" i="9" s="1"/>
  <c r="AK200" i="9"/>
  <c r="AV200" i="9" s="1"/>
  <c r="AJ200" i="9"/>
  <c r="AU200" i="9" s="1"/>
  <c r="B200" i="9"/>
  <c r="BG199" i="9" a="1"/>
  <c r="BG199" i="9" s="1"/>
  <c r="BD199" i="9"/>
  <c r="BA199" i="9"/>
  <c r="AZ199" i="9"/>
  <c r="AY199" i="9"/>
  <c r="AW199" i="9"/>
  <c r="AU199" i="9"/>
  <c r="AT199" i="9"/>
  <c r="BE199" i="9" s="1"/>
  <c r="AS199" i="9"/>
  <c r="AR199" i="9"/>
  <c r="BC199" i="9" s="1"/>
  <c r="AQ199" i="9"/>
  <c r="BB199" i="9" s="1"/>
  <c r="AP199" i="9"/>
  <c r="AO199" i="9"/>
  <c r="AN199" i="9"/>
  <c r="AM199" i="9"/>
  <c r="AX199" i="9" s="1"/>
  <c r="AL199" i="9"/>
  <c r="AK199" i="9"/>
  <c r="AV199" i="9" s="1"/>
  <c r="AJ199" i="9"/>
  <c r="B199" i="9"/>
  <c r="BG198" i="9" a="1"/>
  <c r="BG198" i="9" s="1"/>
  <c r="BD198" i="9"/>
  <c r="BB198" i="9"/>
  <c r="AZ198" i="9"/>
  <c r="AW198" i="9"/>
  <c r="AU198" i="9"/>
  <c r="AT198" i="9"/>
  <c r="BE198" i="9" s="1"/>
  <c r="AS198" i="9"/>
  <c r="AR198" i="9"/>
  <c r="BC198" i="9" s="1"/>
  <c r="AQ198" i="9"/>
  <c r="AP198" i="9"/>
  <c r="BA198" i="9" s="1"/>
  <c r="AO198" i="9"/>
  <c r="AN198" i="9"/>
  <c r="AY198" i="9" s="1"/>
  <c r="AM198" i="9"/>
  <c r="AX198" i="9" s="1"/>
  <c r="AL198" i="9"/>
  <c r="AK198" i="9"/>
  <c r="AV198" i="9" s="1"/>
  <c r="AJ198" i="9"/>
  <c r="B198" i="9"/>
  <c r="BG197" i="9" a="1"/>
  <c r="BG197" i="9" s="1"/>
  <c r="BD197" i="9"/>
  <c r="BB197" i="9"/>
  <c r="BA197" i="9"/>
  <c r="AZ197" i="9"/>
  <c r="AX197" i="9"/>
  <c r="AW197" i="9"/>
  <c r="AV197" i="9"/>
  <c r="AT197" i="9"/>
  <c r="BE197" i="9" s="1"/>
  <c r="AS197" i="9"/>
  <c r="AR197" i="9"/>
  <c r="BC197" i="9" s="1"/>
  <c r="AQ197" i="9"/>
  <c r="AP197" i="9"/>
  <c r="AO197" i="9"/>
  <c r="AN197" i="9"/>
  <c r="AY197" i="9" s="1"/>
  <c r="AM197" i="9"/>
  <c r="AL197" i="9"/>
  <c r="AK197" i="9"/>
  <c r="AJ197" i="9"/>
  <c r="AU197" i="9" s="1"/>
  <c r="B197" i="9"/>
  <c r="BG196" i="9" a="1"/>
  <c r="BG196" i="9" s="1"/>
  <c r="BE196" i="9"/>
  <c r="AW196" i="9"/>
  <c r="AU196" i="9"/>
  <c r="BF196" i="9" s="1"/>
  <c r="AT196" i="9"/>
  <c r="AS196" i="9"/>
  <c r="BD196" i="9" s="1"/>
  <c r="AR196" i="9"/>
  <c r="BC196" i="9" s="1"/>
  <c r="AQ196" i="9"/>
  <c r="BB196" i="9" s="1"/>
  <c r="AP196" i="9"/>
  <c r="BA196" i="9" s="1"/>
  <c r="AO196" i="9"/>
  <c r="AZ196" i="9" s="1"/>
  <c r="AN196" i="9"/>
  <c r="AY196" i="9" s="1"/>
  <c r="AM196" i="9"/>
  <c r="AX196" i="9" s="1"/>
  <c r="AL196" i="9"/>
  <c r="AK196" i="9"/>
  <c r="AV196" i="9" s="1"/>
  <c r="AJ196" i="9"/>
  <c r="B196" i="9"/>
  <c r="BG195" i="9"/>
  <c r="BG195" i="9" a="1"/>
  <c r="BE195" i="9"/>
  <c r="BC195" i="9"/>
  <c r="AZ195" i="9"/>
  <c r="AY195" i="9"/>
  <c r="AX195" i="9"/>
  <c r="AW195" i="9"/>
  <c r="AU195" i="9"/>
  <c r="AT195" i="9"/>
  <c r="AS195" i="9"/>
  <c r="BD195" i="9" s="1"/>
  <c r="AR195" i="9"/>
  <c r="AQ195" i="9"/>
  <c r="BB195" i="9" s="1"/>
  <c r="AP195" i="9"/>
  <c r="BA195" i="9" s="1"/>
  <c r="AO195" i="9"/>
  <c r="AN195" i="9"/>
  <c r="AM195" i="9"/>
  <c r="AL195" i="9"/>
  <c r="AK195" i="9"/>
  <c r="AV195" i="9" s="1"/>
  <c r="AJ195" i="9"/>
  <c r="B195" i="9"/>
  <c r="BG194" i="9" a="1"/>
  <c r="BG194" i="9" s="1"/>
  <c r="BE194" i="9"/>
  <c r="BA194" i="9"/>
  <c r="AZ194" i="9"/>
  <c r="AY194" i="9"/>
  <c r="AX194" i="9"/>
  <c r="AT194" i="9"/>
  <c r="AS194" i="9"/>
  <c r="BD194" i="9" s="1"/>
  <c r="AR194" i="9"/>
  <c r="BC194" i="9" s="1"/>
  <c r="AQ194" i="9"/>
  <c r="BB194" i="9" s="1"/>
  <c r="AP194" i="9"/>
  <c r="AO194" i="9"/>
  <c r="AN194" i="9"/>
  <c r="AM194" i="9"/>
  <c r="AL194" i="9"/>
  <c r="AW194" i="9" s="1"/>
  <c r="AK194" i="9"/>
  <c r="AV194" i="9" s="1"/>
  <c r="AJ194" i="9"/>
  <c r="AU194" i="9" s="1"/>
  <c r="B194" i="9"/>
  <c r="BG193" i="9"/>
  <c r="BG193" i="9" a="1"/>
  <c r="BE193" i="9"/>
  <c r="BA193" i="9"/>
  <c r="AU193" i="9"/>
  <c r="AT193" i="9"/>
  <c r="AS193" i="9"/>
  <c r="BD193" i="9" s="1"/>
  <c r="AR193" i="9"/>
  <c r="BC193" i="9" s="1"/>
  <c r="AQ193" i="9"/>
  <c r="BB193" i="9" s="1"/>
  <c r="AP193" i="9"/>
  <c r="AO193" i="9"/>
  <c r="AZ193" i="9" s="1"/>
  <c r="AN193" i="9"/>
  <c r="AY193" i="9" s="1"/>
  <c r="AM193" i="9"/>
  <c r="AX193" i="9" s="1"/>
  <c r="AL193" i="9"/>
  <c r="AW193" i="9" s="1"/>
  <c r="AK193" i="9"/>
  <c r="AV193" i="9" s="1"/>
  <c r="AJ193" i="9"/>
  <c r="B193" i="9"/>
  <c r="BG192" i="9" a="1"/>
  <c r="BG192" i="9" s="1"/>
  <c r="BD192" i="9"/>
  <c r="BC192" i="9"/>
  <c r="BB192" i="9"/>
  <c r="BA192" i="9"/>
  <c r="AZ192" i="9"/>
  <c r="AY192" i="9"/>
  <c r="AX192" i="9"/>
  <c r="AW192" i="9"/>
  <c r="AV192" i="9"/>
  <c r="AT192" i="9"/>
  <c r="BE192" i="9" s="1"/>
  <c r="AS192" i="9"/>
  <c r="AR192" i="9"/>
  <c r="AQ192" i="9"/>
  <c r="AP192" i="9"/>
  <c r="AO192" i="9"/>
  <c r="AN192" i="9"/>
  <c r="AM192" i="9"/>
  <c r="AL192" i="9"/>
  <c r="AK192" i="9"/>
  <c r="AJ192" i="9"/>
  <c r="AU192" i="9" s="1"/>
  <c r="B192" i="9"/>
  <c r="BG191" i="9" a="1"/>
  <c r="BG191" i="9" s="1"/>
  <c r="BD191" i="9"/>
  <c r="BA191" i="9"/>
  <c r="AW191" i="9"/>
  <c r="AU191" i="9"/>
  <c r="AT191" i="9"/>
  <c r="BE191" i="9" s="1"/>
  <c r="AS191" i="9"/>
  <c r="AR191" i="9"/>
  <c r="BC191" i="9" s="1"/>
  <c r="AQ191" i="9"/>
  <c r="BB191" i="9" s="1"/>
  <c r="AP191" i="9"/>
  <c r="AO191" i="9"/>
  <c r="AZ191" i="9" s="1"/>
  <c r="AN191" i="9"/>
  <c r="AY191" i="9" s="1"/>
  <c r="AM191" i="9"/>
  <c r="AX191" i="9" s="1"/>
  <c r="AL191" i="9"/>
  <c r="AK191" i="9"/>
  <c r="AV191" i="9" s="1"/>
  <c r="AJ191" i="9"/>
  <c r="B191" i="9"/>
  <c r="BG190" i="9" a="1"/>
  <c r="BG190" i="9" s="1"/>
  <c r="BE190" i="9"/>
  <c r="BD190" i="9"/>
  <c r="BC190" i="9"/>
  <c r="BB190" i="9"/>
  <c r="BA190" i="9"/>
  <c r="AY190" i="9"/>
  <c r="AT190" i="9"/>
  <c r="AS190" i="9"/>
  <c r="AR190" i="9"/>
  <c r="AQ190" i="9"/>
  <c r="AP190" i="9"/>
  <c r="AO190" i="9"/>
  <c r="AZ190" i="9" s="1"/>
  <c r="AN190" i="9"/>
  <c r="AM190" i="9"/>
  <c r="AX190" i="9" s="1"/>
  <c r="AL190" i="9"/>
  <c r="AW190" i="9" s="1"/>
  <c r="AK190" i="9"/>
  <c r="AV190" i="9" s="1"/>
  <c r="AJ190" i="9"/>
  <c r="AU190" i="9" s="1"/>
  <c r="BF190" i="9" s="1"/>
  <c r="B190" i="9"/>
  <c r="BG189" i="9"/>
  <c r="BG189" i="9" a="1"/>
  <c r="BA189" i="9"/>
  <c r="AW189" i="9"/>
  <c r="AV189" i="9"/>
  <c r="AU189" i="9"/>
  <c r="AT189" i="9"/>
  <c r="BE189" i="9" s="1"/>
  <c r="AS189" i="9"/>
  <c r="BD189" i="9" s="1"/>
  <c r="AR189" i="9"/>
  <c r="BC189" i="9" s="1"/>
  <c r="AQ189" i="9"/>
  <c r="BB189" i="9" s="1"/>
  <c r="AP189" i="9"/>
  <c r="AO189" i="9"/>
  <c r="AZ189" i="9" s="1"/>
  <c r="AN189" i="9"/>
  <c r="AY189" i="9" s="1"/>
  <c r="AM189" i="9"/>
  <c r="AX189" i="9" s="1"/>
  <c r="AL189" i="9"/>
  <c r="AK189" i="9"/>
  <c r="AJ189" i="9"/>
  <c r="B189" i="9"/>
  <c r="BG188" i="9"/>
  <c r="BG188" i="9" a="1"/>
  <c r="BE188" i="9"/>
  <c r="BD188" i="9"/>
  <c r="BC188" i="9"/>
  <c r="BA188" i="9"/>
  <c r="AY188" i="9"/>
  <c r="AX188" i="9"/>
  <c r="AV188" i="9"/>
  <c r="BF188" i="9" s="1"/>
  <c r="AU188" i="9"/>
  <c r="AT188" i="9"/>
  <c r="AS188" i="9"/>
  <c r="AR188" i="9"/>
  <c r="AQ188" i="9"/>
  <c r="BB188" i="9" s="1"/>
  <c r="AP188" i="9"/>
  <c r="AO188" i="9"/>
  <c r="AZ188" i="9" s="1"/>
  <c r="AN188" i="9"/>
  <c r="AM188" i="9"/>
  <c r="AL188" i="9"/>
  <c r="AW188" i="9" s="1"/>
  <c r="AK188" i="9"/>
  <c r="AJ188" i="9"/>
  <c r="B188" i="9"/>
  <c r="BG187" i="9"/>
  <c r="BG187" i="9" a="1"/>
  <c r="BE187" i="9"/>
  <c r="AZ187" i="9"/>
  <c r="AX187" i="9"/>
  <c r="BF187" i="9" s="1"/>
  <c r="AV187" i="9"/>
  <c r="AU187" i="9"/>
  <c r="AT187" i="9"/>
  <c r="AS187" i="9"/>
  <c r="BD187" i="9" s="1"/>
  <c r="AR187" i="9"/>
  <c r="BC187" i="9" s="1"/>
  <c r="AQ187" i="9"/>
  <c r="BB187" i="9" s="1"/>
  <c r="AP187" i="9"/>
  <c r="BA187" i="9" s="1"/>
  <c r="AO187" i="9"/>
  <c r="AN187" i="9"/>
  <c r="AY187" i="9" s="1"/>
  <c r="AM187" i="9"/>
  <c r="AL187" i="9"/>
  <c r="AW187" i="9" s="1"/>
  <c r="AK187" i="9"/>
  <c r="AJ187" i="9"/>
  <c r="B187" i="9"/>
  <c r="BG186" i="9"/>
  <c r="BG186" i="9" a="1"/>
  <c r="BE186" i="9"/>
  <c r="BC186" i="9"/>
  <c r="BB186" i="9"/>
  <c r="BA186" i="9"/>
  <c r="AY186" i="9"/>
  <c r="AT186" i="9"/>
  <c r="AS186" i="9"/>
  <c r="BD186" i="9" s="1"/>
  <c r="AR186" i="9"/>
  <c r="AQ186" i="9"/>
  <c r="AP186" i="9"/>
  <c r="AO186" i="9"/>
  <c r="AZ186" i="9" s="1"/>
  <c r="AN186" i="9"/>
  <c r="AM186" i="9"/>
  <c r="AX186" i="9" s="1"/>
  <c r="AL186" i="9"/>
  <c r="AW186" i="9" s="1"/>
  <c r="AK186" i="9"/>
  <c r="AV186" i="9" s="1"/>
  <c r="AJ186" i="9"/>
  <c r="AU186" i="9" s="1"/>
  <c r="B186" i="9"/>
  <c r="BG185" i="9" a="1"/>
  <c r="BG185" i="9" s="1"/>
  <c r="BB185" i="9"/>
  <c r="AZ185" i="9"/>
  <c r="AV185" i="9"/>
  <c r="AT185" i="9"/>
  <c r="BE185" i="9" s="1"/>
  <c r="AS185" i="9"/>
  <c r="BD185" i="9" s="1"/>
  <c r="AR185" i="9"/>
  <c r="BC185" i="9" s="1"/>
  <c r="AQ185" i="9"/>
  <c r="AP185" i="9"/>
  <c r="BA185" i="9" s="1"/>
  <c r="AO185" i="9"/>
  <c r="AN185" i="9"/>
  <c r="AY185" i="9" s="1"/>
  <c r="AM185" i="9"/>
  <c r="AX185" i="9" s="1"/>
  <c r="AL185" i="9"/>
  <c r="AW185" i="9" s="1"/>
  <c r="AK185" i="9"/>
  <c r="AJ185" i="9"/>
  <c r="AU185" i="9" s="1"/>
  <c r="B185" i="9"/>
  <c r="BG184" i="9" a="1"/>
  <c r="BG184" i="9" s="1"/>
  <c r="BC184" i="9"/>
  <c r="BA184" i="9"/>
  <c r="AY184" i="9"/>
  <c r="AW184" i="9"/>
  <c r="AV184" i="9"/>
  <c r="AU184" i="9"/>
  <c r="AT184" i="9"/>
  <c r="BE184" i="9" s="1"/>
  <c r="AS184" i="9"/>
  <c r="BD184" i="9" s="1"/>
  <c r="AR184" i="9"/>
  <c r="AQ184" i="9"/>
  <c r="BB184" i="9" s="1"/>
  <c r="AP184" i="9"/>
  <c r="AO184" i="9"/>
  <c r="AZ184" i="9" s="1"/>
  <c r="AN184" i="9"/>
  <c r="AM184" i="9"/>
  <c r="AX184" i="9" s="1"/>
  <c r="AL184" i="9"/>
  <c r="AK184" i="9"/>
  <c r="AJ184" i="9"/>
  <c r="B184" i="9"/>
  <c r="BG183" i="9" a="1"/>
  <c r="BG183" i="9" s="1"/>
  <c r="BE183" i="9"/>
  <c r="BD183" i="9"/>
  <c r="BC183" i="9"/>
  <c r="BA183" i="9"/>
  <c r="AY183" i="9"/>
  <c r="AW183" i="9"/>
  <c r="AU183" i="9"/>
  <c r="AT183" i="9"/>
  <c r="AS183" i="9"/>
  <c r="AR183" i="9"/>
  <c r="AQ183" i="9"/>
  <c r="BB183" i="9" s="1"/>
  <c r="AP183" i="9"/>
  <c r="AO183" i="9"/>
  <c r="AZ183" i="9" s="1"/>
  <c r="AN183" i="9"/>
  <c r="AM183" i="9"/>
  <c r="AX183" i="9" s="1"/>
  <c r="AL183" i="9"/>
  <c r="AK183" i="9"/>
  <c r="AV183" i="9" s="1"/>
  <c r="BF183" i="9" s="1"/>
  <c r="AJ183" i="9"/>
  <c r="B183" i="9"/>
  <c r="BG182" i="9" a="1"/>
  <c r="BG182" i="9" s="1"/>
  <c r="BE182" i="9"/>
  <c r="BB182" i="9"/>
  <c r="AZ182" i="9"/>
  <c r="AX182" i="9"/>
  <c r="AW182" i="9"/>
  <c r="AU182" i="9"/>
  <c r="AT182" i="9"/>
  <c r="AS182" i="9"/>
  <c r="BD182" i="9" s="1"/>
  <c r="AR182" i="9"/>
  <c r="BC182" i="9" s="1"/>
  <c r="AQ182" i="9"/>
  <c r="AP182" i="9"/>
  <c r="BA182" i="9" s="1"/>
  <c r="AO182" i="9"/>
  <c r="AN182" i="9"/>
  <c r="AY182" i="9" s="1"/>
  <c r="AM182" i="9"/>
  <c r="AL182" i="9"/>
  <c r="AK182" i="9"/>
  <c r="AV182" i="9" s="1"/>
  <c r="AJ182" i="9"/>
  <c r="B182" i="9"/>
  <c r="BG181" i="9" a="1"/>
  <c r="BG181" i="9" s="1"/>
  <c r="BD181" i="9"/>
  <c r="BA181" i="9"/>
  <c r="AT181" i="9"/>
  <c r="BE181" i="9" s="1"/>
  <c r="AS181" i="9"/>
  <c r="AR181" i="9"/>
  <c r="BC181" i="9" s="1"/>
  <c r="AQ181" i="9"/>
  <c r="BB181" i="9" s="1"/>
  <c r="AP181" i="9"/>
  <c r="AO181" i="9"/>
  <c r="AZ181" i="9" s="1"/>
  <c r="AN181" i="9"/>
  <c r="AY181" i="9" s="1"/>
  <c r="AM181" i="9"/>
  <c r="AX181" i="9" s="1"/>
  <c r="AL181" i="9"/>
  <c r="AW181" i="9" s="1"/>
  <c r="AK181" i="9"/>
  <c r="AV181" i="9" s="1"/>
  <c r="AJ181" i="9"/>
  <c r="AU181" i="9" s="1"/>
  <c r="B181" i="9"/>
  <c r="BG180" i="9"/>
  <c r="BG180" i="9" a="1"/>
  <c r="BB180" i="9"/>
  <c r="BA180" i="9"/>
  <c r="AY180" i="9"/>
  <c r="AX180" i="9"/>
  <c r="AW180" i="9"/>
  <c r="AV180" i="9"/>
  <c r="AU180" i="9"/>
  <c r="AT180" i="9"/>
  <c r="BE180" i="9" s="1"/>
  <c r="AS180" i="9"/>
  <c r="BD180" i="9" s="1"/>
  <c r="AR180" i="9"/>
  <c r="BC180" i="9" s="1"/>
  <c r="AQ180" i="9"/>
  <c r="AP180" i="9"/>
  <c r="AO180" i="9"/>
  <c r="AZ180" i="9" s="1"/>
  <c r="AN180" i="9"/>
  <c r="AM180" i="9"/>
  <c r="AL180" i="9"/>
  <c r="AK180" i="9"/>
  <c r="AJ180" i="9"/>
  <c r="B180" i="9"/>
  <c r="BG179" i="9"/>
  <c r="BG179" i="9" a="1"/>
  <c r="BE179" i="9"/>
  <c r="BC179" i="9"/>
  <c r="BB179" i="9"/>
  <c r="AY179" i="9"/>
  <c r="AT179" i="9"/>
  <c r="AS179" i="9"/>
  <c r="BD179" i="9" s="1"/>
  <c r="AR179" i="9"/>
  <c r="AQ179" i="9"/>
  <c r="AP179" i="9"/>
  <c r="BA179" i="9" s="1"/>
  <c r="AO179" i="9"/>
  <c r="AZ179" i="9" s="1"/>
  <c r="AN179" i="9"/>
  <c r="AM179" i="9"/>
  <c r="AX179" i="9" s="1"/>
  <c r="AL179" i="9"/>
  <c r="AW179" i="9" s="1"/>
  <c r="AK179" i="9"/>
  <c r="AV179" i="9" s="1"/>
  <c r="AJ179" i="9"/>
  <c r="AU179" i="9" s="1"/>
  <c r="B179" i="9"/>
  <c r="BG178" i="9" a="1"/>
  <c r="BG178" i="9" s="1"/>
  <c r="BB178" i="9"/>
  <c r="AZ178" i="9"/>
  <c r="AY178" i="9"/>
  <c r="AX178" i="9"/>
  <c r="AW178" i="9"/>
  <c r="AV178" i="9"/>
  <c r="AU178" i="9"/>
  <c r="AT178" i="9"/>
  <c r="BE178" i="9" s="1"/>
  <c r="AS178" i="9"/>
  <c r="BD178" i="9" s="1"/>
  <c r="AR178" i="9"/>
  <c r="BC178" i="9" s="1"/>
  <c r="AQ178" i="9"/>
  <c r="AP178" i="9"/>
  <c r="BA178" i="9" s="1"/>
  <c r="AO178" i="9"/>
  <c r="AN178" i="9"/>
  <c r="AM178" i="9"/>
  <c r="AL178" i="9"/>
  <c r="AK178" i="9"/>
  <c r="AJ178" i="9"/>
  <c r="B178" i="9"/>
  <c r="BG177" i="9" a="1"/>
  <c r="BG177" i="9" s="1"/>
  <c r="BE177" i="9"/>
  <c r="BC177" i="9"/>
  <c r="AZ177" i="9"/>
  <c r="AW177" i="9"/>
  <c r="AU177" i="9"/>
  <c r="AT177" i="9"/>
  <c r="AS177" i="9"/>
  <c r="BD177" i="9" s="1"/>
  <c r="AR177" i="9"/>
  <c r="AQ177" i="9"/>
  <c r="BB177" i="9" s="1"/>
  <c r="AP177" i="9"/>
  <c r="BA177" i="9" s="1"/>
  <c r="AO177" i="9"/>
  <c r="AN177" i="9"/>
  <c r="AY177" i="9" s="1"/>
  <c r="AM177" i="9"/>
  <c r="AX177" i="9" s="1"/>
  <c r="AL177" i="9"/>
  <c r="AK177" i="9"/>
  <c r="AV177" i="9" s="1"/>
  <c r="AJ177" i="9"/>
  <c r="B177" i="9"/>
  <c r="BG176" i="9" a="1"/>
  <c r="BG176" i="9" s="1"/>
  <c r="BD176" i="9"/>
  <c r="BC176" i="9"/>
  <c r="BB176" i="9"/>
  <c r="AZ176" i="9"/>
  <c r="AX176" i="9"/>
  <c r="AW176" i="9"/>
  <c r="AV176" i="9"/>
  <c r="AU176" i="9"/>
  <c r="AT176" i="9"/>
  <c r="BE176" i="9" s="1"/>
  <c r="AS176" i="9"/>
  <c r="AR176" i="9"/>
  <c r="AQ176" i="9"/>
  <c r="AP176" i="9"/>
  <c r="BA176" i="9" s="1"/>
  <c r="AO176" i="9"/>
  <c r="AN176" i="9"/>
  <c r="AY176" i="9" s="1"/>
  <c r="AM176" i="9"/>
  <c r="AL176" i="9"/>
  <c r="AK176" i="9"/>
  <c r="AJ176" i="9"/>
  <c r="B176" i="9"/>
  <c r="BG175" i="9" a="1"/>
  <c r="BG175" i="9" s="1"/>
  <c r="BE175" i="9"/>
  <c r="BA175" i="9"/>
  <c r="AY175" i="9"/>
  <c r="AX175" i="9"/>
  <c r="AW175" i="9"/>
  <c r="AU175" i="9"/>
  <c r="AT175" i="9"/>
  <c r="AS175" i="9"/>
  <c r="BD175" i="9" s="1"/>
  <c r="AR175" i="9"/>
  <c r="BC175" i="9" s="1"/>
  <c r="AQ175" i="9"/>
  <c r="BB175" i="9" s="1"/>
  <c r="AP175" i="9"/>
  <c r="AO175" i="9"/>
  <c r="AZ175" i="9" s="1"/>
  <c r="AN175" i="9"/>
  <c r="AM175" i="9"/>
  <c r="AL175" i="9"/>
  <c r="AK175" i="9"/>
  <c r="AV175" i="9" s="1"/>
  <c r="AJ175" i="9"/>
  <c r="B175" i="9"/>
  <c r="BG174" i="9" a="1"/>
  <c r="BG174" i="9" s="1"/>
  <c r="BD174" i="9"/>
  <c r="BA174" i="9"/>
  <c r="AY174" i="9"/>
  <c r="AW174" i="9"/>
  <c r="AT174" i="9"/>
  <c r="BE174" i="9" s="1"/>
  <c r="AS174" i="9"/>
  <c r="AR174" i="9"/>
  <c r="BC174" i="9" s="1"/>
  <c r="AQ174" i="9"/>
  <c r="BB174" i="9" s="1"/>
  <c r="AP174" i="9"/>
  <c r="AO174" i="9"/>
  <c r="AZ174" i="9" s="1"/>
  <c r="AN174" i="9"/>
  <c r="AM174" i="9"/>
  <c r="AX174" i="9" s="1"/>
  <c r="AL174" i="9"/>
  <c r="AK174" i="9"/>
  <c r="AV174" i="9" s="1"/>
  <c r="AJ174" i="9"/>
  <c r="AU174" i="9" s="1"/>
  <c r="B174" i="9"/>
  <c r="BG173" i="9" a="1"/>
  <c r="BG173" i="9" s="1"/>
  <c r="BE173" i="9"/>
  <c r="BA173" i="9"/>
  <c r="AZ173" i="9"/>
  <c r="AY173" i="9"/>
  <c r="AX173" i="9"/>
  <c r="AW173" i="9"/>
  <c r="AT173" i="9"/>
  <c r="AS173" i="9"/>
  <c r="BD173" i="9" s="1"/>
  <c r="AR173" i="9"/>
  <c r="BC173" i="9" s="1"/>
  <c r="AQ173" i="9"/>
  <c r="BB173" i="9" s="1"/>
  <c r="AP173" i="9"/>
  <c r="AO173" i="9"/>
  <c r="AN173" i="9"/>
  <c r="AM173" i="9"/>
  <c r="AL173" i="9"/>
  <c r="AK173" i="9"/>
  <c r="AV173" i="9" s="1"/>
  <c r="AJ173" i="9"/>
  <c r="AU173" i="9" s="1"/>
  <c r="B173" i="9"/>
  <c r="BG172" i="9" a="1"/>
  <c r="BG172" i="9" s="1"/>
  <c r="BB172" i="9"/>
  <c r="AX172" i="9"/>
  <c r="AV172" i="9"/>
  <c r="AU172" i="9"/>
  <c r="AT172" i="9"/>
  <c r="BE172" i="9" s="1"/>
  <c r="AS172" i="9"/>
  <c r="BD172" i="9" s="1"/>
  <c r="AR172" i="9"/>
  <c r="BC172" i="9" s="1"/>
  <c r="AQ172" i="9"/>
  <c r="AP172" i="9"/>
  <c r="BA172" i="9" s="1"/>
  <c r="AO172" i="9"/>
  <c r="AZ172" i="9" s="1"/>
  <c r="AN172" i="9"/>
  <c r="AY172" i="9" s="1"/>
  <c r="AM172" i="9"/>
  <c r="AL172" i="9"/>
  <c r="AW172" i="9" s="1"/>
  <c r="AK172" i="9"/>
  <c r="AJ172" i="9"/>
  <c r="B172" i="9"/>
  <c r="BG171" i="9"/>
  <c r="BG171" i="9" a="1"/>
  <c r="BE171" i="9"/>
  <c r="BD171" i="9"/>
  <c r="BC171" i="9"/>
  <c r="BB171" i="9"/>
  <c r="AZ171" i="9"/>
  <c r="AT171" i="9"/>
  <c r="AS171" i="9"/>
  <c r="AR171" i="9"/>
  <c r="AQ171" i="9"/>
  <c r="AP171" i="9"/>
  <c r="BA171" i="9" s="1"/>
  <c r="AO171" i="9"/>
  <c r="AN171" i="9"/>
  <c r="AY171" i="9" s="1"/>
  <c r="AM171" i="9"/>
  <c r="AX171" i="9" s="1"/>
  <c r="AL171" i="9"/>
  <c r="AW171" i="9" s="1"/>
  <c r="AK171" i="9"/>
  <c r="AV171" i="9" s="1"/>
  <c r="AJ171" i="9"/>
  <c r="AU171" i="9" s="1"/>
  <c r="BF171" i="9" s="1"/>
  <c r="B171" i="9"/>
  <c r="BG170" i="9"/>
  <c r="BG170" i="9" a="1"/>
  <c r="AY170" i="9"/>
  <c r="AW170" i="9"/>
  <c r="AU170" i="9"/>
  <c r="AT170" i="9"/>
  <c r="BE170" i="9" s="1"/>
  <c r="AS170" i="9"/>
  <c r="BD170" i="9" s="1"/>
  <c r="AR170" i="9"/>
  <c r="BC170" i="9" s="1"/>
  <c r="AQ170" i="9"/>
  <c r="BB170" i="9" s="1"/>
  <c r="AP170" i="9"/>
  <c r="BA170" i="9" s="1"/>
  <c r="AO170" i="9"/>
  <c r="AZ170" i="9" s="1"/>
  <c r="AN170" i="9"/>
  <c r="AM170" i="9"/>
  <c r="AX170" i="9" s="1"/>
  <c r="AL170" i="9"/>
  <c r="AK170" i="9"/>
  <c r="AV170" i="9" s="1"/>
  <c r="AJ170" i="9"/>
  <c r="B170" i="9"/>
  <c r="BG169" i="9" a="1"/>
  <c r="BG169" i="9" s="1"/>
  <c r="BE169" i="9"/>
  <c r="BD169" i="9"/>
  <c r="BC169" i="9"/>
  <c r="BB169" i="9"/>
  <c r="BA169" i="9"/>
  <c r="AZ169" i="9"/>
  <c r="AY169" i="9"/>
  <c r="AW169" i="9"/>
  <c r="AU169" i="9"/>
  <c r="BF169" i="9" s="1"/>
  <c r="AT169" i="9"/>
  <c r="AS169" i="9"/>
  <c r="AR169" i="9"/>
  <c r="AQ169" i="9"/>
  <c r="AP169" i="9"/>
  <c r="AO169" i="9"/>
  <c r="AN169" i="9"/>
  <c r="AM169" i="9"/>
  <c r="AX169" i="9" s="1"/>
  <c r="AL169" i="9"/>
  <c r="AK169" i="9"/>
  <c r="AV169" i="9" s="1"/>
  <c r="AJ169" i="9"/>
  <c r="B169" i="9"/>
  <c r="BG168" i="9" a="1"/>
  <c r="BG168" i="9" s="1"/>
  <c r="BD168" i="9"/>
  <c r="BC168" i="9"/>
  <c r="AX168" i="9"/>
  <c r="AW168" i="9"/>
  <c r="AV168" i="9"/>
  <c r="AU168" i="9"/>
  <c r="AT168" i="9"/>
  <c r="BE168" i="9" s="1"/>
  <c r="AS168" i="9"/>
  <c r="AR168" i="9"/>
  <c r="AQ168" i="9"/>
  <c r="BB168" i="9" s="1"/>
  <c r="AP168" i="9"/>
  <c r="BA168" i="9" s="1"/>
  <c r="BF168" i="9" s="1"/>
  <c r="AO168" i="9"/>
  <c r="AZ168" i="9" s="1"/>
  <c r="AN168" i="9"/>
  <c r="AY168" i="9" s="1"/>
  <c r="AM168" i="9"/>
  <c r="AL168" i="9"/>
  <c r="AK168" i="9"/>
  <c r="AJ168" i="9"/>
  <c r="B168" i="9"/>
  <c r="BG167" i="9"/>
  <c r="BG167" i="9" a="1"/>
  <c r="BD167" i="9"/>
  <c r="AZ167" i="9"/>
  <c r="AX167" i="9"/>
  <c r="AW167" i="9"/>
  <c r="AT167" i="9"/>
  <c r="BE167" i="9" s="1"/>
  <c r="AS167" i="9"/>
  <c r="AR167" i="9"/>
  <c r="BC167" i="9" s="1"/>
  <c r="AQ167" i="9"/>
  <c r="BB167" i="9" s="1"/>
  <c r="AP167" i="9"/>
  <c r="BA167" i="9" s="1"/>
  <c r="AO167" i="9"/>
  <c r="AN167" i="9"/>
  <c r="AY167" i="9" s="1"/>
  <c r="AM167" i="9"/>
  <c r="AL167" i="9"/>
  <c r="AK167" i="9"/>
  <c r="AV167" i="9" s="1"/>
  <c r="AJ167" i="9"/>
  <c r="AU167" i="9" s="1"/>
  <c r="B167" i="9"/>
  <c r="BG166" i="9" a="1"/>
  <c r="BG166" i="9" s="1"/>
  <c r="AZ166" i="9"/>
  <c r="AY166" i="9"/>
  <c r="AX166" i="9"/>
  <c r="AW166" i="9"/>
  <c r="AU166" i="9"/>
  <c r="AT166" i="9"/>
  <c r="BE166" i="9" s="1"/>
  <c r="AS166" i="9"/>
  <c r="BD166" i="9" s="1"/>
  <c r="AR166" i="9"/>
  <c r="BC166" i="9" s="1"/>
  <c r="AQ166" i="9"/>
  <c r="BB166" i="9" s="1"/>
  <c r="AP166" i="9"/>
  <c r="BA166" i="9" s="1"/>
  <c r="AO166" i="9"/>
  <c r="AN166" i="9"/>
  <c r="AM166" i="9"/>
  <c r="AL166" i="9"/>
  <c r="AK166" i="9"/>
  <c r="AV166" i="9" s="1"/>
  <c r="AJ166" i="9"/>
  <c r="B166" i="9"/>
  <c r="BG165" i="9" a="1"/>
  <c r="BG165" i="9" s="1"/>
  <c r="BD165" i="9"/>
  <c r="BC165" i="9"/>
  <c r="BB165" i="9"/>
  <c r="BA165" i="9"/>
  <c r="AZ165" i="9"/>
  <c r="AX165" i="9"/>
  <c r="AT165" i="9"/>
  <c r="BE165" i="9" s="1"/>
  <c r="AS165" i="9"/>
  <c r="AR165" i="9"/>
  <c r="AQ165" i="9"/>
  <c r="AP165" i="9"/>
  <c r="AO165" i="9"/>
  <c r="AN165" i="9"/>
  <c r="AY165" i="9" s="1"/>
  <c r="AM165" i="9"/>
  <c r="AL165" i="9"/>
  <c r="AW165" i="9" s="1"/>
  <c r="AK165" i="9"/>
  <c r="AV165" i="9" s="1"/>
  <c r="AJ165" i="9"/>
  <c r="AU165" i="9" s="1"/>
  <c r="B165" i="9"/>
  <c r="BG164" i="9"/>
  <c r="BG164" i="9" a="1"/>
  <c r="BA164" i="9"/>
  <c r="BF164" i="9" s="1"/>
  <c r="AY164" i="9"/>
  <c r="AX164" i="9"/>
  <c r="AV164" i="9"/>
  <c r="AU164" i="9"/>
  <c r="AT164" i="9"/>
  <c r="BE164" i="9" s="1"/>
  <c r="AS164" i="9"/>
  <c r="BD164" i="9" s="1"/>
  <c r="AR164" i="9"/>
  <c r="BC164" i="9" s="1"/>
  <c r="AQ164" i="9"/>
  <c r="BB164" i="9" s="1"/>
  <c r="AP164" i="9"/>
  <c r="AO164" i="9"/>
  <c r="AZ164" i="9" s="1"/>
  <c r="AN164" i="9"/>
  <c r="AM164" i="9"/>
  <c r="AL164" i="9"/>
  <c r="AW164" i="9" s="1"/>
  <c r="AK164" i="9"/>
  <c r="AJ164" i="9"/>
  <c r="B164" i="9"/>
  <c r="BG163" i="9"/>
  <c r="BG163" i="9" a="1"/>
  <c r="BE163" i="9"/>
  <c r="BD163" i="9"/>
  <c r="BC163" i="9"/>
  <c r="BB163" i="9"/>
  <c r="AY163" i="9"/>
  <c r="AV163" i="9"/>
  <c r="AU163" i="9"/>
  <c r="AT163" i="9"/>
  <c r="AS163" i="9"/>
  <c r="AR163" i="9"/>
  <c r="AQ163" i="9"/>
  <c r="AP163" i="9"/>
  <c r="BA163" i="9" s="1"/>
  <c r="AO163" i="9"/>
  <c r="AZ163" i="9" s="1"/>
  <c r="AN163" i="9"/>
  <c r="AM163" i="9"/>
  <c r="AX163" i="9" s="1"/>
  <c r="AL163" i="9"/>
  <c r="AW163" i="9" s="1"/>
  <c r="AK163" i="9"/>
  <c r="AJ163" i="9"/>
  <c r="B163" i="9"/>
  <c r="BG162" i="9" a="1"/>
  <c r="BG162" i="9" s="1"/>
  <c r="BB162" i="9"/>
  <c r="AY162" i="9"/>
  <c r="AX162" i="9"/>
  <c r="AV162" i="9"/>
  <c r="AT162" i="9"/>
  <c r="BE162" i="9" s="1"/>
  <c r="AS162" i="9"/>
  <c r="BD162" i="9" s="1"/>
  <c r="AR162" i="9"/>
  <c r="BC162" i="9" s="1"/>
  <c r="AQ162" i="9"/>
  <c r="AP162" i="9"/>
  <c r="BA162" i="9" s="1"/>
  <c r="AO162" i="9"/>
  <c r="AZ162" i="9" s="1"/>
  <c r="AN162" i="9"/>
  <c r="AM162" i="9"/>
  <c r="AL162" i="9"/>
  <c r="AW162" i="9" s="1"/>
  <c r="AK162" i="9"/>
  <c r="AJ162" i="9"/>
  <c r="AU162" i="9" s="1"/>
  <c r="B162" i="9"/>
  <c r="BG161" i="9"/>
  <c r="BG161" i="9" a="1"/>
  <c r="BD161" i="9"/>
  <c r="BB161" i="9"/>
  <c r="AZ161" i="9"/>
  <c r="AY161" i="9"/>
  <c r="AW161" i="9"/>
  <c r="AU161" i="9"/>
  <c r="AT161" i="9"/>
  <c r="BE161" i="9" s="1"/>
  <c r="AS161" i="9"/>
  <c r="AR161" i="9"/>
  <c r="BC161" i="9" s="1"/>
  <c r="AQ161" i="9"/>
  <c r="AP161" i="9"/>
  <c r="BA161" i="9" s="1"/>
  <c r="AO161" i="9"/>
  <c r="AN161" i="9"/>
  <c r="AM161" i="9"/>
  <c r="AX161" i="9" s="1"/>
  <c r="AL161" i="9"/>
  <c r="AK161" i="9"/>
  <c r="AV161" i="9" s="1"/>
  <c r="BF161" i="9" s="1"/>
  <c r="AJ161" i="9"/>
  <c r="B161" i="9"/>
  <c r="BG160" i="9" a="1"/>
  <c r="BG160" i="9" s="1"/>
  <c r="BE160" i="9"/>
  <c r="BD160" i="9"/>
  <c r="BC160" i="9"/>
  <c r="BB160" i="9"/>
  <c r="AT160" i="9"/>
  <c r="AS160" i="9"/>
  <c r="AR160" i="9"/>
  <c r="AQ160" i="9"/>
  <c r="AP160" i="9"/>
  <c r="BA160" i="9" s="1"/>
  <c r="AO160" i="9"/>
  <c r="AZ160" i="9" s="1"/>
  <c r="AN160" i="9"/>
  <c r="AY160" i="9" s="1"/>
  <c r="AM160" i="9"/>
  <c r="AX160" i="9" s="1"/>
  <c r="BF160" i="9" s="1"/>
  <c r="AL160" i="9"/>
  <c r="AW160" i="9" s="1"/>
  <c r="AK160" i="9"/>
  <c r="AV160" i="9" s="1"/>
  <c r="AJ160" i="9"/>
  <c r="AU160" i="9" s="1"/>
  <c r="B160" i="9"/>
  <c r="BG159" i="9" a="1"/>
  <c r="BG159" i="9" s="1"/>
  <c r="AZ159" i="9"/>
  <c r="AY159" i="9"/>
  <c r="AX159" i="9"/>
  <c r="AW159" i="9"/>
  <c r="AV159" i="9"/>
  <c r="AU159" i="9"/>
  <c r="AT159" i="9"/>
  <c r="BE159" i="9" s="1"/>
  <c r="AS159" i="9"/>
  <c r="BD159" i="9" s="1"/>
  <c r="AR159" i="9"/>
  <c r="BC159" i="9" s="1"/>
  <c r="AQ159" i="9"/>
  <c r="BB159" i="9" s="1"/>
  <c r="AP159" i="9"/>
  <c r="BA159" i="9" s="1"/>
  <c r="AO159" i="9"/>
  <c r="AN159" i="9"/>
  <c r="AM159" i="9"/>
  <c r="AL159" i="9"/>
  <c r="AK159" i="9"/>
  <c r="AJ159" i="9"/>
  <c r="B159" i="9"/>
  <c r="BG158" i="9"/>
  <c r="BG158" i="9" a="1"/>
  <c r="BE158" i="9"/>
  <c r="BC158" i="9"/>
  <c r="AZ158" i="9"/>
  <c r="AW158" i="9"/>
  <c r="AT158" i="9"/>
  <c r="AS158" i="9"/>
  <c r="BD158" i="9" s="1"/>
  <c r="AR158" i="9"/>
  <c r="AQ158" i="9"/>
  <c r="BB158" i="9" s="1"/>
  <c r="AP158" i="9"/>
  <c r="BA158" i="9" s="1"/>
  <c r="AO158" i="9"/>
  <c r="AN158" i="9"/>
  <c r="AY158" i="9" s="1"/>
  <c r="AM158" i="9"/>
  <c r="AX158" i="9" s="1"/>
  <c r="AL158" i="9"/>
  <c r="AK158" i="9"/>
  <c r="AV158" i="9" s="1"/>
  <c r="AJ158" i="9"/>
  <c r="AU158" i="9" s="1"/>
  <c r="B158" i="9"/>
  <c r="BG157" i="9"/>
  <c r="BG157" i="9" a="1"/>
  <c r="BC157" i="9"/>
  <c r="BA157" i="9"/>
  <c r="AY157" i="9"/>
  <c r="AX157" i="9"/>
  <c r="AW157" i="9"/>
  <c r="AV157" i="9"/>
  <c r="AU157" i="9"/>
  <c r="AT157" i="9"/>
  <c r="BE157" i="9" s="1"/>
  <c r="AS157" i="9"/>
  <c r="BD157" i="9" s="1"/>
  <c r="AR157" i="9"/>
  <c r="AQ157" i="9"/>
  <c r="BB157" i="9" s="1"/>
  <c r="AP157" i="9"/>
  <c r="AO157" i="9"/>
  <c r="AZ157" i="9" s="1"/>
  <c r="AN157" i="9"/>
  <c r="AM157" i="9"/>
  <c r="AL157" i="9"/>
  <c r="AK157" i="9"/>
  <c r="AJ157" i="9"/>
  <c r="B157" i="9"/>
  <c r="BG156" i="9" a="1"/>
  <c r="BG156" i="9" s="1"/>
  <c r="BF156" i="9"/>
  <c r="BD156" i="9"/>
  <c r="BB156" i="9"/>
  <c r="AV156" i="9"/>
  <c r="AU156" i="9"/>
  <c r="AT156" i="9"/>
  <c r="BE156" i="9" s="1"/>
  <c r="AS156" i="9"/>
  <c r="AR156" i="9"/>
  <c r="BC156" i="9" s="1"/>
  <c r="AQ156" i="9"/>
  <c r="AP156" i="9"/>
  <c r="BA156" i="9" s="1"/>
  <c r="AO156" i="9"/>
  <c r="AZ156" i="9" s="1"/>
  <c r="AN156" i="9"/>
  <c r="AY156" i="9" s="1"/>
  <c r="AM156" i="9"/>
  <c r="AX156" i="9" s="1"/>
  <c r="AL156" i="9"/>
  <c r="AW156" i="9" s="1"/>
  <c r="AK156" i="9"/>
  <c r="AJ156" i="9"/>
  <c r="B156" i="9"/>
  <c r="BG155" i="9"/>
  <c r="BG155" i="9" a="1"/>
  <c r="BE155" i="9"/>
  <c r="BD155" i="9"/>
  <c r="BB155" i="9"/>
  <c r="AZ155" i="9"/>
  <c r="AY155" i="9"/>
  <c r="AX155" i="9"/>
  <c r="AV155" i="9"/>
  <c r="AU155" i="9"/>
  <c r="AT155" i="9"/>
  <c r="AS155" i="9"/>
  <c r="AR155" i="9"/>
  <c r="BC155" i="9" s="1"/>
  <c r="AQ155" i="9"/>
  <c r="AP155" i="9"/>
  <c r="BA155" i="9" s="1"/>
  <c r="AO155" i="9"/>
  <c r="AN155" i="9"/>
  <c r="AM155" i="9"/>
  <c r="AL155" i="9"/>
  <c r="AW155" i="9" s="1"/>
  <c r="AK155" i="9"/>
  <c r="AJ155" i="9"/>
  <c r="B155" i="9"/>
  <c r="BG154" i="9"/>
  <c r="BG154" i="9" a="1"/>
  <c r="BE154" i="9"/>
  <c r="BC154" i="9"/>
  <c r="AY154" i="9"/>
  <c r="AW154" i="9"/>
  <c r="AU154" i="9"/>
  <c r="BF154" i="9" s="1"/>
  <c r="AT154" i="9"/>
  <c r="AS154" i="9"/>
  <c r="BD154" i="9" s="1"/>
  <c r="AR154" i="9"/>
  <c r="AQ154" i="9"/>
  <c r="BB154" i="9" s="1"/>
  <c r="AP154" i="9"/>
  <c r="BA154" i="9" s="1"/>
  <c r="AO154" i="9"/>
  <c r="AZ154" i="9" s="1"/>
  <c r="AN154" i="9"/>
  <c r="AM154" i="9"/>
  <c r="AX154" i="9" s="1"/>
  <c r="AL154" i="9"/>
  <c r="AK154" i="9"/>
  <c r="AV154" i="9" s="1"/>
  <c r="AJ154" i="9"/>
  <c r="B154" i="9"/>
  <c r="BG153" i="9" a="1"/>
  <c r="BG153" i="9" s="1"/>
  <c r="BE153" i="9"/>
  <c r="BD153" i="9"/>
  <c r="BC153" i="9"/>
  <c r="BA153" i="9"/>
  <c r="AY153" i="9"/>
  <c r="AW153" i="9"/>
  <c r="AV153" i="9"/>
  <c r="AT153" i="9"/>
  <c r="AS153" i="9"/>
  <c r="AR153" i="9"/>
  <c r="AQ153" i="9"/>
  <c r="BB153" i="9" s="1"/>
  <c r="AP153" i="9"/>
  <c r="AO153" i="9"/>
  <c r="AZ153" i="9" s="1"/>
  <c r="AN153" i="9"/>
  <c r="AM153" i="9"/>
  <c r="AX153" i="9" s="1"/>
  <c r="AL153" i="9"/>
  <c r="AK153" i="9"/>
  <c r="AJ153" i="9"/>
  <c r="AU153" i="9" s="1"/>
  <c r="B153" i="9"/>
  <c r="BG152" i="9" a="1"/>
  <c r="BG152" i="9" s="1"/>
  <c r="BC152" i="9"/>
  <c r="BA152" i="9"/>
  <c r="AZ152" i="9"/>
  <c r="AY152" i="9"/>
  <c r="AX152" i="9"/>
  <c r="AW152" i="9"/>
  <c r="AV152" i="9"/>
  <c r="AT152" i="9"/>
  <c r="BE152" i="9" s="1"/>
  <c r="AS152" i="9"/>
  <c r="BD152" i="9" s="1"/>
  <c r="AR152" i="9"/>
  <c r="AQ152" i="9"/>
  <c r="BB152" i="9" s="1"/>
  <c r="AP152" i="9"/>
  <c r="AO152" i="9"/>
  <c r="AN152" i="9"/>
  <c r="AM152" i="9"/>
  <c r="AL152" i="9"/>
  <c r="AK152" i="9"/>
  <c r="AJ152" i="9"/>
  <c r="AU152" i="9" s="1"/>
  <c r="B152" i="9"/>
  <c r="BG151" i="9"/>
  <c r="BG151" i="9" a="1"/>
  <c r="BD151" i="9"/>
  <c r="AZ151" i="9"/>
  <c r="AY151" i="9"/>
  <c r="AX151" i="9"/>
  <c r="AW151" i="9"/>
  <c r="AV151" i="9"/>
  <c r="AT151" i="9"/>
  <c r="BE151" i="9" s="1"/>
  <c r="AS151" i="9"/>
  <c r="AR151" i="9"/>
  <c r="BC151" i="9" s="1"/>
  <c r="AQ151" i="9"/>
  <c r="BB151" i="9" s="1"/>
  <c r="AP151" i="9"/>
  <c r="BA151" i="9" s="1"/>
  <c r="AO151" i="9"/>
  <c r="AN151" i="9"/>
  <c r="AM151" i="9"/>
  <c r="AL151" i="9"/>
  <c r="AK151" i="9"/>
  <c r="AJ151" i="9"/>
  <c r="AU151" i="9" s="1"/>
  <c r="BF151" i="9" s="1"/>
  <c r="B151" i="9"/>
  <c r="BG150" i="9"/>
  <c r="BG150" i="9" a="1"/>
  <c r="BD150" i="9"/>
  <c r="BB150" i="9"/>
  <c r="BA150" i="9"/>
  <c r="AZ150" i="9"/>
  <c r="AY150" i="9"/>
  <c r="AW150" i="9"/>
  <c r="BF150" i="9" s="1"/>
  <c r="AT150" i="9"/>
  <c r="BE150" i="9" s="1"/>
  <c r="AS150" i="9"/>
  <c r="AR150" i="9"/>
  <c r="BC150" i="9" s="1"/>
  <c r="AQ150" i="9"/>
  <c r="AP150" i="9"/>
  <c r="AO150" i="9"/>
  <c r="AN150" i="9"/>
  <c r="AM150" i="9"/>
  <c r="AX150" i="9" s="1"/>
  <c r="AL150" i="9"/>
  <c r="AK150" i="9"/>
  <c r="AV150" i="9" s="1"/>
  <c r="AJ150" i="9"/>
  <c r="AU150" i="9" s="1"/>
  <c r="B150" i="9"/>
  <c r="BG149" i="9"/>
  <c r="BG149" i="9" a="1"/>
  <c r="BC149" i="9"/>
  <c r="BA149" i="9"/>
  <c r="AV149" i="9"/>
  <c r="AU149" i="9"/>
  <c r="AT149" i="9"/>
  <c r="BE149" i="9" s="1"/>
  <c r="AS149" i="9"/>
  <c r="BD149" i="9" s="1"/>
  <c r="AR149" i="9"/>
  <c r="AQ149" i="9"/>
  <c r="BB149" i="9" s="1"/>
  <c r="AP149" i="9"/>
  <c r="AO149" i="9"/>
  <c r="AZ149" i="9" s="1"/>
  <c r="AN149" i="9"/>
  <c r="AY149" i="9" s="1"/>
  <c r="AM149" i="9"/>
  <c r="AX149" i="9" s="1"/>
  <c r="AL149" i="9"/>
  <c r="AW149" i="9" s="1"/>
  <c r="AK149" i="9"/>
  <c r="AJ149" i="9"/>
  <c r="B149" i="9"/>
  <c r="BG148" i="9"/>
  <c r="BG148" i="9" a="1"/>
  <c r="BD148" i="9"/>
  <c r="BC148" i="9"/>
  <c r="BB148" i="9"/>
  <c r="BA148" i="9"/>
  <c r="AY148" i="9"/>
  <c r="AV148" i="9"/>
  <c r="AU148" i="9"/>
  <c r="AT148" i="9"/>
  <c r="BE148" i="9" s="1"/>
  <c r="AS148" i="9"/>
  <c r="AR148" i="9"/>
  <c r="AQ148" i="9"/>
  <c r="AP148" i="9"/>
  <c r="AO148" i="9"/>
  <c r="AZ148" i="9" s="1"/>
  <c r="AN148" i="9"/>
  <c r="AM148" i="9"/>
  <c r="AX148" i="9" s="1"/>
  <c r="AL148" i="9"/>
  <c r="AW148" i="9" s="1"/>
  <c r="BF148" i="9" s="1"/>
  <c r="AK148" i="9"/>
  <c r="AJ148" i="9"/>
  <c r="B148" i="9"/>
  <c r="BG147" i="9"/>
  <c r="BG147" i="9" a="1"/>
  <c r="BE147" i="9"/>
  <c r="BD147" i="9"/>
  <c r="BA147" i="9"/>
  <c r="AX147" i="9"/>
  <c r="AW147" i="9"/>
  <c r="AV147" i="9"/>
  <c r="AU147" i="9"/>
  <c r="BF147" i="9" s="1"/>
  <c r="AT147" i="9"/>
  <c r="AS147" i="9"/>
  <c r="AR147" i="9"/>
  <c r="BC147" i="9" s="1"/>
  <c r="AQ147" i="9"/>
  <c r="BB147" i="9" s="1"/>
  <c r="AP147" i="9"/>
  <c r="AO147" i="9"/>
  <c r="AZ147" i="9" s="1"/>
  <c r="AN147" i="9"/>
  <c r="AY147" i="9" s="1"/>
  <c r="AM147" i="9"/>
  <c r="AL147" i="9"/>
  <c r="AK147" i="9"/>
  <c r="AJ147" i="9"/>
  <c r="B147" i="9"/>
  <c r="BG146" i="9"/>
  <c r="BG146" i="9" a="1"/>
  <c r="BE146" i="9"/>
  <c r="BC146" i="9"/>
  <c r="BB146" i="9"/>
  <c r="BA146" i="9"/>
  <c r="AY146" i="9"/>
  <c r="AT146" i="9"/>
  <c r="AS146" i="9"/>
  <c r="BD146" i="9" s="1"/>
  <c r="AR146" i="9"/>
  <c r="AQ146" i="9"/>
  <c r="AP146" i="9"/>
  <c r="AO146" i="9"/>
  <c r="AZ146" i="9" s="1"/>
  <c r="AN146" i="9"/>
  <c r="AM146" i="9"/>
  <c r="AX146" i="9" s="1"/>
  <c r="AL146" i="9"/>
  <c r="AW146" i="9" s="1"/>
  <c r="AK146" i="9"/>
  <c r="AV146" i="9" s="1"/>
  <c r="AJ146" i="9"/>
  <c r="AU146" i="9" s="1"/>
  <c r="B146" i="9"/>
  <c r="BG145" i="9"/>
  <c r="BG145" i="9" a="1"/>
  <c r="BF145" i="9"/>
  <c r="AZ145" i="9"/>
  <c r="AY145" i="9"/>
  <c r="AW145" i="9"/>
  <c r="AV145" i="9"/>
  <c r="AU145" i="9"/>
  <c r="AT145" i="9"/>
  <c r="BE145" i="9" s="1"/>
  <c r="AS145" i="9"/>
  <c r="BD145" i="9" s="1"/>
  <c r="AR145" i="9"/>
  <c r="BC145" i="9" s="1"/>
  <c r="AQ145" i="9"/>
  <c r="BB145" i="9" s="1"/>
  <c r="AP145" i="9"/>
  <c r="BA145" i="9" s="1"/>
  <c r="AO145" i="9"/>
  <c r="AN145" i="9"/>
  <c r="AM145" i="9"/>
  <c r="AX145" i="9" s="1"/>
  <c r="AL145" i="9"/>
  <c r="AK145" i="9"/>
  <c r="AJ145" i="9"/>
  <c r="B145" i="9"/>
  <c r="BG144" i="9" a="1"/>
  <c r="BG144" i="9" s="1"/>
  <c r="BE144" i="9"/>
  <c r="BD144" i="9"/>
  <c r="BC144" i="9"/>
  <c r="BB144" i="9"/>
  <c r="BA144" i="9"/>
  <c r="AZ144" i="9"/>
  <c r="AY144" i="9"/>
  <c r="AX144" i="9"/>
  <c r="AT144" i="9"/>
  <c r="AS144" i="9"/>
  <c r="AR144" i="9"/>
  <c r="AQ144" i="9"/>
  <c r="AP144" i="9"/>
  <c r="AO144" i="9"/>
  <c r="AN144" i="9"/>
  <c r="AM144" i="9"/>
  <c r="AL144" i="9"/>
  <c r="AW144" i="9" s="1"/>
  <c r="AK144" i="9"/>
  <c r="AV144" i="9" s="1"/>
  <c r="AJ144" i="9"/>
  <c r="AU144" i="9" s="1"/>
  <c r="B144" i="9"/>
  <c r="BG143" i="9"/>
  <c r="BG143" i="9" a="1"/>
  <c r="BA143" i="9"/>
  <c r="AY143" i="9"/>
  <c r="AX143" i="9"/>
  <c r="AW143" i="9"/>
  <c r="AV143" i="9"/>
  <c r="BF143" i="9" s="1"/>
  <c r="AT143" i="9"/>
  <c r="BE143" i="9" s="1"/>
  <c r="AS143" i="9"/>
  <c r="BD143" i="9" s="1"/>
  <c r="AR143" i="9"/>
  <c r="BC143" i="9" s="1"/>
  <c r="AQ143" i="9"/>
  <c r="BB143" i="9" s="1"/>
  <c r="AP143" i="9"/>
  <c r="AO143" i="9"/>
  <c r="AZ143" i="9" s="1"/>
  <c r="AN143" i="9"/>
  <c r="AM143" i="9"/>
  <c r="AL143" i="9"/>
  <c r="AK143" i="9"/>
  <c r="AJ143" i="9"/>
  <c r="AU143" i="9" s="1"/>
  <c r="B143" i="9"/>
  <c r="BG142" i="9"/>
  <c r="BG142" i="9" a="1"/>
  <c r="BD142" i="9"/>
  <c r="BC142" i="9"/>
  <c r="BB142" i="9"/>
  <c r="BA142" i="9"/>
  <c r="AZ142" i="9"/>
  <c r="AY142" i="9"/>
  <c r="AW142" i="9"/>
  <c r="AT142" i="9"/>
  <c r="BE142" i="9" s="1"/>
  <c r="AS142" i="9"/>
  <c r="AR142" i="9"/>
  <c r="AQ142" i="9"/>
  <c r="AP142" i="9"/>
  <c r="AO142" i="9"/>
  <c r="AN142" i="9"/>
  <c r="AM142" i="9"/>
  <c r="AX142" i="9" s="1"/>
  <c r="AL142" i="9"/>
  <c r="AK142" i="9"/>
  <c r="AV142" i="9" s="1"/>
  <c r="AJ142" i="9"/>
  <c r="AU142" i="9" s="1"/>
  <c r="B142" i="9"/>
  <c r="BG141" i="9"/>
  <c r="BG141" i="9" a="1"/>
  <c r="BE141" i="9"/>
  <c r="BC141" i="9"/>
  <c r="BA141" i="9"/>
  <c r="AY141" i="9"/>
  <c r="AW141" i="9"/>
  <c r="AU141" i="9"/>
  <c r="AT141" i="9"/>
  <c r="AS141" i="9"/>
  <c r="BD141" i="9" s="1"/>
  <c r="AR141" i="9"/>
  <c r="AQ141" i="9"/>
  <c r="BB141" i="9" s="1"/>
  <c r="AP141" i="9"/>
  <c r="AO141" i="9"/>
  <c r="AZ141" i="9" s="1"/>
  <c r="AN141" i="9"/>
  <c r="AM141" i="9"/>
  <c r="AX141" i="9" s="1"/>
  <c r="AL141" i="9"/>
  <c r="AK141" i="9"/>
  <c r="AV141" i="9" s="1"/>
  <c r="AJ141" i="9"/>
  <c r="B141" i="9"/>
  <c r="BG140" i="9" a="1"/>
  <c r="BG140" i="9" s="1"/>
  <c r="BE140" i="9"/>
  <c r="BC140" i="9"/>
  <c r="AX140" i="9"/>
  <c r="AW140" i="9"/>
  <c r="AU140" i="9"/>
  <c r="AT140" i="9"/>
  <c r="AS140" i="9"/>
  <c r="BD140" i="9" s="1"/>
  <c r="AR140" i="9"/>
  <c r="AQ140" i="9"/>
  <c r="BB140" i="9" s="1"/>
  <c r="AP140" i="9"/>
  <c r="BA140" i="9" s="1"/>
  <c r="AO140" i="9"/>
  <c r="AZ140" i="9" s="1"/>
  <c r="AN140" i="9"/>
  <c r="AY140" i="9" s="1"/>
  <c r="AM140" i="9"/>
  <c r="AL140" i="9"/>
  <c r="AK140" i="9"/>
  <c r="AV140" i="9" s="1"/>
  <c r="AJ140" i="9"/>
  <c r="B140" i="9"/>
  <c r="BG139" i="9" a="1"/>
  <c r="BG139" i="9" s="1"/>
  <c r="BE139" i="9"/>
  <c r="BD139" i="9"/>
  <c r="BC139" i="9"/>
  <c r="BA139" i="9"/>
  <c r="AZ139" i="9"/>
  <c r="AY139" i="9"/>
  <c r="AX139" i="9"/>
  <c r="AW139" i="9"/>
  <c r="AT139" i="9"/>
  <c r="AS139" i="9"/>
  <c r="AR139" i="9"/>
  <c r="AQ139" i="9"/>
  <c r="BB139" i="9" s="1"/>
  <c r="AP139" i="9"/>
  <c r="AO139" i="9"/>
  <c r="AN139" i="9"/>
  <c r="AM139" i="9"/>
  <c r="AL139" i="9"/>
  <c r="AK139" i="9"/>
  <c r="AV139" i="9" s="1"/>
  <c r="AJ139" i="9"/>
  <c r="AU139" i="9" s="1"/>
  <c r="B139" i="9"/>
  <c r="BG138" i="9" a="1"/>
  <c r="BG138" i="9" s="1"/>
  <c r="BE138" i="9"/>
  <c r="BC138" i="9"/>
  <c r="AW138" i="9"/>
  <c r="AT138" i="9"/>
  <c r="AS138" i="9"/>
  <c r="BD138" i="9" s="1"/>
  <c r="AR138" i="9"/>
  <c r="AQ138" i="9"/>
  <c r="BB138" i="9" s="1"/>
  <c r="AP138" i="9"/>
  <c r="BA138" i="9" s="1"/>
  <c r="AO138" i="9"/>
  <c r="AZ138" i="9" s="1"/>
  <c r="AN138" i="9"/>
  <c r="AY138" i="9" s="1"/>
  <c r="AM138" i="9"/>
  <c r="AX138" i="9" s="1"/>
  <c r="AL138" i="9"/>
  <c r="AK138" i="9"/>
  <c r="AV138" i="9" s="1"/>
  <c r="AJ138" i="9"/>
  <c r="AU138" i="9" s="1"/>
  <c r="BF138" i="9" s="1"/>
  <c r="B138" i="9"/>
  <c r="BG137" i="9" a="1"/>
  <c r="BG137" i="9" s="1"/>
  <c r="BB137" i="9"/>
  <c r="AZ137" i="9"/>
  <c r="AX137" i="9"/>
  <c r="AW137" i="9"/>
  <c r="AT137" i="9"/>
  <c r="BE137" i="9" s="1"/>
  <c r="AS137" i="9"/>
  <c r="BD137" i="9" s="1"/>
  <c r="AR137" i="9"/>
  <c r="BC137" i="9" s="1"/>
  <c r="AQ137" i="9"/>
  <c r="AP137" i="9"/>
  <c r="BA137" i="9" s="1"/>
  <c r="AO137" i="9"/>
  <c r="AN137" i="9"/>
  <c r="AY137" i="9" s="1"/>
  <c r="AM137" i="9"/>
  <c r="AL137" i="9"/>
  <c r="AK137" i="9"/>
  <c r="AV137" i="9" s="1"/>
  <c r="AJ137" i="9"/>
  <c r="AU137" i="9" s="1"/>
  <c r="B137" i="9"/>
  <c r="BG136" i="9"/>
  <c r="BG136" i="9" a="1"/>
  <c r="BD136" i="9"/>
  <c r="BC136" i="9"/>
  <c r="BA136" i="9"/>
  <c r="AW136" i="9"/>
  <c r="AU136" i="9"/>
  <c r="AT136" i="9"/>
  <c r="BE136" i="9" s="1"/>
  <c r="AS136" i="9"/>
  <c r="AR136" i="9"/>
  <c r="AQ136" i="9"/>
  <c r="BB136" i="9" s="1"/>
  <c r="AP136" i="9"/>
  <c r="AO136" i="9"/>
  <c r="AZ136" i="9" s="1"/>
  <c r="AN136" i="9"/>
  <c r="AY136" i="9" s="1"/>
  <c r="AM136" i="9"/>
  <c r="AX136" i="9" s="1"/>
  <c r="AL136" i="9"/>
  <c r="AK136" i="9"/>
  <c r="AV136" i="9" s="1"/>
  <c r="AJ136" i="9"/>
  <c r="B136" i="9"/>
  <c r="BG135" i="9" a="1"/>
  <c r="BG135" i="9" s="1"/>
  <c r="BD135" i="9"/>
  <c r="BB135" i="9"/>
  <c r="AY135" i="9"/>
  <c r="AX135" i="9"/>
  <c r="AW135" i="9"/>
  <c r="AV135" i="9"/>
  <c r="AU135" i="9"/>
  <c r="BF135" i="9" s="1"/>
  <c r="AT135" i="9"/>
  <c r="BE135" i="9" s="1"/>
  <c r="AS135" i="9"/>
  <c r="AR135" i="9"/>
  <c r="BC135" i="9" s="1"/>
  <c r="AQ135" i="9"/>
  <c r="AP135" i="9"/>
  <c r="BA135" i="9" s="1"/>
  <c r="AO135" i="9"/>
  <c r="AZ135" i="9" s="1"/>
  <c r="AN135" i="9"/>
  <c r="AM135" i="9"/>
  <c r="AL135" i="9"/>
  <c r="AK135" i="9"/>
  <c r="AJ135" i="9"/>
  <c r="B135" i="9"/>
  <c r="BG134" i="9" a="1"/>
  <c r="BG134" i="9" s="1"/>
  <c r="BE134" i="9"/>
  <c r="BD134" i="9"/>
  <c r="BB134" i="9"/>
  <c r="AX134" i="9"/>
  <c r="AV134" i="9"/>
  <c r="AT134" i="9"/>
  <c r="AS134" i="9"/>
  <c r="AR134" i="9"/>
  <c r="BC134" i="9" s="1"/>
  <c r="AQ134" i="9"/>
  <c r="AP134" i="9"/>
  <c r="BA134" i="9" s="1"/>
  <c r="AO134" i="9"/>
  <c r="AZ134" i="9" s="1"/>
  <c r="AN134" i="9"/>
  <c r="AY134" i="9" s="1"/>
  <c r="AM134" i="9"/>
  <c r="AL134" i="9"/>
  <c r="AW134" i="9" s="1"/>
  <c r="AK134" i="9"/>
  <c r="AJ134" i="9"/>
  <c r="AU134" i="9" s="1"/>
  <c r="BF134" i="9" s="1"/>
  <c r="B134" i="9"/>
  <c r="BG133" i="9"/>
  <c r="BG133" i="9" a="1"/>
  <c r="BE133" i="9"/>
  <c r="BC133" i="9"/>
  <c r="AY133" i="9"/>
  <c r="AX133" i="9"/>
  <c r="AW133" i="9"/>
  <c r="AU133" i="9"/>
  <c r="AT133" i="9"/>
  <c r="AS133" i="9"/>
  <c r="BD133" i="9" s="1"/>
  <c r="AR133" i="9"/>
  <c r="AQ133" i="9"/>
  <c r="BB133" i="9" s="1"/>
  <c r="AP133" i="9"/>
  <c r="BA133" i="9" s="1"/>
  <c r="AO133" i="9"/>
  <c r="AZ133" i="9" s="1"/>
  <c r="AN133" i="9"/>
  <c r="AM133" i="9"/>
  <c r="AL133" i="9"/>
  <c r="AK133" i="9"/>
  <c r="AV133" i="9" s="1"/>
  <c r="AJ133" i="9"/>
  <c r="B133" i="9"/>
  <c r="BG132" i="9" a="1"/>
  <c r="BG132" i="9" s="1"/>
  <c r="BC132" i="9"/>
  <c r="BA132" i="9"/>
  <c r="AZ132" i="9"/>
  <c r="AY132" i="9"/>
  <c r="AW132" i="9"/>
  <c r="AV132" i="9"/>
  <c r="AU132" i="9"/>
  <c r="AT132" i="9"/>
  <c r="BE132" i="9" s="1"/>
  <c r="AS132" i="9"/>
  <c r="BD132" i="9" s="1"/>
  <c r="AR132" i="9"/>
  <c r="AQ132" i="9"/>
  <c r="BB132" i="9" s="1"/>
  <c r="AP132" i="9"/>
  <c r="AO132" i="9"/>
  <c r="AN132" i="9"/>
  <c r="AM132" i="9"/>
  <c r="AX132" i="9" s="1"/>
  <c r="AL132" i="9"/>
  <c r="AK132" i="9"/>
  <c r="AJ132" i="9"/>
  <c r="B132" i="9"/>
  <c r="BG131" i="9" a="1"/>
  <c r="BG131" i="9" s="1"/>
  <c r="BE131" i="9"/>
  <c r="BD131" i="9"/>
  <c r="BC131" i="9"/>
  <c r="BA131" i="9"/>
  <c r="AU131" i="9"/>
  <c r="AT131" i="9"/>
  <c r="AS131" i="9"/>
  <c r="AR131" i="9"/>
  <c r="AQ131" i="9"/>
  <c r="BB131" i="9" s="1"/>
  <c r="AP131" i="9"/>
  <c r="AO131" i="9"/>
  <c r="AZ131" i="9" s="1"/>
  <c r="AN131" i="9"/>
  <c r="AY131" i="9" s="1"/>
  <c r="AM131" i="9"/>
  <c r="AX131" i="9" s="1"/>
  <c r="AL131" i="9"/>
  <c r="AW131" i="9" s="1"/>
  <c r="AK131" i="9"/>
  <c r="AV131" i="9" s="1"/>
  <c r="BF131" i="9" s="1"/>
  <c r="AJ131" i="9"/>
  <c r="B131" i="9"/>
  <c r="BG130" i="9" a="1"/>
  <c r="BG130" i="9" s="1"/>
  <c r="BE130" i="9"/>
  <c r="AZ130" i="9"/>
  <c r="AX130" i="9"/>
  <c r="AW130" i="9"/>
  <c r="AT130" i="9"/>
  <c r="AS130" i="9"/>
  <c r="BD130" i="9" s="1"/>
  <c r="AR130" i="9"/>
  <c r="BC130" i="9" s="1"/>
  <c r="AQ130" i="9"/>
  <c r="BB130" i="9" s="1"/>
  <c r="AP130" i="9"/>
  <c r="BA130" i="9" s="1"/>
  <c r="AO130" i="9"/>
  <c r="AN130" i="9"/>
  <c r="AY130" i="9" s="1"/>
  <c r="AM130" i="9"/>
  <c r="AL130" i="9"/>
  <c r="AK130" i="9"/>
  <c r="AV130" i="9" s="1"/>
  <c r="AJ130" i="9"/>
  <c r="AU130" i="9" s="1"/>
  <c r="B130" i="9"/>
  <c r="BG129" i="9" a="1"/>
  <c r="BG129" i="9" s="1"/>
  <c r="BE129" i="9"/>
  <c r="BD129" i="9"/>
  <c r="AX129" i="9"/>
  <c r="AU129" i="9"/>
  <c r="AT129" i="9"/>
  <c r="AS129" i="9"/>
  <c r="AR129" i="9"/>
  <c r="BC129" i="9" s="1"/>
  <c r="AQ129" i="9"/>
  <c r="BB129" i="9" s="1"/>
  <c r="AP129" i="9"/>
  <c r="BA129" i="9" s="1"/>
  <c r="AO129" i="9"/>
  <c r="AZ129" i="9" s="1"/>
  <c r="AN129" i="9"/>
  <c r="AY129" i="9" s="1"/>
  <c r="AM129" i="9"/>
  <c r="AL129" i="9"/>
  <c r="AW129" i="9" s="1"/>
  <c r="AK129" i="9"/>
  <c r="AV129" i="9" s="1"/>
  <c r="AJ129" i="9"/>
  <c r="B129" i="9"/>
  <c r="BG128" i="9" a="1"/>
  <c r="BG128" i="9" s="1"/>
  <c r="BD128" i="9"/>
  <c r="BC128" i="9"/>
  <c r="BB128" i="9"/>
  <c r="BA128" i="9"/>
  <c r="AZ128" i="9"/>
  <c r="AY128" i="9"/>
  <c r="AX128" i="9"/>
  <c r="AW128" i="9"/>
  <c r="AV128" i="9"/>
  <c r="AT128" i="9"/>
  <c r="BE128" i="9" s="1"/>
  <c r="AS128" i="9"/>
  <c r="AR128" i="9"/>
  <c r="AQ128" i="9"/>
  <c r="AP128" i="9"/>
  <c r="AO128" i="9"/>
  <c r="AN128" i="9"/>
  <c r="AM128" i="9"/>
  <c r="AL128" i="9"/>
  <c r="AK128" i="9"/>
  <c r="AJ128" i="9"/>
  <c r="AU128" i="9" s="1"/>
  <c r="B128" i="9"/>
  <c r="BG127" i="9"/>
  <c r="BG127" i="9" a="1"/>
  <c r="BD127" i="9"/>
  <c r="BB127" i="9"/>
  <c r="AX127" i="9"/>
  <c r="AW127" i="9"/>
  <c r="AU127" i="9"/>
  <c r="AT127" i="9"/>
  <c r="BE127" i="9" s="1"/>
  <c r="AS127" i="9"/>
  <c r="AR127" i="9"/>
  <c r="BC127" i="9" s="1"/>
  <c r="AQ127" i="9"/>
  <c r="AP127" i="9"/>
  <c r="BA127" i="9" s="1"/>
  <c r="AO127" i="9"/>
  <c r="AZ127" i="9" s="1"/>
  <c r="AN127" i="9"/>
  <c r="AY127" i="9" s="1"/>
  <c r="AM127" i="9"/>
  <c r="AL127" i="9"/>
  <c r="AK127" i="9"/>
  <c r="AV127" i="9" s="1"/>
  <c r="BF127" i="9" s="1"/>
  <c r="AJ127" i="9"/>
  <c r="B127" i="9"/>
  <c r="BG126" i="9"/>
  <c r="BG126" i="9" a="1"/>
  <c r="BE126" i="9"/>
  <c r="BD126" i="9"/>
  <c r="BA126" i="9"/>
  <c r="AY126" i="9"/>
  <c r="AX126" i="9"/>
  <c r="AW126" i="9"/>
  <c r="BF126" i="9" s="1"/>
  <c r="AT126" i="9"/>
  <c r="AS126" i="9"/>
  <c r="AR126" i="9"/>
  <c r="BC126" i="9" s="1"/>
  <c r="AQ126" i="9"/>
  <c r="BB126" i="9" s="1"/>
  <c r="AP126" i="9"/>
  <c r="AO126" i="9"/>
  <c r="AZ126" i="9" s="1"/>
  <c r="AN126" i="9"/>
  <c r="AM126" i="9"/>
  <c r="AL126" i="9"/>
  <c r="AK126" i="9"/>
  <c r="AV126" i="9" s="1"/>
  <c r="AJ126" i="9"/>
  <c r="AU126" i="9" s="1"/>
  <c r="B126" i="9"/>
  <c r="BG125" i="9" a="1"/>
  <c r="BG125" i="9" s="1"/>
  <c r="AZ125" i="9"/>
  <c r="AY125" i="9"/>
  <c r="AX125" i="9"/>
  <c r="AT125" i="9"/>
  <c r="BE125" i="9" s="1"/>
  <c r="AS125" i="9"/>
  <c r="BD125" i="9" s="1"/>
  <c r="AR125" i="9"/>
  <c r="BC125" i="9" s="1"/>
  <c r="AQ125" i="9"/>
  <c r="BB125" i="9" s="1"/>
  <c r="AP125" i="9"/>
  <c r="BA125" i="9" s="1"/>
  <c r="AO125" i="9"/>
  <c r="AN125" i="9"/>
  <c r="AM125" i="9"/>
  <c r="AL125" i="9"/>
  <c r="AW125" i="9" s="1"/>
  <c r="AK125" i="9"/>
  <c r="AV125" i="9" s="1"/>
  <c r="AJ125" i="9"/>
  <c r="AU125" i="9" s="1"/>
  <c r="B125" i="9"/>
  <c r="BG124" i="9"/>
  <c r="BG124" i="9" a="1"/>
  <c r="BA124" i="9"/>
  <c r="AZ124" i="9"/>
  <c r="AW124" i="9"/>
  <c r="AU124" i="9"/>
  <c r="BF124" i="9" s="1"/>
  <c r="AT124" i="9"/>
  <c r="BE124" i="9" s="1"/>
  <c r="AS124" i="9"/>
  <c r="BD124" i="9" s="1"/>
  <c r="AR124" i="9"/>
  <c r="BC124" i="9" s="1"/>
  <c r="AQ124" i="9"/>
  <c r="BB124" i="9" s="1"/>
  <c r="AP124" i="9"/>
  <c r="AO124" i="9"/>
  <c r="AN124" i="9"/>
  <c r="AY124" i="9" s="1"/>
  <c r="AM124" i="9"/>
  <c r="AX124" i="9" s="1"/>
  <c r="AL124" i="9"/>
  <c r="AK124" i="9"/>
  <c r="AV124" i="9" s="1"/>
  <c r="AJ124" i="9"/>
  <c r="B124" i="9"/>
  <c r="BG123" i="9" a="1"/>
  <c r="BG123" i="9" s="1"/>
  <c r="BD123" i="9"/>
  <c r="BC123" i="9"/>
  <c r="BB123" i="9"/>
  <c r="BA123" i="9"/>
  <c r="AZ123" i="9"/>
  <c r="AT123" i="9"/>
  <c r="BE123" i="9" s="1"/>
  <c r="AS123" i="9"/>
  <c r="AR123" i="9"/>
  <c r="AQ123" i="9"/>
  <c r="AP123" i="9"/>
  <c r="AO123" i="9"/>
  <c r="AN123" i="9"/>
  <c r="AY123" i="9" s="1"/>
  <c r="AM123" i="9"/>
  <c r="AX123" i="9" s="1"/>
  <c r="AL123" i="9"/>
  <c r="AW123" i="9" s="1"/>
  <c r="AK123" i="9"/>
  <c r="AV123" i="9" s="1"/>
  <c r="AJ123" i="9"/>
  <c r="AU123" i="9" s="1"/>
  <c r="BF123" i="9" s="1"/>
  <c r="B123" i="9"/>
  <c r="BG122" i="9"/>
  <c r="BG122" i="9" a="1"/>
  <c r="AW122" i="9"/>
  <c r="AV122" i="9"/>
  <c r="AU122" i="9"/>
  <c r="AT122" i="9"/>
  <c r="BE122" i="9" s="1"/>
  <c r="AS122" i="9"/>
  <c r="BD122" i="9" s="1"/>
  <c r="AR122" i="9"/>
  <c r="BC122" i="9" s="1"/>
  <c r="AQ122" i="9"/>
  <c r="BB122" i="9" s="1"/>
  <c r="AP122" i="9"/>
  <c r="BA122" i="9" s="1"/>
  <c r="AO122" i="9"/>
  <c r="AZ122" i="9" s="1"/>
  <c r="AN122" i="9"/>
  <c r="AY122" i="9" s="1"/>
  <c r="AM122" i="9"/>
  <c r="AX122" i="9" s="1"/>
  <c r="AL122" i="9"/>
  <c r="AK122" i="9"/>
  <c r="AJ122" i="9"/>
  <c r="B122" i="9"/>
  <c r="BG121" i="9" a="1"/>
  <c r="BG121" i="9" s="1"/>
  <c r="BD121" i="9"/>
  <c r="BB121" i="9"/>
  <c r="BA121" i="9"/>
  <c r="AZ121" i="9"/>
  <c r="AY121" i="9"/>
  <c r="AX121" i="9"/>
  <c r="AW121" i="9"/>
  <c r="AT121" i="9"/>
  <c r="BE121" i="9" s="1"/>
  <c r="AS121" i="9"/>
  <c r="AR121" i="9"/>
  <c r="BC121" i="9" s="1"/>
  <c r="AQ121" i="9"/>
  <c r="AP121" i="9"/>
  <c r="AO121" i="9"/>
  <c r="AN121" i="9"/>
  <c r="AM121" i="9"/>
  <c r="AL121" i="9"/>
  <c r="AK121" i="9"/>
  <c r="AV121" i="9" s="1"/>
  <c r="AJ121" i="9"/>
  <c r="AU121" i="9" s="1"/>
  <c r="B121" i="9"/>
  <c r="BG120" i="9" a="1"/>
  <c r="BG120" i="9" s="1"/>
  <c r="BE120" i="9"/>
  <c r="BC120" i="9"/>
  <c r="BA120" i="9"/>
  <c r="AY120" i="9"/>
  <c r="AW120" i="9"/>
  <c r="AV120" i="9"/>
  <c r="AU120" i="9"/>
  <c r="AT120" i="9"/>
  <c r="AS120" i="9"/>
  <c r="BD120" i="9" s="1"/>
  <c r="AR120" i="9"/>
  <c r="AQ120" i="9"/>
  <c r="BB120" i="9" s="1"/>
  <c r="AP120" i="9"/>
  <c r="AO120" i="9"/>
  <c r="AZ120" i="9" s="1"/>
  <c r="AN120" i="9"/>
  <c r="AM120" i="9"/>
  <c r="AX120" i="9" s="1"/>
  <c r="AL120" i="9"/>
  <c r="AK120" i="9"/>
  <c r="AJ120" i="9"/>
  <c r="B120" i="9"/>
  <c r="BG119" i="9" a="1"/>
  <c r="BG119" i="9" s="1"/>
  <c r="BE119" i="9"/>
  <c r="BD119" i="9"/>
  <c r="BB119" i="9"/>
  <c r="BA119" i="9"/>
  <c r="AV119" i="9"/>
  <c r="AU119" i="9"/>
  <c r="AT119" i="9"/>
  <c r="AS119" i="9"/>
  <c r="AR119" i="9"/>
  <c r="BC119" i="9" s="1"/>
  <c r="AQ119" i="9"/>
  <c r="AP119" i="9"/>
  <c r="AO119" i="9"/>
  <c r="AZ119" i="9" s="1"/>
  <c r="AN119" i="9"/>
  <c r="AY119" i="9" s="1"/>
  <c r="AM119" i="9"/>
  <c r="AX119" i="9" s="1"/>
  <c r="AL119" i="9"/>
  <c r="AW119" i="9" s="1"/>
  <c r="BF119" i="9" s="1"/>
  <c r="AK119" i="9"/>
  <c r="AJ119" i="9"/>
  <c r="B119" i="9"/>
  <c r="BG118" i="9"/>
  <c r="BG118" i="9" a="1"/>
  <c r="BE118" i="9"/>
  <c r="BD118" i="9"/>
  <c r="BA118" i="9"/>
  <c r="AZ118" i="9"/>
  <c r="AY118" i="9"/>
  <c r="AX118" i="9"/>
  <c r="AW118" i="9"/>
  <c r="AV118" i="9"/>
  <c r="AU118" i="9"/>
  <c r="BF118" i="9" s="1"/>
  <c r="AT118" i="9"/>
  <c r="AS118" i="9"/>
  <c r="AR118" i="9"/>
  <c r="BC118" i="9" s="1"/>
  <c r="AQ118" i="9"/>
  <c r="BB118" i="9" s="1"/>
  <c r="AP118" i="9"/>
  <c r="AO118" i="9"/>
  <c r="AN118" i="9"/>
  <c r="AM118" i="9"/>
  <c r="AL118" i="9"/>
  <c r="AK118" i="9"/>
  <c r="AJ118" i="9"/>
  <c r="B118" i="9"/>
  <c r="BG117" i="9" a="1"/>
  <c r="BG117" i="9" s="1"/>
  <c r="BE117" i="9"/>
  <c r="BB117" i="9"/>
  <c r="BA117" i="9"/>
  <c r="AY117" i="9"/>
  <c r="AT117" i="9"/>
  <c r="AS117" i="9"/>
  <c r="BD117" i="9" s="1"/>
  <c r="AR117" i="9"/>
  <c r="BC117" i="9" s="1"/>
  <c r="AQ117" i="9"/>
  <c r="AP117" i="9"/>
  <c r="AO117" i="9"/>
  <c r="AZ117" i="9" s="1"/>
  <c r="BF117" i="9" s="1"/>
  <c r="AN117" i="9"/>
  <c r="AM117" i="9"/>
  <c r="AX117" i="9" s="1"/>
  <c r="AL117" i="9"/>
  <c r="AW117" i="9" s="1"/>
  <c r="AK117" i="9"/>
  <c r="AV117" i="9" s="1"/>
  <c r="AJ117" i="9"/>
  <c r="AU117" i="9" s="1"/>
  <c r="B117" i="9"/>
  <c r="BG116" i="9" a="1"/>
  <c r="BG116" i="9" s="1"/>
  <c r="BB116" i="9"/>
  <c r="AZ116" i="9"/>
  <c r="AW116" i="9"/>
  <c r="AV116" i="9"/>
  <c r="AU116" i="9"/>
  <c r="AT116" i="9"/>
  <c r="BE116" i="9" s="1"/>
  <c r="AS116" i="9"/>
  <c r="BD116" i="9" s="1"/>
  <c r="AR116" i="9"/>
  <c r="BC116" i="9" s="1"/>
  <c r="AQ116" i="9"/>
  <c r="AP116" i="9"/>
  <c r="BA116" i="9" s="1"/>
  <c r="AO116" i="9"/>
  <c r="AN116" i="9"/>
  <c r="AY116" i="9" s="1"/>
  <c r="AM116" i="9"/>
  <c r="AX116" i="9" s="1"/>
  <c r="AL116" i="9"/>
  <c r="AK116" i="9"/>
  <c r="AJ116" i="9"/>
  <c r="B116" i="9"/>
  <c r="BG115" i="9" a="1"/>
  <c r="BG115" i="9" s="1"/>
  <c r="BE115" i="9"/>
  <c r="BD115" i="9"/>
  <c r="BC115" i="9"/>
  <c r="BB115" i="9"/>
  <c r="BA115" i="9"/>
  <c r="AY115" i="9"/>
  <c r="AW115" i="9"/>
  <c r="AV115" i="9"/>
  <c r="AU115" i="9"/>
  <c r="BF115" i="9" s="1"/>
  <c r="AT115" i="9"/>
  <c r="AS115" i="9"/>
  <c r="AR115" i="9"/>
  <c r="AQ115" i="9"/>
  <c r="AP115" i="9"/>
  <c r="AO115" i="9"/>
  <c r="AZ115" i="9" s="1"/>
  <c r="AN115" i="9"/>
  <c r="AM115" i="9"/>
  <c r="AX115" i="9" s="1"/>
  <c r="AL115" i="9"/>
  <c r="AK115" i="9"/>
  <c r="AJ115" i="9"/>
  <c r="B115" i="9"/>
  <c r="BG114" i="9" a="1"/>
  <c r="BG114" i="9" s="1"/>
  <c r="BD114" i="9"/>
  <c r="AW114" i="9"/>
  <c r="AV114" i="9"/>
  <c r="AT114" i="9"/>
  <c r="BE114" i="9" s="1"/>
  <c r="AS114" i="9"/>
  <c r="AR114" i="9"/>
  <c r="BC114" i="9" s="1"/>
  <c r="AQ114" i="9"/>
  <c r="BB114" i="9" s="1"/>
  <c r="AP114" i="9"/>
  <c r="BA114" i="9" s="1"/>
  <c r="AO114" i="9"/>
  <c r="AZ114" i="9" s="1"/>
  <c r="AN114" i="9"/>
  <c r="AY114" i="9" s="1"/>
  <c r="AM114" i="9"/>
  <c r="AX114" i="9" s="1"/>
  <c r="AL114" i="9"/>
  <c r="AK114" i="9"/>
  <c r="AJ114" i="9"/>
  <c r="AU114" i="9" s="1"/>
  <c r="B114" i="9"/>
  <c r="BG113" i="9"/>
  <c r="BG113" i="9" a="1"/>
  <c r="BE113" i="9"/>
  <c r="BB113" i="9"/>
  <c r="AZ113" i="9"/>
  <c r="AY113" i="9"/>
  <c r="AX113" i="9"/>
  <c r="AW113" i="9"/>
  <c r="AU113" i="9"/>
  <c r="AT113" i="9"/>
  <c r="AS113" i="9"/>
  <c r="BD113" i="9" s="1"/>
  <c r="AR113" i="9"/>
  <c r="BC113" i="9" s="1"/>
  <c r="AQ113" i="9"/>
  <c r="AP113" i="9"/>
  <c r="BA113" i="9" s="1"/>
  <c r="AO113" i="9"/>
  <c r="AN113" i="9"/>
  <c r="AM113" i="9"/>
  <c r="AL113" i="9"/>
  <c r="AK113" i="9"/>
  <c r="AV113" i="9" s="1"/>
  <c r="AJ113" i="9"/>
  <c r="B113" i="9"/>
  <c r="BG112" i="9" a="1"/>
  <c r="BG112" i="9" s="1"/>
  <c r="BE112" i="9"/>
  <c r="BD112" i="9"/>
  <c r="BA112" i="9"/>
  <c r="AT112" i="9"/>
  <c r="AS112" i="9"/>
  <c r="AR112" i="9"/>
  <c r="BC112" i="9" s="1"/>
  <c r="AQ112" i="9"/>
  <c r="BB112" i="9" s="1"/>
  <c r="AP112" i="9"/>
  <c r="AO112" i="9"/>
  <c r="AZ112" i="9" s="1"/>
  <c r="AN112" i="9"/>
  <c r="AY112" i="9" s="1"/>
  <c r="AM112" i="9"/>
  <c r="AX112" i="9" s="1"/>
  <c r="AL112" i="9"/>
  <c r="AW112" i="9" s="1"/>
  <c r="AK112" i="9"/>
  <c r="AV112" i="9" s="1"/>
  <c r="AJ112" i="9"/>
  <c r="AU112" i="9" s="1"/>
  <c r="B112" i="9"/>
  <c r="BG111" i="9" a="1"/>
  <c r="BG111" i="9" s="1"/>
  <c r="BB111" i="9"/>
  <c r="AY111" i="9"/>
  <c r="AX111" i="9"/>
  <c r="AW111" i="9"/>
  <c r="AV111" i="9"/>
  <c r="AU111" i="9"/>
  <c r="AT111" i="9"/>
  <c r="BE111" i="9" s="1"/>
  <c r="AS111" i="9"/>
  <c r="BD111" i="9" s="1"/>
  <c r="AR111" i="9"/>
  <c r="BC111" i="9" s="1"/>
  <c r="AQ111" i="9"/>
  <c r="AP111" i="9"/>
  <c r="BA111" i="9" s="1"/>
  <c r="AO111" i="9"/>
  <c r="AZ111" i="9" s="1"/>
  <c r="AN111" i="9"/>
  <c r="AM111" i="9"/>
  <c r="AL111" i="9"/>
  <c r="AK111" i="9"/>
  <c r="AJ111" i="9"/>
  <c r="B111" i="9"/>
  <c r="BG110" i="9" a="1"/>
  <c r="BG110" i="9" s="1"/>
  <c r="BE110" i="9"/>
  <c r="BC110" i="9"/>
  <c r="BB110" i="9"/>
  <c r="AZ110" i="9"/>
  <c r="AW110" i="9"/>
  <c r="AT110" i="9"/>
  <c r="AS110" i="9"/>
  <c r="BD110" i="9" s="1"/>
  <c r="AR110" i="9"/>
  <c r="AQ110" i="9"/>
  <c r="AP110" i="9"/>
  <c r="BA110" i="9" s="1"/>
  <c r="AO110" i="9"/>
  <c r="AN110" i="9"/>
  <c r="AY110" i="9" s="1"/>
  <c r="AM110" i="9"/>
  <c r="AX110" i="9" s="1"/>
  <c r="AL110" i="9"/>
  <c r="AK110" i="9"/>
  <c r="AV110" i="9" s="1"/>
  <c r="AJ110" i="9"/>
  <c r="AU110" i="9" s="1"/>
  <c r="BF110" i="9" s="1"/>
  <c r="B110" i="9"/>
  <c r="BG109" i="9" a="1"/>
  <c r="BG109" i="9" s="1"/>
  <c r="BC109" i="9"/>
  <c r="BB109" i="9"/>
  <c r="BA109" i="9"/>
  <c r="AZ109" i="9"/>
  <c r="AY109" i="9"/>
  <c r="AW109" i="9"/>
  <c r="AV109" i="9"/>
  <c r="AT109" i="9"/>
  <c r="BE109" i="9" s="1"/>
  <c r="AS109" i="9"/>
  <c r="BD109" i="9" s="1"/>
  <c r="AR109" i="9"/>
  <c r="AQ109" i="9"/>
  <c r="AP109" i="9"/>
  <c r="AO109" i="9"/>
  <c r="AN109" i="9"/>
  <c r="AM109" i="9"/>
  <c r="AX109" i="9" s="1"/>
  <c r="AL109" i="9"/>
  <c r="AK109" i="9"/>
  <c r="AJ109" i="9"/>
  <c r="AU109" i="9" s="1"/>
  <c r="BF109" i="9" s="1"/>
  <c r="B109" i="9"/>
  <c r="BG108" i="9"/>
  <c r="BG108" i="9" a="1"/>
  <c r="BD108" i="9"/>
  <c r="BC108" i="9"/>
  <c r="AV108" i="9"/>
  <c r="AU108" i="9"/>
  <c r="AT108" i="9"/>
  <c r="BE108" i="9" s="1"/>
  <c r="AS108" i="9"/>
  <c r="AR108" i="9"/>
  <c r="AQ108" i="9"/>
  <c r="BB108" i="9" s="1"/>
  <c r="AP108" i="9"/>
  <c r="BA108" i="9" s="1"/>
  <c r="AO108" i="9"/>
  <c r="AZ108" i="9" s="1"/>
  <c r="AN108" i="9"/>
  <c r="AY108" i="9" s="1"/>
  <c r="AM108" i="9"/>
  <c r="AX108" i="9" s="1"/>
  <c r="AL108" i="9"/>
  <c r="AW108" i="9" s="1"/>
  <c r="AK108" i="9"/>
  <c r="AJ108" i="9"/>
  <c r="B108" i="9"/>
  <c r="BG107" i="9" a="1"/>
  <c r="BG107" i="9" s="1"/>
  <c r="BE107" i="9"/>
  <c r="BD107" i="9"/>
  <c r="BC107" i="9"/>
  <c r="BB107" i="9"/>
  <c r="BA107" i="9"/>
  <c r="AZ107" i="9"/>
  <c r="AY107" i="9"/>
  <c r="AX107" i="9"/>
  <c r="AW107" i="9"/>
  <c r="AV107" i="9"/>
  <c r="AT107" i="9"/>
  <c r="AS107" i="9"/>
  <c r="AR107" i="9"/>
  <c r="AQ107" i="9"/>
  <c r="AP107" i="9"/>
  <c r="AO107" i="9"/>
  <c r="AN107" i="9"/>
  <c r="AM107" i="9"/>
  <c r="AL107" i="9"/>
  <c r="AK107" i="9"/>
  <c r="AJ107" i="9"/>
  <c r="AU107" i="9" s="1"/>
  <c r="BF107" i="9" s="1"/>
  <c r="B107" i="9"/>
  <c r="BG106" i="9" a="1"/>
  <c r="BG106" i="9" s="1"/>
  <c r="BE106" i="9"/>
  <c r="BD106" i="9"/>
  <c r="AW106" i="9"/>
  <c r="AV106" i="9"/>
  <c r="AU106" i="9"/>
  <c r="AT106" i="9"/>
  <c r="AS106" i="9"/>
  <c r="AR106" i="9"/>
  <c r="BC106" i="9" s="1"/>
  <c r="AQ106" i="9"/>
  <c r="BB106" i="9" s="1"/>
  <c r="AP106" i="9"/>
  <c r="BA106" i="9" s="1"/>
  <c r="AO106" i="9"/>
  <c r="AZ106" i="9" s="1"/>
  <c r="AN106" i="9"/>
  <c r="AY106" i="9" s="1"/>
  <c r="AM106" i="9"/>
  <c r="AX106" i="9" s="1"/>
  <c r="AL106" i="9"/>
  <c r="AK106" i="9"/>
  <c r="AJ106" i="9"/>
  <c r="B106" i="9"/>
  <c r="BG105" i="9"/>
  <c r="BG105" i="9" a="1"/>
  <c r="BD105" i="9"/>
  <c r="AZ105" i="9"/>
  <c r="AY105" i="9"/>
  <c r="AX105" i="9"/>
  <c r="AW105" i="9"/>
  <c r="BF105" i="9" s="1"/>
  <c r="AT105" i="9"/>
  <c r="BE105" i="9" s="1"/>
  <c r="AS105" i="9"/>
  <c r="AR105" i="9"/>
  <c r="BC105" i="9" s="1"/>
  <c r="AQ105" i="9"/>
  <c r="BB105" i="9" s="1"/>
  <c r="AP105" i="9"/>
  <c r="BA105" i="9" s="1"/>
  <c r="AO105" i="9"/>
  <c r="AN105" i="9"/>
  <c r="AM105" i="9"/>
  <c r="AL105" i="9"/>
  <c r="AK105" i="9"/>
  <c r="AV105" i="9" s="1"/>
  <c r="AJ105" i="9"/>
  <c r="AU105" i="9" s="1"/>
  <c r="B105" i="9"/>
  <c r="BG104" i="9" a="1"/>
  <c r="BG104" i="9" s="1"/>
  <c r="BE104" i="9"/>
  <c r="BC104" i="9"/>
  <c r="BA104" i="9"/>
  <c r="AZ104" i="9"/>
  <c r="AY104" i="9"/>
  <c r="AX104" i="9"/>
  <c r="AW104" i="9"/>
  <c r="AT104" i="9"/>
  <c r="AS104" i="9"/>
  <c r="BD104" i="9" s="1"/>
  <c r="AR104" i="9"/>
  <c r="AQ104" i="9"/>
  <c r="BB104" i="9" s="1"/>
  <c r="AP104" i="9"/>
  <c r="AO104" i="9"/>
  <c r="AN104" i="9"/>
  <c r="AM104" i="9"/>
  <c r="AL104" i="9"/>
  <c r="AK104" i="9"/>
  <c r="AV104" i="9" s="1"/>
  <c r="AJ104" i="9"/>
  <c r="AU104" i="9" s="1"/>
  <c r="BF104" i="9" s="1"/>
  <c r="B104" i="9"/>
  <c r="BG103" i="9" a="1"/>
  <c r="BG103" i="9" s="1"/>
  <c r="BE103" i="9"/>
  <c r="BC103" i="9"/>
  <c r="AY103" i="9"/>
  <c r="AU103" i="9"/>
  <c r="AT103" i="9"/>
  <c r="AS103" i="9"/>
  <c r="BD103" i="9" s="1"/>
  <c r="AR103" i="9"/>
  <c r="AQ103" i="9"/>
  <c r="BB103" i="9" s="1"/>
  <c r="AP103" i="9"/>
  <c r="BA103" i="9" s="1"/>
  <c r="AO103" i="9"/>
  <c r="AZ103" i="9" s="1"/>
  <c r="AN103" i="9"/>
  <c r="AM103" i="9"/>
  <c r="AX103" i="9" s="1"/>
  <c r="AL103" i="9"/>
  <c r="AW103" i="9" s="1"/>
  <c r="AK103" i="9"/>
  <c r="AV103" i="9" s="1"/>
  <c r="BF103" i="9" s="1"/>
  <c r="AJ103" i="9"/>
  <c r="B103" i="9"/>
  <c r="BG102" i="9"/>
  <c r="BG102" i="9" a="1"/>
  <c r="BE102" i="9"/>
  <c r="BD102" i="9"/>
  <c r="BB102" i="9"/>
  <c r="BA102" i="9"/>
  <c r="AZ102" i="9"/>
  <c r="AY102" i="9"/>
  <c r="AW102" i="9"/>
  <c r="AU102" i="9"/>
  <c r="BF102" i="9" s="1"/>
  <c r="AT102" i="9"/>
  <c r="AS102" i="9"/>
  <c r="AR102" i="9"/>
  <c r="BC102" i="9" s="1"/>
  <c r="AQ102" i="9"/>
  <c r="AP102" i="9"/>
  <c r="AO102" i="9"/>
  <c r="AN102" i="9"/>
  <c r="AM102" i="9"/>
  <c r="AX102" i="9" s="1"/>
  <c r="AL102" i="9"/>
  <c r="AK102" i="9"/>
  <c r="AV102" i="9" s="1"/>
  <c r="AJ102" i="9"/>
  <c r="B102" i="9"/>
  <c r="BG101" i="9" a="1"/>
  <c r="BG101" i="9" s="1"/>
  <c r="BA101" i="9"/>
  <c r="AY101" i="9"/>
  <c r="AW101" i="9"/>
  <c r="AV101" i="9"/>
  <c r="AU101" i="9"/>
  <c r="AT101" i="9"/>
  <c r="BE101" i="9" s="1"/>
  <c r="AS101" i="9"/>
  <c r="BD101" i="9" s="1"/>
  <c r="AR101" i="9"/>
  <c r="BC101" i="9" s="1"/>
  <c r="AQ101" i="9"/>
  <c r="BB101" i="9" s="1"/>
  <c r="AP101" i="9"/>
  <c r="AO101" i="9"/>
  <c r="AZ101" i="9" s="1"/>
  <c r="AN101" i="9"/>
  <c r="AM101" i="9"/>
  <c r="AX101" i="9" s="1"/>
  <c r="AL101" i="9"/>
  <c r="AK101" i="9"/>
  <c r="AJ101" i="9"/>
  <c r="B101" i="9"/>
  <c r="BG100" i="9" a="1"/>
  <c r="BG100" i="9" s="1"/>
  <c r="BE100" i="9"/>
  <c r="BD100" i="9"/>
  <c r="BC100" i="9"/>
  <c r="BB100" i="9"/>
  <c r="AT100" i="9"/>
  <c r="AS100" i="9"/>
  <c r="AR100" i="9"/>
  <c r="AQ100" i="9"/>
  <c r="AP100" i="9"/>
  <c r="BA100" i="9" s="1"/>
  <c r="AO100" i="9"/>
  <c r="AZ100" i="9" s="1"/>
  <c r="AN100" i="9"/>
  <c r="AY100" i="9" s="1"/>
  <c r="AM100" i="9"/>
  <c r="AX100" i="9" s="1"/>
  <c r="AL100" i="9"/>
  <c r="AW100" i="9" s="1"/>
  <c r="AK100" i="9"/>
  <c r="AV100" i="9" s="1"/>
  <c r="AJ100" i="9"/>
  <c r="AU100" i="9" s="1"/>
  <c r="B100" i="9"/>
  <c r="BG99" i="9" a="1"/>
  <c r="BG99" i="9" s="1"/>
  <c r="BE99" i="9"/>
  <c r="BC99" i="9"/>
  <c r="AY99" i="9"/>
  <c r="AW99" i="9"/>
  <c r="AU99" i="9"/>
  <c r="AT99" i="9"/>
  <c r="AS99" i="9"/>
  <c r="BD99" i="9" s="1"/>
  <c r="AR99" i="9"/>
  <c r="AQ99" i="9"/>
  <c r="BB99" i="9" s="1"/>
  <c r="AP99" i="9"/>
  <c r="BA99" i="9" s="1"/>
  <c r="AO99" i="9"/>
  <c r="AZ99" i="9" s="1"/>
  <c r="AN99" i="9"/>
  <c r="AM99" i="9"/>
  <c r="AX99" i="9" s="1"/>
  <c r="AL99" i="9"/>
  <c r="AK99" i="9"/>
  <c r="AV99" i="9" s="1"/>
  <c r="AJ99" i="9"/>
  <c r="B99" i="9"/>
  <c r="BG98" i="9" a="1"/>
  <c r="BG98" i="9" s="1"/>
  <c r="BE98" i="9"/>
  <c r="BD98" i="9"/>
  <c r="BC98" i="9"/>
  <c r="BA98" i="9"/>
  <c r="AZ98" i="9"/>
  <c r="AY98" i="9"/>
  <c r="AX98" i="9"/>
  <c r="AW98" i="9"/>
  <c r="AT98" i="9"/>
  <c r="AS98" i="9"/>
  <c r="AR98" i="9"/>
  <c r="AQ98" i="9"/>
  <c r="BB98" i="9" s="1"/>
  <c r="AP98" i="9"/>
  <c r="AO98" i="9"/>
  <c r="AN98" i="9"/>
  <c r="AM98" i="9"/>
  <c r="AL98" i="9"/>
  <c r="AK98" i="9"/>
  <c r="AV98" i="9" s="1"/>
  <c r="BF98" i="9" s="1"/>
  <c r="AJ98" i="9"/>
  <c r="AU98" i="9" s="1"/>
  <c r="B98" i="9"/>
  <c r="BG97" i="9" a="1"/>
  <c r="BG97" i="9" s="1"/>
  <c r="BD97" i="9"/>
  <c r="AY97" i="9"/>
  <c r="AX97" i="9"/>
  <c r="AW97" i="9"/>
  <c r="AU97" i="9"/>
  <c r="BF97" i="9" s="1"/>
  <c r="AT97" i="9"/>
  <c r="BE97" i="9" s="1"/>
  <c r="AS97" i="9"/>
  <c r="AR97" i="9"/>
  <c r="BC97" i="9" s="1"/>
  <c r="AQ97" i="9"/>
  <c r="BB97" i="9" s="1"/>
  <c r="AP97" i="9"/>
  <c r="BA97" i="9" s="1"/>
  <c r="AO97" i="9"/>
  <c r="AZ97" i="9" s="1"/>
  <c r="AN97" i="9"/>
  <c r="AM97" i="9"/>
  <c r="AL97" i="9"/>
  <c r="AK97" i="9"/>
  <c r="AV97" i="9" s="1"/>
  <c r="AJ97" i="9"/>
  <c r="B97" i="9"/>
  <c r="BG96" i="9" a="1"/>
  <c r="BG96" i="9" s="1"/>
  <c r="BE96" i="9"/>
  <c r="BD96" i="9"/>
  <c r="BC96" i="9"/>
  <c r="BA96" i="9"/>
  <c r="AZ96" i="9"/>
  <c r="AY96" i="9"/>
  <c r="AT96" i="9"/>
  <c r="AS96" i="9"/>
  <c r="AR96" i="9"/>
  <c r="AQ96" i="9"/>
  <c r="BB96" i="9" s="1"/>
  <c r="AP96" i="9"/>
  <c r="AO96" i="9"/>
  <c r="AN96" i="9"/>
  <c r="AM96" i="9"/>
  <c r="AX96" i="9" s="1"/>
  <c r="AL96" i="9"/>
  <c r="AW96" i="9" s="1"/>
  <c r="AK96" i="9"/>
  <c r="AV96" i="9" s="1"/>
  <c r="AJ96" i="9"/>
  <c r="AU96" i="9" s="1"/>
  <c r="B96" i="9"/>
  <c r="BG95" i="9"/>
  <c r="BG95" i="9" a="1"/>
  <c r="BA95" i="9"/>
  <c r="AY95" i="9"/>
  <c r="AW95" i="9"/>
  <c r="AV95" i="9"/>
  <c r="AU95" i="9"/>
  <c r="AT95" i="9"/>
  <c r="BE95" i="9" s="1"/>
  <c r="AS95" i="9"/>
  <c r="BD95" i="9" s="1"/>
  <c r="AR95" i="9"/>
  <c r="BC95" i="9" s="1"/>
  <c r="AQ95" i="9"/>
  <c r="BB95" i="9" s="1"/>
  <c r="AP95" i="9"/>
  <c r="AO95" i="9"/>
  <c r="AZ95" i="9" s="1"/>
  <c r="AN95" i="9"/>
  <c r="AM95" i="9"/>
  <c r="AX95" i="9" s="1"/>
  <c r="AL95" i="9"/>
  <c r="AK95" i="9"/>
  <c r="AJ95" i="9"/>
  <c r="B95" i="9"/>
  <c r="BG94" i="9" a="1"/>
  <c r="BG94" i="9" s="1"/>
  <c r="BE94" i="9"/>
  <c r="BC94" i="9"/>
  <c r="BB94" i="9"/>
  <c r="BA94" i="9"/>
  <c r="AY94" i="9"/>
  <c r="AV94" i="9"/>
  <c r="AU94" i="9"/>
  <c r="BF94" i="9" s="1"/>
  <c r="AT94" i="9"/>
  <c r="AS94" i="9"/>
  <c r="BD94" i="9" s="1"/>
  <c r="AR94" i="9"/>
  <c r="AQ94" i="9"/>
  <c r="AP94" i="9"/>
  <c r="AO94" i="9"/>
  <c r="AZ94" i="9" s="1"/>
  <c r="AN94" i="9"/>
  <c r="AM94" i="9"/>
  <c r="AX94" i="9" s="1"/>
  <c r="AL94" i="9"/>
  <c r="AW94" i="9" s="1"/>
  <c r="AK94" i="9"/>
  <c r="AJ94" i="9"/>
  <c r="B94" i="9"/>
  <c r="BG93" i="9" a="1"/>
  <c r="BG93" i="9" s="1"/>
  <c r="BE93" i="9"/>
  <c r="BC93" i="9"/>
  <c r="BB93" i="9"/>
  <c r="BA93" i="9"/>
  <c r="AY93" i="9"/>
  <c r="AW93" i="9"/>
  <c r="AU93" i="9"/>
  <c r="AT93" i="9"/>
  <c r="AS93" i="9"/>
  <c r="BD93" i="9" s="1"/>
  <c r="AR93" i="9"/>
  <c r="AQ93" i="9"/>
  <c r="AP93" i="9"/>
  <c r="AO93" i="9"/>
  <c r="AZ93" i="9" s="1"/>
  <c r="AN93" i="9"/>
  <c r="AM93" i="9"/>
  <c r="AX93" i="9" s="1"/>
  <c r="AL93" i="9"/>
  <c r="AK93" i="9"/>
  <c r="AV93" i="9" s="1"/>
  <c r="AJ93" i="9"/>
  <c r="B93" i="9"/>
  <c r="BG92" i="9" a="1"/>
  <c r="BG92" i="9" s="1"/>
  <c r="BD92" i="9"/>
  <c r="BB92" i="9"/>
  <c r="AZ92" i="9"/>
  <c r="AY92" i="9"/>
  <c r="AW92" i="9"/>
  <c r="AV92" i="9"/>
  <c r="AU92" i="9"/>
  <c r="AT92" i="9"/>
  <c r="BE92" i="9" s="1"/>
  <c r="AS92" i="9"/>
  <c r="AR92" i="9"/>
  <c r="BC92" i="9" s="1"/>
  <c r="AQ92" i="9"/>
  <c r="AP92" i="9"/>
  <c r="BA92" i="9" s="1"/>
  <c r="AO92" i="9"/>
  <c r="AN92" i="9"/>
  <c r="AM92" i="9"/>
  <c r="AX92" i="9" s="1"/>
  <c r="AL92" i="9"/>
  <c r="AK92" i="9"/>
  <c r="AJ92" i="9"/>
  <c r="B92" i="9"/>
  <c r="BG91" i="9" a="1"/>
  <c r="BG91" i="9" s="1"/>
  <c r="BE91" i="9"/>
  <c r="AZ91" i="9"/>
  <c r="AW91" i="9"/>
  <c r="AU91" i="9"/>
  <c r="AT91" i="9"/>
  <c r="AS91" i="9"/>
  <c r="BD91" i="9" s="1"/>
  <c r="AR91" i="9"/>
  <c r="BC91" i="9" s="1"/>
  <c r="AQ91" i="9"/>
  <c r="BB91" i="9" s="1"/>
  <c r="AP91" i="9"/>
  <c r="BA91" i="9" s="1"/>
  <c r="AO91" i="9"/>
  <c r="AN91" i="9"/>
  <c r="AY91" i="9" s="1"/>
  <c r="AM91" i="9"/>
  <c r="AX91" i="9" s="1"/>
  <c r="AL91" i="9"/>
  <c r="AK91" i="9"/>
  <c r="AV91" i="9" s="1"/>
  <c r="AJ91" i="9"/>
  <c r="B91" i="9"/>
  <c r="BG90" i="9" a="1"/>
  <c r="BG90" i="9" s="1"/>
  <c r="BE90" i="9"/>
  <c r="BC90" i="9"/>
  <c r="BB90" i="9"/>
  <c r="BA90" i="9"/>
  <c r="AZ90" i="9"/>
  <c r="AY90" i="9"/>
  <c r="AT90" i="9"/>
  <c r="AS90" i="9"/>
  <c r="BD90" i="9" s="1"/>
  <c r="AR90" i="9"/>
  <c r="AQ90" i="9"/>
  <c r="AP90" i="9"/>
  <c r="AO90" i="9"/>
  <c r="AN90" i="9"/>
  <c r="AM90" i="9"/>
  <c r="AX90" i="9" s="1"/>
  <c r="AL90" i="9"/>
  <c r="AW90" i="9" s="1"/>
  <c r="AK90" i="9"/>
  <c r="AV90" i="9" s="1"/>
  <c r="AJ90" i="9"/>
  <c r="AU90" i="9" s="1"/>
  <c r="B90" i="9"/>
  <c r="BG89" i="9" a="1"/>
  <c r="BG89" i="9" s="1"/>
  <c r="BE89" i="9"/>
  <c r="AW89" i="9"/>
  <c r="AV89" i="9"/>
  <c r="BF89" i="9" s="1"/>
  <c r="AU89" i="9"/>
  <c r="AT89" i="9"/>
  <c r="AS89" i="9"/>
  <c r="BD89" i="9" s="1"/>
  <c r="AR89" i="9"/>
  <c r="BC89" i="9" s="1"/>
  <c r="AQ89" i="9"/>
  <c r="BB89" i="9" s="1"/>
  <c r="AP89" i="9"/>
  <c r="BA89" i="9" s="1"/>
  <c r="AO89" i="9"/>
  <c r="AZ89" i="9" s="1"/>
  <c r="AN89" i="9"/>
  <c r="AY89" i="9" s="1"/>
  <c r="AM89" i="9"/>
  <c r="AX89" i="9" s="1"/>
  <c r="AL89" i="9"/>
  <c r="AK89" i="9"/>
  <c r="AJ89" i="9"/>
  <c r="B89" i="9"/>
  <c r="BG88" i="9" a="1"/>
  <c r="BG88" i="9" s="1"/>
  <c r="BE88" i="9"/>
  <c r="BD88" i="9"/>
  <c r="BC88" i="9"/>
  <c r="BB88" i="9"/>
  <c r="BA88" i="9"/>
  <c r="AZ88" i="9"/>
  <c r="AY88" i="9"/>
  <c r="AX88" i="9"/>
  <c r="AW88" i="9"/>
  <c r="AV88" i="9"/>
  <c r="AT88" i="9"/>
  <c r="AS88" i="9"/>
  <c r="AR88" i="9"/>
  <c r="AQ88" i="9"/>
  <c r="AP88" i="9"/>
  <c r="AO88" i="9"/>
  <c r="AN88" i="9"/>
  <c r="AM88" i="9"/>
  <c r="AL88" i="9"/>
  <c r="AK88" i="9"/>
  <c r="AJ88" i="9"/>
  <c r="AU88" i="9" s="1"/>
  <c r="B88" i="9"/>
  <c r="BG87" i="9" a="1"/>
  <c r="BG87" i="9" s="1"/>
  <c r="BC87" i="9"/>
  <c r="AZ87" i="9"/>
  <c r="AY87" i="9"/>
  <c r="AX87" i="9"/>
  <c r="AW87" i="9"/>
  <c r="AV87" i="9"/>
  <c r="AT87" i="9"/>
  <c r="BE87" i="9" s="1"/>
  <c r="AS87" i="9"/>
  <c r="BD87" i="9" s="1"/>
  <c r="AR87" i="9"/>
  <c r="AQ87" i="9"/>
  <c r="BB87" i="9" s="1"/>
  <c r="AP87" i="9"/>
  <c r="BA87" i="9" s="1"/>
  <c r="AO87" i="9"/>
  <c r="AN87" i="9"/>
  <c r="AM87" i="9"/>
  <c r="AL87" i="9"/>
  <c r="AK87" i="9"/>
  <c r="AJ87" i="9"/>
  <c r="AU87" i="9" s="1"/>
  <c r="BF87" i="9" s="1"/>
  <c r="B87" i="9"/>
  <c r="BG86" i="9" a="1"/>
  <c r="BG86" i="9" s="1"/>
  <c r="BD86" i="9"/>
  <c r="BB86" i="9"/>
  <c r="BA86" i="9"/>
  <c r="AW86" i="9"/>
  <c r="AT86" i="9"/>
  <c r="BE86" i="9" s="1"/>
  <c r="AS86" i="9"/>
  <c r="AR86" i="9"/>
  <c r="BC86" i="9" s="1"/>
  <c r="AQ86" i="9"/>
  <c r="AP86" i="9"/>
  <c r="AO86" i="9"/>
  <c r="AZ86" i="9" s="1"/>
  <c r="AN86" i="9"/>
  <c r="AY86" i="9" s="1"/>
  <c r="AM86" i="9"/>
  <c r="AX86" i="9" s="1"/>
  <c r="AL86" i="9"/>
  <c r="AK86" i="9"/>
  <c r="AV86" i="9" s="1"/>
  <c r="AJ86" i="9"/>
  <c r="AU86" i="9" s="1"/>
  <c r="BF86" i="9" s="1"/>
  <c r="B86" i="9"/>
  <c r="BG85" i="9" a="1"/>
  <c r="BG85" i="9" s="1"/>
  <c r="BD85" i="9"/>
  <c r="BC85" i="9"/>
  <c r="BA85" i="9"/>
  <c r="AZ85" i="9"/>
  <c r="AX85" i="9"/>
  <c r="AW85" i="9"/>
  <c r="AV85" i="9"/>
  <c r="AU85" i="9"/>
  <c r="AT85" i="9"/>
  <c r="BE85" i="9" s="1"/>
  <c r="AS85" i="9"/>
  <c r="AR85" i="9"/>
  <c r="AQ85" i="9"/>
  <c r="BB85" i="9" s="1"/>
  <c r="AP85" i="9"/>
  <c r="AO85" i="9"/>
  <c r="AN85" i="9"/>
  <c r="AY85" i="9" s="1"/>
  <c r="AM85" i="9"/>
  <c r="AL85" i="9"/>
  <c r="AK85" i="9"/>
  <c r="AJ85" i="9"/>
  <c r="B85" i="9"/>
  <c r="BG84" i="9" a="1"/>
  <c r="BG84" i="9" s="1"/>
  <c r="BE84" i="9"/>
  <c r="BD84" i="9"/>
  <c r="BC84" i="9"/>
  <c r="BA84" i="9"/>
  <c r="AX84" i="9"/>
  <c r="AW84" i="9"/>
  <c r="AU84" i="9"/>
  <c r="AT84" i="9"/>
  <c r="AS84" i="9"/>
  <c r="AR84" i="9"/>
  <c r="AQ84" i="9"/>
  <c r="BB84" i="9" s="1"/>
  <c r="AP84" i="9"/>
  <c r="AO84" i="9"/>
  <c r="AZ84" i="9" s="1"/>
  <c r="AN84" i="9"/>
  <c r="AY84" i="9" s="1"/>
  <c r="AM84" i="9"/>
  <c r="AL84" i="9"/>
  <c r="AK84" i="9"/>
  <c r="AV84" i="9" s="1"/>
  <c r="BF84" i="9" s="1"/>
  <c r="AJ84" i="9"/>
  <c r="B84" i="9"/>
  <c r="BG83" i="9"/>
  <c r="BG83" i="9" a="1"/>
  <c r="BE83" i="9"/>
  <c r="AY83" i="9"/>
  <c r="AW83" i="9"/>
  <c r="AU83" i="9"/>
  <c r="AT83" i="9"/>
  <c r="AS83" i="9"/>
  <c r="BD83" i="9" s="1"/>
  <c r="AR83" i="9"/>
  <c r="BC83" i="9" s="1"/>
  <c r="AQ83" i="9"/>
  <c r="BB83" i="9" s="1"/>
  <c r="AP83" i="9"/>
  <c r="BA83" i="9" s="1"/>
  <c r="AO83" i="9"/>
  <c r="AZ83" i="9" s="1"/>
  <c r="AN83" i="9"/>
  <c r="AM83" i="9"/>
  <c r="AX83" i="9" s="1"/>
  <c r="AL83" i="9"/>
  <c r="AK83" i="9"/>
  <c r="AV83" i="9" s="1"/>
  <c r="AJ83" i="9"/>
  <c r="B83" i="9"/>
  <c r="BG82" i="9"/>
  <c r="BG82" i="9" a="1"/>
  <c r="BE82" i="9"/>
  <c r="BC82" i="9"/>
  <c r="BB82" i="9"/>
  <c r="BA82" i="9"/>
  <c r="AZ82" i="9"/>
  <c r="AY82" i="9"/>
  <c r="AU82" i="9"/>
  <c r="AT82" i="9"/>
  <c r="AS82" i="9"/>
  <c r="BD82" i="9" s="1"/>
  <c r="AR82" i="9"/>
  <c r="AQ82" i="9"/>
  <c r="AP82" i="9"/>
  <c r="AO82" i="9"/>
  <c r="AN82" i="9"/>
  <c r="AM82" i="9"/>
  <c r="AX82" i="9" s="1"/>
  <c r="AL82" i="9"/>
  <c r="AW82" i="9" s="1"/>
  <c r="AK82" i="9"/>
  <c r="AV82" i="9" s="1"/>
  <c r="AJ82" i="9"/>
  <c r="B82" i="9"/>
  <c r="BG81" i="9"/>
  <c r="BG81" i="9" a="1"/>
  <c r="BC81" i="9"/>
  <c r="AY81" i="9"/>
  <c r="AW81" i="9"/>
  <c r="AU81" i="9"/>
  <c r="BF81" i="9" s="1"/>
  <c r="AT81" i="9"/>
  <c r="BE81" i="9" s="1"/>
  <c r="AS81" i="9"/>
  <c r="BD81" i="9" s="1"/>
  <c r="AR81" i="9"/>
  <c r="AQ81" i="9"/>
  <c r="BB81" i="9" s="1"/>
  <c r="AP81" i="9"/>
  <c r="BA81" i="9" s="1"/>
  <c r="AO81" i="9"/>
  <c r="AZ81" i="9" s="1"/>
  <c r="AN81" i="9"/>
  <c r="AM81" i="9"/>
  <c r="AX81" i="9" s="1"/>
  <c r="AL81" i="9"/>
  <c r="AK81" i="9"/>
  <c r="AV81" i="9" s="1"/>
  <c r="AJ81" i="9"/>
  <c r="B81" i="9"/>
  <c r="BG80" i="9" a="1"/>
  <c r="BG80" i="9" s="1"/>
  <c r="BE80" i="9"/>
  <c r="BD80" i="9"/>
  <c r="BC80" i="9"/>
  <c r="BB80" i="9"/>
  <c r="AX80" i="9"/>
  <c r="AT80" i="9"/>
  <c r="AS80" i="9"/>
  <c r="AR80" i="9"/>
  <c r="AQ80" i="9"/>
  <c r="AP80" i="9"/>
  <c r="BA80" i="9" s="1"/>
  <c r="AO80" i="9"/>
  <c r="AZ80" i="9" s="1"/>
  <c r="AN80" i="9"/>
  <c r="AY80" i="9" s="1"/>
  <c r="AM80" i="9"/>
  <c r="AL80" i="9"/>
  <c r="AW80" i="9" s="1"/>
  <c r="AK80" i="9"/>
  <c r="AV80" i="9" s="1"/>
  <c r="AJ80" i="9"/>
  <c r="AU80" i="9" s="1"/>
  <c r="B80" i="9"/>
  <c r="BG79" i="9"/>
  <c r="BG79" i="9" a="1"/>
  <c r="AZ79" i="9"/>
  <c r="AY79" i="9"/>
  <c r="AX79" i="9"/>
  <c r="AW79" i="9"/>
  <c r="AV79" i="9"/>
  <c r="AU79" i="9"/>
  <c r="AT79" i="9"/>
  <c r="BE79" i="9" s="1"/>
  <c r="AS79" i="9"/>
  <c r="BD79" i="9" s="1"/>
  <c r="AR79" i="9"/>
  <c r="BC79" i="9" s="1"/>
  <c r="AQ79" i="9"/>
  <c r="BB79" i="9" s="1"/>
  <c r="AP79" i="9"/>
  <c r="BA79" i="9" s="1"/>
  <c r="AO79" i="9"/>
  <c r="AN79" i="9"/>
  <c r="AM79" i="9"/>
  <c r="AL79" i="9"/>
  <c r="AK79" i="9"/>
  <c r="AJ79" i="9"/>
  <c r="B79" i="9"/>
  <c r="BG78" i="9" a="1"/>
  <c r="BG78" i="9" s="1"/>
  <c r="BE78" i="9"/>
  <c r="BD78" i="9"/>
  <c r="BC78" i="9"/>
  <c r="BB78" i="9"/>
  <c r="BA78" i="9"/>
  <c r="AT78" i="9"/>
  <c r="AS78" i="9"/>
  <c r="AR78" i="9"/>
  <c r="AQ78" i="9"/>
  <c r="AP78" i="9"/>
  <c r="AO78" i="9"/>
  <c r="AZ78" i="9" s="1"/>
  <c r="AN78" i="9"/>
  <c r="AY78" i="9" s="1"/>
  <c r="AM78" i="9"/>
  <c r="AX78" i="9" s="1"/>
  <c r="AL78" i="9"/>
  <c r="AW78" i="9" s="1"/>
  <c r="AK78" i="9"/>
  <c r="AV78" i="9" s="1"/>
  <c r="AJ78" i="9"/>
  <c r="AU78" i="9" s="1"/>
  <c r="BF78" i="9" s="1"/>
  <c r="B78" i="9"/>
  <c r="BG77" i="9" a="1"/>
  <c r="BG77" i="9" s="1"/>
  <c r="BD77" i="9"/>
  <c r="BC77" i="9"/>
  <c r="BA77" i="9"/>
  <c r="AZ77" i="9"/>
  <c r="AX77" i="9"/>
  <c r="AV77" i="9"/>
  <c r="AU77" i="9"/>
  <c r="AT77" i="9"/>
  <c r="BE77" i="9" s="1"/>
  <c r="AS77" i="9"/>
  <c r="AR77" i="9"/>
  <c r="AQ77" i="9"/>
  <c r="BB77" i="9" s="1"/>
  <c r="AP77" i="9"/>
  <c r="AO77" i="9"/>
  <c r="AN77" i="9"/>
  <c r="AY77" i="9" s="1"/>
  <c r="AM77" i="9"/>
  <c r="AL77" i="9"/>
  <c r="AW77" i="9" s="1"/>
  <c r="AK77" i="9"/>
  <c r="AJ77" i="9"/>
  <c r="B77" i="9"/>
  <c r="BG76" i="9"/>
  <c r="BG76" i="9" a="1"/>
  <c r="BD76" i="9"/>
  <c r="BC76" i="9"/>
  <c r="BA76" i="9"/>
  <c r="AY76" i="9"/>
  <c r="AW76" i="9"/>
  <c r="AV76" i="9"/>
  <c r="BF76" i="9" s="1"/>
  <c r="AU76" i="9"/>
  <c r="AT76" i="9"/>
  <c r="BE76" i="9" s="1"/>
  <c r="AS76" i="9"/>
  <c r="AR76" i="9"/>
  <c r="AQ76" i="9"/>
  <c r="BB76" i="9" s="1"/>
  <c r="AP76" i="9"/>
  <c r="AO76" i="9"/>
  <c r="AZ76" i="9" s="1"/>
  <c r="AN76" i="9"/>
  <c r="AM76" i="9"/>
  <c r="AX76" i="9" s="1"/>
  <c r="AL76" i="9"/>
  <c r="AK76" i="9"/>
  <c r="AJ76" i="9"/>
  <c r="B76" i="9"/>
  <c r="BG75" i="9"/>
  <c r="BG75" i="9" a="1"/>
  <c r="BE75" i="9"/>
  <c r="BD75" i="9"/>
  <c r="BA75" i="9"/>
  <c r="AZ75" i="9"/>
  <c r="AY75" i="9"/>
  <c r="AW75" i="9"/>
  <c r="AU75" i="9"/>
  <c r="AT75" i="9"/>
  <c r="AS75" i="9"/>
  <c r="AR75" i="9"/>
  <c r="BC75" i="9" s="1"/>
  <c r="AQ75" i="9"/>
  <c r="BB75" i="9" s="1"/>
  <c r="AP75" i="9"/>
  <c r="AO75" i="9"/>
  <c r="AN75" i="9"/>
  <c r="AM75" i="9"/>
  <c r="AX75" i="9" s="1"/>
  <c r="BF75" i="9" s="1"/>
  <c r="AL75" i="9"/>
  <c r="AK75" i="9"/>
  <c r="AV75" i="9" s="1"/>
  <c r="AJ75" i="9"/>
  <c r="B75" i="9"/>
  <c r="BG74" i="9" a="1"/>
  <c r="BG74" i="9" s="1"/>
  <c r="BE74" i="9"/>
  <c r="BA74" i="9"/>
  <c r="AY74" i="9"/>
  <c r="AW74" i="9"/>
  <c r="AT74" i="9"/>
  <c r="AS74" i="9"/>
  <c r="BD74" i="9" s="1"/>
  <c r="AR74" i="9"/>
  <c r="BC74" i="9" s="1"/>
  <c r="AQ74" i="9"/>
  <c r="BB74" i="9" s="1"/>
  <c r="AP74" i="9"/>
  <c r="AO74" i="9"/>
  <c r="AZ74" i="9" s="1"/>
  <c r="AN74" i="9"/>
  <c r="AM74" i="9"/>
  <c r="AX74" i="9" s="1"/>
  <c r="AL74" i="9"/>
  <c r="AK74" i="9"/>
  <c r="AV74" i="9" s="1"/>
  <c r="AJ74" i="9"/>
  <c r="AU74" i="9" s="1"/>
  <c r="B74" i="9"/>
  <c r="BG73" i="9" a="1"/>
  <c r="BG73" i="9" s="1"/>
  <c r="BB73" i="9"/>
  <c r="BA73" i="9"/>
  <c r="AY73" i="9"/>
  <c r="AW73" i="9"/>
  <c r="AV73" i="9"/>
  <c r="AU73" i="9"/>
  <c r="AT73" i="9"/>
  <c r="BE73" i="9" s="1"/>
  <c r="AS73" i="9"/>
  <c r="BD73" i="9" s="1"/>
  <c r="AR73" i="9"/>
  <c r="BC73" i="9" s="1"/>
  <c r="AQ73" i="9"/>
  <c r="AP73" i="9"/>
  <c r="AO73" i="9"/>
  <c r="AZ73" i="9" s="1"/>
  <c r="AN73" i="9"/>
  <c r="AM73" i="9"/>
  <c r="AX73" i="9" s="1"/>
  <c r="AL73" i="9"/>
  <c r="AK73" i="9"/>
  <c r="AJ73" i="9"/>
  <c r="B73" i="9"/>
  <c r="BG72" i="9" a="1"/>
  <c r="BG72" i="9" s="1"/>
  <c r="BE72" i="9"/>
  <c r="BD72" i="9"/>
  <c r="BC72" i="9"/>
  <c r="BB72" i="9"/>
  <c r="AZ72" i="9"/>
  <c r="AT72" i="9"/>
  <c r="AS72" i="9"/>
  <c r="AR72" i="9"/>
  <c r="AQ72" i="9"/>
  <c r="AP72" i="9"/>
  <c r="BA72" i="9" s="1"/>
  <c r="AO72" i="9"/>
  <c r="AN72" i="9"/>
  <c r="AY72" i="9" s="1"/>
  <c r="AM72" i="9"/>
  <c r="AX72" i="9" s="1"/>
  <c r="AL72" i="9"/>
  <c r="AW72" i="9" s="1"/>
  <c r="AK72" i="9"/>
  <c r="AV72" i="9" s="1"/>
  <c r="AJ72" i="9"/>
  <c r="AU72" i="9" s="1"/>
  <c r="BF72" i="9" s="1"/>
  <c r="B72" i="9"/>
  <c r="BG71" i="9"/>
  <c r="BG71" i="9" a="1"/>
  <c r="AZ71" i="9"/>
  <c r="AY71" i="9"/>
  <c r="AX71" i="9"/>
  <c r="AW71" i="9"/>
  <c r="AV71" i="9"/>
  <c r="AT71" i="9"/>
  <c r="BE71" i="9" s="1"/>
  <c r="AS71" i="9"/>
  <c r="BD71" i="9" s="1"/>
  <c r="AR71" i="9"/>
  <c r="BC71" i="9" s="1"/>
  <c r="AQ71" i="9"/>
  <c r="BB71" i="9" s="1"/>
  <c r="AP71" i="9"/>
  <c r="BA71" i="9" s="1"/>
  <c r="AO71" i="9"/>
  <c r="AN71" i="9"/>
  <c r="AM71" i="9"/>
  <c r="AL71" i="9"/>
  <c r="AK71" i="9"/>
  <c r="AJ71" i="9"/>
  <c r="AU71" i="9" s="1"/>
  <c r="BF71" i="9" s="1"/>
  <c r="B71" i="9"/>
  <c r="BG70" i="9"/>
  <c r="BG70" i="9" a="1"/>
  <c r="BE70" i="9"/>
  <c r="BC70" i="9"/>
  <c r="BB70" i="9"/>
  <c r="AZ70" i="9"/>
  <c r="AW70" i="9"/>
  <c r="AT70" i="9"/>
  <c r="AS70" i="9"/>
  <c r="BD70" i="9" s="1"/>
  <c r="AR70" i="9"/>
  <c r="AQ70" i="9"/>
  <c r="AP70" i="9"/>
  <c r="BA70" i="9" s="1"/>
  <c r="AO70" i="9"/>
  <c r="AN70" i="9"/>
  <c r="AY70" i="9" s="1"/>
  <c r="AM70" i="9"/>
  <c r="AX70" i="9" s="1"/>
  <c r="AL70" i="9"/>
  <c r="AK70" i="9"/>
  <c r="AV70" i="9" s="1"/>
  <c r="AJ70" i="9"/>
  <c r="AU70" i="9" s="1"/>
  <c r="B70" i="9"/>
  <c r="BG69" i="9" a="1"/>
  <c r="BG69" i="9" s="1"/>
  <c r="BD69" i="9"/>
  <c r="BC69" i="9"/>
  <c r="BB69" i="9"/>
  <c r="BA69" i="9"/>
  <c r="AZ69" i="9"/>
  <c r="AX69" i="9"/>
  <c r="AW69" i="9"/>
  <c r="AT69" i="9"/>
  <c r="BE69" i="9" s="1"/>
  <c r="AS69" i="9"/>
  <c r="AR69" i="9"/>
  <c r="AQ69" i="9"/>
  <c r="AP69" i="9"/>
  <c r="AO69" i="9"/>
  <c r="AN69" i="9"/>
  <c r="AY69" i="9" s="1"/>
  <c r="AM69" i="9"/>
  <c r="AL69" i="9"/>
  <c r="AK69" i="9"/>
  <c r="AV69" i="9" s="1"/>
  <c r="AJ69" i="9"/>
  <c r="AU69" i="9" s="1"/>
  <c r="B69" i="9"/>
  <c r="BG68" i="9"/>
  <c r="BG68" i="9" a="1"/>
  <c r="BE68" i="9"/>
  <c r="AW68" i="9"/>
  <c r="AU68" i="9"/>
  <c r="AT68" i="9"/>
  <c r="AS68" i="9"/>
  <c r="BD68" i="9" s="1"/>
  <c r="AR68" i="9"/>
  <c r="BC68" i="9" s="1"/>
  <c r="AQ68" i="9"/>
  <c r="BB68" i="9" s="1"/>
  <c r="AP68" i="9"/>
  <c r="BA68" i="9" s="1"/>
  <c r="AO68" i="9"/>
  <c r="AZ68" i="9" s="1"/>
  <c r="AN68" i="9"/>
  <c r="AY68" i="9" s="1"/>
  <c r="AM68" i="9"/>
  <c r="AX68" i="9" s="1"/>
  <c r="AL68" i="9"/>
  <c r="AK68" i="9"/>
  <c r="AV68" i="9" s="1"/>
  <c r="AJ68" i="9"/>
  <c r="B68" i="9"/>
  <c r="BG67" i="9"/>
  <c r="BG67" i="9" a="1"/>
  <c r="BE67" i="9"/>
  <c r="BC67" i="9"/>
  <c r="BB67" i="9"/>
  <c r="BA67" i="9"/>
  <c r="AZ67" i="9"/>
  <c r="AY67" i="9"/>
  <c r="AX67" i="9"/>
  <c r="AW67" i="9"/>
  <c r="AT67" i="9"/>
  <c r="AS67" i="9"/>
  <c r="BD67" i="9" s="1"/>
  <c r="AR67" i="9"/>
  <c r="AQ67" i="9"/>
  <c r="AP67" i="9"/>
  <c r="AO67" i="9"/>
  <c r="AN67" i="9"/>
  <c r="AM67" i="9"/>
  <c r="AL67" i="9"/>
  <c r="AK67" i="9"/>
  <c r="AV67" i="9" s="1"/>
  <c r="AJ67" i="9"/>
  <c r="AU67" i="9" s="1"/>
  <c r="BF67" i="9" s="1"/>
  <c r="B67" i="9"/>
  <c r="BG66" i="9" a="1"/>
  <c r="BG66" i="9" s="1"/>
  <c r="BE66" i="9"/>
  <c r="BA66" i="9"/>
  <c r="AY66" i="9"/>
  <c r="AU66" i="9"/>
  <c r="AT66" i="9"/>
  <c r="AS66" i="9"/>
  <c r="BD66" i="9" s="1"/>
  <c r="AR66" i="9"/>
  <c r="BC66" i="9" s="1"/>
  <c r="AQ66" i="9"/>
  <c r="BB66" i="9" s="1"/>
  <c r="AP66" i="9"/>
  <c r="AO66" i="9"/>
  <c r="AZ66" i="9" s="1"/>
  <c r="AN66" i="9"/>
  <c r="AM66" i="9"/>
  <c r="AX66" i="9" s="1"/>
  <c r="AL66" i="9"/>
  <c r="AW66" i="9" s="1"/>
  <c r="AK66" i="9"/>
  <c r="AV66" i="9" s="1"/>
  <c r="AJ66" i="9"/>
  <c r="B66" i="9"/>
  <c r="BG65" i="9" a="1"/>
  <c r="BG65" i="9" s="1"/>
  <c r="BD65" i="9"/>
  <c r="BC65" i="9"/>
  <c r="BA65" i="9"/>
  <c r="AY65" i="9"/>
  <c r="AU65" i="9"/>
  <c r="AT65" i="9"/>
  <c r="BE65" i="9" s="1"/>
  <c r="AS65" i="9"/>
  <c r="AR65" i="9"/>
  <c r="AQ65" i="9"/>
  <c r="BB65" i="9" s="1"/>
  <c r="AP65" i="9"/>
  <c r="AO65" i="9"/>
  <c r="AZ65" i="9" s="1"/>
  <c r="AN65" i="9"/>
  <c r="AM65" i="9"/>
  <c r="AX65" i="9" s="1"/>
  <c r="AL65" i="9"/>
  <c r="AW65" i="9" s="1"/>
  <c r="AK65" i="9"/>
  <c r="AV65" i="9" s="1"/>
  <c r="AJ65" i="9"/>
  <c r="B65" i="9"/>
  <c r="BG64" i="9" a="1"/>
  <c r="BG64" i="9" s="1"/>
  <c r="BE64" i="9"/>
  <c r="BC64" i="9"/>
  <c r="AZ64" i="9"/>
  <c r="AX64" i="9"/>
  <c r="AV64" i="9"/>
  <c r="AT64" i="9"/>
  <c r="AS64" i="9"/>
  <c r="BD64" i="9" s="1"/>
  <c r="AR64" i="9"/>
  <c r="AQ64" i="9"/>
  <c r="BB64" i="9" s="1"/>
  <c r="AP64" i="9"/>
  <c r="BA64" i="9" s="1"/>
  <c r="AO64" i="9"/>
  <c r="AN64" i="9"/>
  <c r="AY64" i="9" s="1"/>
  <c r="AM64" i="9"/>
  <c r="AL64" i="9"/>
  <c r="AW64" i="9" s="1"/>
  <c r="AK64" i="9"/>
  <c r="AJ64" i="9"/>
  <c r="AU64" i="9" s="1"/>
  <c r="B64" i="9"/>
  <c r="BG63" i="9"/>
  <c r="BG63" i="9" a="1"/>
  <c r="BE63" i="9"/>
  <c r="BA63" i="9"/>
  <c r="AZ63" i="9"/>
  <c r="AY63" i="9"/>
  <c r="AX63" i="9"/>
  <c r="AW63" i="9"/>
  <c r="AV63" i="9"/>
  <c r="AT63" i="9"/>
  <c r="AS63" i="9"/>
  <c r="BD63" i="9" s="1"/>
  <c r="AR63" i="9"/>
  <c r="BC63" i="9" s="1"/>
  <c r="AQ63" i="9"/>
  <c r="BB63" i="9" s="1"/>
  <c r="AP63" i="9"/>
  <c r="AO63" i="9"/>
  <c r="AN63" i="9"/>
  <c r="AM63" i="9"/>
  <c r="AL63" i="9"/>
  <c r="AK63" i="9"/>
  <c r="AJ63" i="9"/>
  <c r="AU63" i="9" s="1"/>
  <c r="BF63" i="9" s="1"/>
  <c r="B63" i="9"/>
  <c r="BG62" i="9"/>
  <c r="BG62" i="9" a="1"/>
  <c r="BD62" i="9"/>
  <c r="AT62" i="9"/>
  <c r="BE62" i="9" s="1"/>
  <c r="AS62" i="9"/>
  <c r="AR62" i="9"/>
  <c r="BC62" i="9" s="1"/>
  <c r="AQ62" i="9"/>
  <c r="BB62" i="9" s="1"/>
  <c r="AP62" i="9"/>
  <c r="BA62" i="9" s="1"/>
  <c r="AO62" i="9"/>
  <c r="AZ62" i="9" s="1"/>
  <c r="AN62" i="9"/>
  <c r="AY62" i="9" s="1"/>
  <c r="AM62" i="9"/>
  <c r="AX62" i="9" s="1"/>
  <c r="AL62" i="9"/>
  <c r="AW62" i="9" s="1"/>
  <c r="AK62" i="9"/>
  <c r="AV62" i="9" s="1"/>
  <c r="AJ62" i="9"/>
  <c r="AU62" i="9" s="1"/>
  <c r="B62" i="9"/>
  <c r="BG61" i="9" a="1"/>
  <c r="BG61" i="9" s="1"/>
  <c r="BD61" i="9"/>
  <c r="BC61" i="9"/>
  <c r="BB61" i="9"/>
  <c r="BA61" i="9"/>
  <c r="AZ61" i="9"/>
  <c r="AY61" i="9"/>
  <c r="AX61" i="9"/>
  <c r="AV61" i="9"/>
  <c r="AU61" i="9"/>
  <c r="AT61" i="9"/>
  <c r="BE61" i="9" s="1"/>
  <c r="AS61" i="9"/>
  <c r="AR61" i="9"/>
  <c r="AQ61" i="9"/>
  <c r="AP61" i="9"/>
  <c r="AO61" i="9"/>
  <c r="AN61" i="9"/>
  <c r="AM61" i="9"/>
  <c r="AL61" i="9"/>
  <c r="AW61" i="9" s="1"/>
  <c r="AK61" i="9"/>
  <c r="AJ61" i="9"/>
  <c r="B61" i="9"/>
  <c r="BG60" i="9"/>
  <c r="BG60" i="9" a="1"/>
  <c r="BE60" i="9"/>
  <c r="BD60" i="9"/>
  <c r="BA60" i="9"/>
  <c r="AW60" i="9"/>
  <c r="AV60" i="9"/>
  <c r="AU60" i="9"/>
  <c r="BF60" i="9" s="1"/>
  <c r="AT60" i="9"/>
  <c r="AS60" i="9"/>
  <c r="AR60" i="9"/>
  <c r="BC60" i="9" s="1"/>
  <c r="AQ60" i="9"/>
  <c r="BB60" i="9" s="1"/>
  <c r="AP60" i="9"/>
  <c r="AO60" i="9"/>
  <c r="AZ60" i="9" s="1"/>
  <c r="AN60" i="9"/>
  <c r="AY60" i="9" s="1"/>
  <c r="AM60" i="9"/>
  <c r="AX60" i="9" s="1"/>
  <c r="AL60" i="9"/>
  <c r="AK60" i="9"/>
  <c r="AJ60" i="9"/>
  <c r="B60" i="9"/>
  <c r="BG59" i="9"/>
  <c r="BG59" i="9" a="1"/>
  <c r="BE59" i="9"/>
  <c r="BD59" i="9"/>
  <c r="BC59" i="9"/>
  <c r="BA59" i="9"/>
  <c r="AZ59" i="9"/>
  <c r="AT59" i="9"/>
  <c r="AS59" i="9"/>
  <c r="AR59" i="9"/>
  <c r="AQ59" i="9"/>
  <c r="BB59" i="9" s="1"/>
  <c r="AP59" i="9"/>
  <c r="AO59" i="9"/>
  <c r="AN59" i="9"/>
  <c r="AY59" i="9" s="1"/>
  <c r="AM59" i="9"/>
  <c r="AX59" i="9" s="1"/>
  <c r="AL59" i="9"/>
  <c r="AW59" i="9" s="1"/>
  <c r="AK59" i="9"/>
  <c r="AV59" i="9" s="1"/>
  <c r="AJ59" i="9"/>
  <c r="AU59" i="9" s="1"/>
  <c r="B59" i="9"/>
  <c r="BG58" i="9"/>
  <c r="BG58" i="9" a="1"/>
  <c r="BA58" i="9"/>
  <c r="AY58" i="9"/>
  <c r="AW58" i="9"/>
  <c r="AV58" i="9"/>
  <c r="AU58" i="9"/>
  <c r="AT58" i="9"/>
  <c r="BE58" i="9" s="1"/>
  <c r="AS58" i="9"/>
  <c r="BD58" i="9" s="1"/>
  <c r="AR58" i="9"/>
  <c r="BC58" i="9" s="1"/>
  <c r="AQ58" i="9"/>
  <c r="BB58" i="9" s="1"/>
  <c r="AP58" i="9"/>
  <c r="AO58" i="9"/>
  <c r="AZ58" i="9" s="1"/>
  <c r="AN58" i="9"/>
  <c r="AM58" i="9"/>
  <c r="AX58" i="9" s="1"/>
  <c r="AL58" i="9"/>
  <c r="AK58" i="9"/>
  <c r="AJ58" i="9"/>
  <c r="B58" i="9"/>
  <c r="BG57" i="9" a="1"/>
  <c r="BG57" i="9" s="1"/>
  <c r="BE57" i="9"/>
  <c r="BC57" i="9"/>
  <c r="BB57" i="9"/>
  <c r="BA57" i="9"/>
  <c r="AY57" i="9"/>
  <c r="AW57" i="9"/>
  <c r="AV57" i="9"/>
  <c r="BF57" i="9" s="1"/>
  <c r="AU57" i="9"/>
  <c r="AT57" i="9"/>
  <c r="AS57" i="9"/>
  <c r="BD57" i="9" s="1"/>
  <c r="AR57" i="9"/>
  <c r="AQ57" i="9"/>
  <c r="AP57" i="9"/>
  <c r="AO57" i="9"/>
  <c r="AZ57" i="9" s="1"/>
  <c r="AN57" i="9"/>
  <c r="AM57" i="9"/>
  <c r="AX57" i="9" s="1"/>
  <c r="AL57" i="9"/>
  <c r="AK57" i="9"/>
  <c r="AJ57" i="9"/>
  <c r="B57" i="9"/>
  <c r="BG56" i="9" a="1"/>
  <c r="BG56" i="9" s="1"/>
  <c r="BE56" i="9"/>
  <c r="BD56" i="9"/>
  <c r="BC56" i="9"/>
  <c r="AX56" i="9"/>
  <c r="AW56" i="9"/>
  <c r="AV56" i="9"/>
  <c r="AU56" i="9"/>
  <c r="AT56" i="9"/>
  <c r="AS56" i="9"/>
  <c r="AR56" i="9"/>
  <c r="AQ56" i="9"/>
  <c r="BB56" i="9" s="1"/>
  <c r="AP56" i="9"/>
  <c r="BA56" i="9" s="1"/>
  <c r="AO56" i="9"/>
  <c r="AZ56" i="9" s="1"/>
  <c r="AN56" i="9"/>
  <c r="AY56" i="9" s="1"/>
  <c r="BF56" i="9" s="1"/>
  <c r="AM56" i="9"/>
  <c r="AL56" i="9"/>
  <c r="AK56" i="9"/>
  <c r="AJ56" i="9"/>
  <c r="B56" i="9"/>
  <c r="BG55" i="9" a="1"/>
  <c r="BG55" i="9" s="1"/>
  <c r="BA55" i="9"/>
  <c r="AY55" i="9"/>
  <c r="AX55" i="9"/>
  <c r="AW55" i="9"/>
  <c r="AV55" i="9"/>
  <c r="AT55" i="9"/>
  <c r="BE55" i="9" s="1"/>
  <c r="AS55" i="9"/>
  <c r="BD55" i="9" s="1"/>
  <c r="AR55" i="9"/>
  <c r="BC55" i="9" s="1"/>
  <c r="AQ55" i="9"/>
  <c r="BB55" i="9" s="1"/>
  <c r="AP55" i="9"/>
  <c r="AO55" i="9"/>
  <c r="AZ55" i="9" s="1"/>
  <c r="AN55" i="9"/>
  <c r="AM55" i="9"/>
  <c r="AL55" i="9"/>
  <c r="AK55" i="9"/>
  <c r="AJ55" i="9"/>
  <c r="AU55" i="9" s="1"/>
  <c r="B55" i="9"/>
  <c r="BG54" i="9" a="1"/>
  <c r="BG54" i="9" s="1"/>
  <c r="BD54" i="9"/>
  <c r="BB54" i="9"/>
  <c r="AY54" i="9"/>
  <c r="AW54" i="9"/>
  <c r="AT54" i="9"/>
  <c r="BE54" i="9" s="1"/>
  <c r="AS54" i="9"/>
  <c r="AR54" i="9"/>
  <c r="BC54" i="9" s="1"/>
  <c r="AQ54" i="9"/>
  <c r="AP54" i="9"/>
  <c r="BA54" i="9" s="1"/>
  <c r="AO54" i="9"/>
  <c r="AZ54" i="9" s="1"/>
  <c r="AN54" i="9"/>
  <c r="AM54" i="9"/>
  <c r="AX54" i="9" s="1"/>
  <c r="AL54" i="9"/>
  <c r="AK54" i="9"/>
  <c r="AV54" i="9" s="1"/>
  <c r="AJ54" i="9"/>
  <c r="AU54" i="9" s="1"/>
  <c r="BF54" i="9" s="1"/>
  <c r="B54" i="9"/>
  <c r="BG53" i="9" a="1"/>
  <c r="BG53" i="9" s="1"/>
  <c r="BE53" i="9"/>
  <c r="BD53" i="9"/>
  <c r="BC53" i="9"/>
  <c r="BB53" i="9"/>
  <c r="BA53" i="9"/>
  <c r="AV53" i="9"/>
  <c r="AT53" i="9"/>
  <c r="AS53" i="9"/>
  <c r="AR53" i="9"/>
  <c r="AQ53" i="9"/>
  <c r="AP53" i="9"/>
  <c r="AO53" i="9"/>
  <c r="AZ53" i="9" s="1"/>
  <c r="AN53" i="9"/>
  <c r="AY53" i="9" s="1"/>
  <c r="AM53" i="9"/>
  <c r="AX53" i="9" s="1"/>
  <c r="AL53" i="9"/>
  <c r="AW53" i="9" s="1"/>
  <c r="AK53" i="9"/>
  <c r="AJ53" i="9"/>
  <c r="AU53" i="9" s="1"/>
  <c r="B53" i="9"/>
  <c r="BG52" i="9" a="1"/>
  <c r="BG52" i="9" s="1"/>
  <c r="AX52" i="9"/>
  <c r="AW52" i="9"/>
  <c r="AV52" i="9"/>
  <c r="AU52" i="9"/>
  <c r="AT52" i="9"/>
  <c r="BE52" i="9" s="1"/>
  <c r="AS52" i="9"/>
  <c r="BD52" i="9" s="1"/>
  <c r="AR52" i="9"/>
  <c r="BC52" i="9" s="1"/>
  <c r="AQ52" i="9"/>
  <c r="BB52" i="9" s="1"/>
  <c r="AP52" i="9"/>
  <c r="BA52" i="9" s="1"/>
  <c r="AO52" i="9"/>
  <c r="AZ52" i="9" s="1"/>
  <c r="AN52" i="9"/>
  <c r="AY52" i="9" s="1"/>
  <c r="AM52" i="9"/>
  <c r="AL52" i="9"/>
  <c r="AK52" i="9"/>
  <c r="AJ52" i="9"/>
  <c r="B52" i="9"/>
  <c r="BG51" i="9" a="1"/>
  <c r="BG51" i="9" s="1"/>
  <c r="BE51" i="9"/>
  <c r="BD51" i="9"/>
  <c r="BC51" i="9"/>
  <c r="BB51" i="9"/>
  <c r="BA51" i="9"/>
  <c r="AZ51" i="9"/>
  <c r="AT51" i="9"/>
  <c r="AS51" i="9"/>
  <c r="AR51" i="9"/>
  <c r="AQ51" i="9"/>
  <c r="AP51" i="9"/>
  <c r="AO51" i="9"/>
  <c r="AN51" i="9"/>
  <c r="AY51" i="9" s="1"/>
  <c r="AM51" i="9"/>
  <c r="AX51" i="9" s="1"/>
  <c r="AL51" i="9"/>
  <c r="AW51" i="9" s="1"/>
  <c r="AK51" i="9"/>
  <c r="AV51" i="9" s="1"/>
  <c r="AJ51" i="9"/>
  <c r="AU51" i="9" s="1"/>
  <c r="BF51" i="9" s="1"/>
  <c r="B51" i="9"/>
  <c r="BG50" i="9"/>
  <c r="BG50" i="9" a="1"/>
  <c r="BA50" i="9"/>
  <c r="AY50" i="9"/>
  <c r="AW50" i="9"/>
  <c r="AU50" i="9"/>
  <c r="AT50" i="9"/>
  <c r="BE50" i="9" s="1"/>
  <c r="AS50" i="9"/>
  <c r="BD50" i="9" s="1"/>
  <c r="AR50" i="9"/>
  <c r="BC50" i="9" s="1"/>
  <c r="AQ50" i="9"/>
  <c r="BB50" i="9" s="1"/>
  <c r="AP50" i="9"/>
  <c r="AO50" i="9"/>
  <c r="AZ50" i="9" s="1"/>
  <c r="AN50" i="9"/>
  <c r="AM50" i="9"/>
  <c r="AX50" i="9" s="1"/>
  <c r="AL50" i="9"/>
  <c r="AK50" i="9"/>
  <c r="AV50" i="9" s="1"/>
  <c r="AJ50" i="9"/>
  <c r="B50" i="9"/>
  <c r="BG49" i="9" a="1"/>
  <c r="BG49" i="9" s="1"/>
  <c r="BE49" i="9"/>
  <c r="BD49" i="9"/>
  <c r="BC49" i="9"/>
  <c r="BB49" i="9"/>
  <c r="BA49" i="9"/>
  <c r="AY49" i="9"/>
  <c r="AW49" i="9"/>
  <c r="AU49" i="9"/>
  <c r="BF49" i="9" s="1"/>
  <c r="AT49" i="9"/>
  <c r="AS49" i="9"/>
  <c r="AR49" i="9"/>
  <c r="AQ49" i="9"/>
  <c r="AP49" i="9"/>
  <c r="AO49" i="9"/>
  <c r="AZ49" i="9" s="1"/>
  <c r="AN49" i="9"/>
  <c r="AM49" i="9"/>
  <c r="AX49" i="9" s="1"/>
  <c r="AL49" i="9"/>
  <c r="AK49" i="9"/>
  <c r="AV49" i="9" s="1"/>
  <c r="AJ49" i="9"/>
  <c r="B49" i="9"/>
  <c r="BG48" i="9" a="1"/>
  <c r="BG48" i="9" s="1"/>
  <c r="BE48" i="9"/>
  <c r="BD48" i="9"/>
  <c r="BC48" i="9"/>
  <c r="AZ48" i="9"/>
  <c r="AX48" i="9"/>
  <c r="AV48" i="9"/>
  <c r="AT48" i="9"/>
  <c r="AS48" i="9"/>
  <c r="AR48" i="9"/>
  <c r="AQ48" i="9"/>
  <c r="BB48" i="9" s="1"/>
  <c r="AP48" i="9"/>
  <c r="BA48" i="9" s="1"/>
  <c r="AO48" i="9"/>
  <c r="AN48" i="9"/>
  <c r="AY48" i="9" s="1"/>
  <c r="AM48" i="9"/>
  <c r="AL48" i="9"/>
  <c r="AW48" i="9" s="1"/>
  <c r="AK48" i="9"/>
  <c r="AJ48" i="9"/>
  <c r="AU48" i="9" s="1"/>
  <c r="B48" i="9"/>
  <c r="BG47" i="9"/>
  <c r="BG47" i="9" a="1"/>
  <c r="BA47" i="9"/>
  <c r="AZ47" i="9"/>
  <c r="AY47" i="9"/>
  <c r="AX47" i="9"/>
  <c r="AW47" i="9"/>
  <c r="AV47" i="9"/>
  <c r="AT47" i="9"/>
  <c r="BE47" i="9" s="1"/>
  <c r="AS47" i="9"/>
  <c r="BD47" i="9" s="1"/>
  <c r="AR47" i="9"/>
  <c r="BC47" i="9" s="1"/>
  <c r="AQ47" i="9"/>
  <c r="BB47" i="9" s="1"/>
  <c r="AP47" i="9"/>
  <c r="AO47" i="9"/>
  <c r="AN47" i="9"/>
  <c r="AM47" i="9"/>
  <c r="AL47" i="9"/>
  <c r="AK47" i="9"/>
  <c r="AJ47" i="9"/>
  <c r="AU47" i="9" s="1"/>
  <c r="B47" i="9"/>
  <c r="BG46" i="9"/>
  <c r="BG46" i="9" a="1"/>
  <c r="BD46" i="9"/>
  <c r="BB46" i="9"/>
  <c r="BA46" i="9"/>
  <c r="AZ46" i="9"/>
  <c r="AT46" i="9"/>
  <c r="BE46" i="9" s="1"/>
  <c r="AS46" i="9"/>
  <c r="AR46" i="9"/>
  <c r="BC46" i="9" s="1"/>
  <c r="AQ46" i="9"/>
  <c r="AP46" i="9"/>
  <c r="AO46" i="9"/>
  <c r="AN46" i="9"/>
  <c r="AY46" i="9" s="1"/>
  <c r="AM46" i="9"/>
  <c r="AX46" i="9" s="1"/>
  <c r="AL46" i="9"/>
  <c r="AW46" i="9" s="1"/>
  <c r="AK46" i="9"/>
  <c r="AV46" i="9" s="1"/>
  <c r="AJ46" i="9"/>
  <c r="AU46" i="9" s="1"/>
  <c r="BF46" i="9" s="1"/>
  <c r="B46" i="9"/>
  <c r="BG45" i="9" a="1"/>
  <c r="BG45" i="9" s="1"/>
  <c r="BD45" i="9"/>
  <c r="BC45" i="9"/>
  <c r="BA45" i="9"/>
  <c r="AV45" i="9"/>
  <c r="AT45" i="9"/>
  <c r="BE45" i="9" s="1"/>
  <c r="AS45" i="9"/>
  <c r="AR45" i="9"/>
  <c r="AQ45" i="9"/>
  <c r="BB45" i="9" s="1"/>
  <c r="AP45" i="9"/>
  <c r="AO45" i="9"/>
  <c r="AZ45" i="9" s="1"/>
  <c r="AN45" i="9"/>
  <c r="AY45" i="9" s="1"/>
  <c r="AM45" i="9"/>
  <c r="AX45" i="9" s="1"/>
  <c r="AL45" i="9"/>
  <c r="AW45" i="9" s="1"/>
  <c r="AK45" i="9"/>
  <c r="AJ45" i="9"/>
  <c r="AU45" i="9" s="1"/>
  <c r="B45" i="9"/>
  <c r="BG44" i="9"/>
  <c r="BG44" i="9" a="1"/>
  <c r="BA44" i="9"/>
  <c r="AY44" i="9"/>
  <c r="AX44" i="9"/>
  <c r="AW44" i="9"/>
  <c r="AV44" i="9"/>
  <c r="AU44" i="9"/>
  <c r="AT44" i="9"/>
  <c r="BE44" i="9" s="1"/>
  <c r="AS44" i="9"/>
  <c r="BD44" i="9" s="1"/>
  <c r="AR44" i="9"/>
  <c r="BC44" i="9" s="1"/>
  <c r="AQ44" i="9"/>
  <c r="BB44" i="9" s="1"/>
  <c r="AP44" i="9"/>
  <c r="AO44" i="9"/>
  <c r="AZ44" i="9" s="1"/>
  <c r="AN44" i="9"/>
  <c r="AM44" i="9"/>
  <c r="AL44" i="9"/>
  <c r="AK44" i="9"/>
  <c r="AJ44" i="9"/>
  <c r="B44" i="9"/>
  <c r="BG43" i="9" a="1"/>
  <c r="BG43" i="9" s="1"/>
  <c r="BE43" i="9"/>
  <c r="BD43" i="9"/>
  <c r="BC43" i="9"/>
  <c r="AT43" i="9"/>
  <c r="AS43" i="9"/>
  <c r="AR43" i="9"/>
  <c r="AQ43" i="9"/>
  <c r="BB43" i="9" s="1"/>
  <c r="AP43" i="9"/>
  <c r="BA43" i="9" s="1"/>
  <c r="AO43" i="9"/>
  <c r="AZ43" i="9" s="1"/>
  <c r="AN43" i="9"/>
  <c r="AY43" i="9" s="1"/>
  <c r="AM43" i="9"/>
  <c r="AX43" i="9" s="1"/>
  <c r="AL43" i="9"/>
  <c r="AW43" i="9" s="1"/>
  <c r="AK43" i="9"/>
  <c r="AV43" i="9" s="1"/>
  <c r="AJ43" i="9"/>
  <c r="AU43" i="9" s="1"/>
  <c r="BF43" i="9" s="1"/>
  <c r="B43" i="9"/>
  <c r="BG42" i="9" a="1"/>
  <c r="BG42" i="9" s="1"/>
  <c r="BA42" i="9"/>
  <c r="AY42" i="9"/>
  <c r="AW42" i="9"/>
  <c r="AV42" i="9"/>
  <c r="AU42" i="9"/>
  <c r="AT42" i="9"/>
  <c r="BE42" i="9" s="1"/>
  <c r="AS42" i="9"/>
  <c r="BD42" i="9" s="1"/>
  <c r="AR42" i="9"/>
  <c r="BC42" i="9" s="1"/>
  <c r="AQ42" i="9"/>
  <c r="BB42" i="9" s="1"/>
  <c r="AP42" i="9"/>
  <c r="AO42" i="9"/>
  <c r="AZ42" i="9" s="1"/>
  <c r="AN42" i="9"/>
  <c r="AM42" i="9"/>
  <c r="AX42" i="9" s="1"/>
  <c r="AL42" i="9"/>
  <c r="AK42" i="9"/>
  <c r="AJ42" i="9"/>
  <c r="B42" i="9"/>
  <c r="BG41" i="9" a="1"/>
  <c r="BG41" i="9" s="1"/>
  <c r="BE41" i="9"/>
  <c r="BD41" i="9"/>
  <c r="BC41" i="9"/>
  <c r="BB41" i="9"/>
  <c r="BA41" i="9"/>
  <c r="AW41" i="9"/>
  <c r="AU41" i="9"/>
  <c r="BF41" i="9" s="1"/>
  <c r="AT41" i="9"/>
  <c r="AS41" i="9"/>
  <c r="AR41" i="9"/>
  <c r="AQ41" i="9"/>
  <c r="AP41" i="9"/>
  <c r="AO41" i="9"/>
  <c r="AZ41" i="9" s="1"/>
  <c r="AN41" i="9"/>
  <c r="AY41" i="9" s="1"/>
  <c r="AM41" i="9"/>
  <c r="AX41" i="9" s="1"/>
  <c r="AL41" i="9"/>
  <c r="AK41" i="9"/>
  <c r="AV41" i="9" s="1"/>
  <c r="AJ41" i="9"/>
  <c r="B41" i="9"/>
  <c r="BG40" i="9" a="1"/>
  <c r="BG40" i="9" s="1"/>
  <c r="BE40" i="9"/>
  <c r="BD40" i="9"/>
  <c r="BC40" i="9"/>
  <c r="BB40" i="9"/>
  <c r="AZ40" i="9"/>
  <c r="AX40" i="9"/>
  <c r="AV40" i="9"/>
  <c r="AU40" i="9"/>
  <c r="AT40" i="9"/>
  <c r="AS40" i="9"/>
  <c r="AR40" i="9"/>
  <c r="AQ40" i="9"/>
  <c r="AP40" i="9"/>
  <c r="BA40" i="9" s="1"/>
  <c r="AO40" i="9"/>
  <c r="AN40" i="9"/>
  <c r="AY40" i="9" s="1"/>
  <c r="AM40" i="9"/>
  <c r="AL40" i="9"/>
  <c r="AW40" i="9" s="1"/>
  <c r="BF40" i="9" s="1"/>
  <c r="AK40" i="9"/>
  <c r="AJ40" i="9"/>
  <c r="B40" i="9"/>
  <c r="BG39" i="9" a="1"/>
  <c r="BG39" i="9" s="1"/>
  <c r="BC39" i="9"/>
  <c r="BA39" i="9"/>
  <c r="AZ39" i="9"/>
  <c r="AY39" i="9"/>
  <c r="AX39" i="9"/>
  <c r="AW39" i="9"/>
  <c r="AV39" i="9"/>
  <c r="AT39" i="9"/>
  <c r="BE39" i="9" s="1"/>
  <c r="AS39" i="9"/>
  <c r="BD39" i="9" s="1"/>
  <c r="AR39" i="9"/>
  <c r="AQ39" i="9"/>
  <c r="BB39" i="9" s="1"/>
  <c r="AP39" i="9"/>
  <c r="AO39" i="9"/>
  <c r="AN39" i="9"/>
  <c r="AM39" i="9"/>
  <c r="AL39" i="9"/>
  <c r="AK39" i="9"/>
  <c r="AJ39" i="9"/>
  <c r="AU39" i="9" s="1"/>
  <c r="BF39" i="9" s="1"/>
  <c r="B39" i="9"/>
  <c r="BG38" i="9"/>
  <c r="BG38" i="9" a="1"/>
  <c r="BD38" i="9"/>
  <c r="BC38" i="9"/>
  <c r="BB38" i="9"/>
  <c r="AZ38" i="9"/>
  <c r="AT38" i="9"/>
  <c r="BE38" i="9" s="1"/>
  <c r="AS38" i="9"/>
  <c r="AR38" i="9"/>
  <c r="AQ38" i="9"/>
  <c r="AP38" i="9"/>
  <c r="BA38" i="9" s="1"/>
  <c r="AO38" i="9"/>
  <c r="AN38" i="9"/>
  <c r="AY38" i="9" s="1"/>
  <c r="AM38" i="9"/>
  <c r="AX38" i="9" s="1"/>
  <c r="AL38" i="9"/>
  <c r="AW38" i="9" s="1"/>
  <c r="AK38" i="9"/>
  <c r="AV38" i="9" s="1"/>
  <c r="AJ38" i="9"/>
  <c r="AU38" i="9" s="1"/>
  <c r="BF38" i="9" s="1"/>
  <c r="B38" i="9"/>
  <c r="BG37" i="9" a="1"/>
  <c r="BG37" i="9" s="1"/>
  <c r="BC37" i="9"/>
  <c r="BA37" i="9"/>
  <c r="AX37" i="9"/>
  <c r="AV37" i="9"/>
  <c r="AT37" i="9"/>
  <c r="BE37" i="9" s="1"/>
  <c r="AS37" i="9"/>
  <c r="BD37" i="9" s="1"/>
  <c r="AR37" i="9"/>
  <c r="AQ37" i="9"/>
  <c r="BB37" i="9" s="1"/>
  <c r="AP37" i="9"/>
  <c r="AO37" i="9"/>
  <c r="AZ37" i="9" s="1"/>
  <c r="AN37" i="9"/>
  <c r="AY37" i="9" s="1"/>
  <c r="AM37" i="9"/>
  <c r="AL37" i="9"/>
  <c r="AW37" i="9" s="1"/>
  <c r="AK37" i="9"/>
  <c r="AJ37" i="9"/>
  <c r="AU37" i="9" s="1"/>
  <c r="B37" i="9"/>
  <c r="BG36" i="9"/>
  <c r="BG36" i="9" a="1"/>
  <c r="BD36" i="9"/>
  <c r="BC36" i="9"/>
  <c r="BA36" i="9"/>
  <c r="AY36" i="9"/>
  <c r="AX36" i="9"/>
  <c r="AW36" i="9"/>
  <c r="AV36" i="9"/>
  <c r="AU36" i="9"/>
  <c r="BF36" i="9" s="1"/>
  <c r="AT36" i="9"/>
  <c r="BE36" i="9" s="1"/>
  <c r="AS36" i="9"/>
  <c r="AR36" i="9"/>
  <c r="AQ36" i="9"/>
  <c r="BB36" i="9" s="1"/>
  <c r="AP36" i="9"/>
  <c r="AO36" i="9"/>
  <c r="AZ36" i="9" s="1"/>
  <c r="AN36" i="9"/>
  <c r="AM36" i="9"/>
  <c r="AL36" i="9"/>
  <c r="AK36" i="9"/>
  <c r="AJ36" i="9"/>
  <c r="B36" i="9"/>
  <c r="BG35" i="9" a="1"/>
  <c r="BG35" i="9" s="1"/>
  <c r="BE35" i="9"/>
  <c r="BD35" i="9"/>
  <c r="AU35" i="9"/>
  <c r="AT35" i="9"/>
  <c r="AS35" i="9"/>
  <c r="AR35" i="9"/>
  <c r="BC35" i="9" s="1"/>
  <c r="AQ35" i="9"/>
  <c r="BB35" i="9" s="1"/>
  <c r="AP35" i="9"/>
  <c r="BA35" i="9" s="1"/>
  <c r="AO35" i="9"/>
  <c r="AZ35" i="9" s="1"/>
  <c r="AN35" i="9"/>
  <c r="AY35" i="9" s="1"/>
  <c r="AM35" i="9"/>
  <c r="AX35" i="9" s="1"/>
  <c r="AL35" i="9"/>
  <c r="AW35" i="9" s="1"/>
  <c r="AK35" i="9"/>
  <c r="AV35" i="9" s="1"/>
  <c r="AJ35" i="9"/>
  <c r="B35" i="9"/>
  <c r="BG34" i="9" a="1"/>
  <c r="BG34" i="9" s="1"/>
  <c r="BC34" i="9"/>
  <c r="BA34" i="9"/>
  <c r="AZ34" i="9"/>
  <c r="AY34" i="9"/>
  <c r="AX34" i="9"/>
  <c r="AW34" i="9"/>
  <c r="AV34" i="9"/>
  <c r="AU34" i="9"/>
  <c r="AT34" i="9"/>
  <c r="BE34" i="9" s="1"/>
  <c r="AS34" i="9"/>
  <c r="BD34" i="9" s="1"/>
  <c r="AR34" i="9"/>
  <c r="AQ34" i="9"/>
  <c r="BB34" i="9" s="1"/>
  <c r="AP34" i="9"/>
  <c r="AO34" i="9"/>
  <c r="AN34" i="9"/>
  <c r="AM34" i="9"/>
  <c r="AL34" i="9"/>
  <c r="AK34" i="9"/>
  <c r="AJ34" i="9"/>
  <c r="B34" i="9"/>
  <c r="BG33" i="9" a="1"/>
  <c r="BG33" i="9" s="1"/>
  <c r="BE33" i="9"/>
  <c r="BD33" i="9"/>
  <c r="BC33" i="9"/>
  <c r="BA33" i="9"/>
  <c r="AW33" i="9"/>
  <c r="AU33" i="9"/>
  <c r="BF33" i="9" s="1"/>
  <c r="AT33" i="9"/>
  <c r="AS33" i="9"/>
  <c r="AR33" i="9"/>
  <c r="AQ33" i="9"/>
  <c r="BB33" i="9" s="1"/>
  <c r="AP33" i="9"/>
  <c r="AO33" i="9"/>
  <c r="AZ33" i="9" s="1"/>
  <c r="AN33" i="9"/>
  <c r="AY33" i="9" s="1"/>
  <c r="AM33" i="9"/>
  <c r="AX33" i="9" s="1"/>
  <c r="AL33" i="9"/>
  <c r="AK33" i="9"/>
  <c r="AV33" i="9" s="1"/>
  <c r="AJ33" i="9"/>
  <c r="B33" i="9"/>
  <c r="BG32" i="9" a="1"/>
  <c r="BG32" i="9" s="1"/>
  <c r="BE32" i="9"/>
  <c r="BD32" i="9"/>
  <c r="BC32" i="9"/>
  <c r="BB32" i="9"/>
  <c r="AZ32" i="9"/>
  <c r="AX32" i="9"/>
  <c r="AW32" i="9"/>
  <c r="AV32" i="9"/>
  <c r="AU32" i="9"/>
  <c r="AT32" i="9"/>
  <c r="AS32" i="9"/>
  <c r="AR32" i="9"/>
  <c r="AQ32" i="9"/>
  <c r="AP32" i="9"/>
  <c r="BA32" i="9" s="1"/>
  <c r="AO32" i="9"/>
  <c r="AN32" i="9"/>
  <c r="AY32" i="9" s="1"/>
  <c r="BF32" i="9" s="1"/>
  <c r="AM32" i="9"/>
  <c r="AL32" i="9"/>
  <c r="AK32" i="9"/>
  <c r="AJ32" i="9"/>
  <c r="B32" i="9"/>
  <c r="BG31" i="9"/>
  <c r="BG31" i="9" a="1"/>
  <c r="BE31" i="9"/>
  <c r="BC31" i="9"/>
  <c r="AZ31" i="9"/>
  <c r="AY31" i="9"/>
  <c r="AX31" i="9"/>
  <c r="AW31" i="9"/>
  <c r="AV31" i="9"/>
  <c r="AU31" i="9"/>
  <c r="BF31" i="9" s="1"/>
  <c r="AT31" i="9"/>
  <c r="AS31" i="9"/>
  <c r="BD31" i="9" s="1"/>
  <c r="AR31" i="9"/>
  <c r="AQ31" i="9"/>
  <c r="BB31" i="9" s="1"/>
  <c r="AP31" i="9"/>
  <c r="BA31" i="9" s="1"/>
  <c r="AO31" i="9"/>
  <c r="AN31" i="9"/>
  <c r="AM31" i="9"/>
  <c r="AL31" i="9"/>
  <c r="AK31" i="9"/>
  <c r="AJ31" i="9"/>
  <c r="B31" i="9"/>
  <c r="BG30" i="9"/>
  <c r="BG30" i="9" a="1"/>
  <c r="BE30" i="9"/>
  <c r="BD30" i="9"/>
  <c r="BB30" i="9"/>
  <c r="AZ30" i="9"/>
  <c r="AT30" i="9"/>
  <c r="AS30" i="9"/>
  <c r="AR30" i="9"/>
  <c r="BC30" i="9" s="1"/>
  <c r="AQ30" i="9"/>
  <c r="AP30" i="9"/>
  <c r="BA30" i="9" s="1"/>
  <c r="AO30" i="9"/>
  <c r="AN30" i="9"/>
  <c r="AY30" i="9" s="1"/>
  <c r="AM30" i="9"/>
  <c r="AX30" i="9" s="1"/>
  <c r="AL30" i="9"/>
  <c r="AW30" i="9" s="1"/>
  <c r="AK30" i="9"/>
  <c r="AV30" i="9" s="1"/>
  <c r="AJ30" i="9"/>
  <c r="AU30" i="9" s="1"/>
  <c r="BF30" i="9" s="1"/>
  <c r="B30" i="9"/>
  <c r="BG29" i="9" a="1"/>
  <c r="BG29" i="9" s="1"/>
  <c r="BC29" i="9"/>
  <c r="BB29" i="9"/>
  <c r="BA29" i="9"/>
  <c r="AZ29" i="9"/>
  <c r="AX29" i="9"/>
  <c r="AV29" i="9"/>
  <c r="AU29" i="9"/>
  <c r="AT29" i="9"/>
  <c r="BE29" i="9" s="1"/>
  <c r="AS29" i="9"/>
  <c r="BD29" i="9" s="1"/>
  <c r="AR29" i="9"/>
  <c r="AQ29" i="9"/>
  <c r="AP29" i="9"/>
  <c r="AO29" i="9"/>
  <c r="AN29" i="9"/>
  <c r="AY29" i="9" s="1"/>
  <c r="AM29" i="9"/>
  <c r="AL29" i="9"/>
  <c r="AW29" i="9" s="1"/>
  <c r="AK29" i="9"/>
  <c r="AJ29" i="9"/>
  <c r="B29" i="9"/>
  <c r="BG28" i="9"/>
  <c r="BG28" i="9" a="1"/>
  <c r="BE28" i="9"/>
  <c r="BD28" i="9"/>
  <c r="BC28" i="9"/>
  <c r="BA28" i="9"/>
  <c r="AW28" i="9"/>
  <c r="AU28" i="9"/>
  <c r="AT28" i="9"/>
  <c r="AS28" i="9"/>
  <c r="AR28" i="9"/>
  <c r="AQ28" i="9"/>
  <c r="BB28" i="9" s="1"/>
  <c r="AP28" i="9"/>
  <c r="AO28" i="9"/>
  <c r="AZ28" i="9" s="1"/>
  <c r="AN28" i="9"/>
  <c r="AY28" i="9" s="1"/>
  <c r="AM28" i="9"/>
  <c r="AX28" i="9" s="1"/>
  <c r="AL28" i="9"/>
  <c r="AK28" i="9"/>
  <c r="AV28" i="9" s="1"/>
  <c r="AJ28" i="9"/>
  <c r="B28" i="9"/>
  <c r="BG27" i="9" a="1"/>
  <c r="BG27" i="9" s="1"/>
  <c r="BE27" i="9"/>
  <c r="AZ27" i="9"/>
  <c r="AX27" i="9"/>
  <c r="AW27" i="9"/>
  <c r="AU27" i="9"/>
  <c r="AT27" i="9"/>
  <c r="AS27" i="9"/>
  <c r="BD27" i="9" s="1"/>
  <c r="AR27" i="9"/>
  <c r="BC27" i="9" s="1"/>
  <c r="AQ27" i="9"/>
  <c r="BB27" i="9" s="1"/>
  <c r="AP27" i="9"/>
  <c r="BA27" i="9" s="1"/>
  <c r="AO27" i="9"/>
  <c r="AN27" i="9"/>
  <c r="AY27" i="9" s="1"/>
  <c r="AM27" i="9"/>
  <c r="AL27" i="9"/>
  <c r="AK27" i="9"/>
  <c r="AV27" i="9" s="1"/>
  <c r="AJ27" i="9"/>
  <c r="B27" i="9"/>
  <c r="BG26" i="9" a="1"/>
  <c r="BG26" i="9" s="1"/>
  <c r="BE26" i="9"/>
  <c r="BC26" i="9"/>
  <c r="BB26" i="9"/>
  <c r="BA26" i="9"/>
  <c r="AZ26" i="9"/>
  <c r="AY26" i="9"/>
  <c r="AX26" i="9"/>
  <c r="AW26" i="9"/>
  <c r="AU26" i="9"/>
  <c r="BF26" i="9" s="1"/>
  <c r="AT26" i="9"/>
  <c r="AS26" i="9"/>
  <c r="BD26" i="9" s="1"/>
  <c r="AR26" i="9"/>
  <c r="AQ26" i="9"/>
  <c r="AP26" i="9"/>
  <c r="AO26" i="9"/>
  <c r="AN26" i="9"/>
  <c r="AM26" i="9"/>
  <c r="AL26" i="9"/>
  <c r="AK26" i="9"/>
  <c r="AV26" i="9" s="1"/>
  <c r="AJ26" i="9"/>
  <c r="B26" i="9"/>
  <c r="BG25" i="9" a="1"/>
  <c r="BG25" i="9" s="1"/>
  <c r="BE25" i="9"/>
  <c r="BC25" i="9"/>
  <c r="AW25" i="9"/>
  <c r="AV25" i="9"/>
  <c r="AU25" i="9"/>
  <c r="AT25" i="9"/>
  <c r="AS25" i="9"/>
  <c r="BD25" i="9" s="1"/>
  <c r="AR25" i="9"/>
  <c r="AQ25" i="9"/>
  <c r="BB25" i="9" s="1"/>
  <c r="AP25" i="9"/>
  <c r="BA25" i="9" s="1"/>
  <c r="AO25" i="9"/>
  <c r="AZ25" i="9" s="1"/>
  <c r="AN25" i="9"/>
  <c r="AY25" i="9" s="1"/>
  <c r="AM25" i="9"/>
  <c r="AX25" i="9" s="1"/>
  <c r="AL25" i="9"/>
  <c r="AK25" i="9"/>
  <c r="AJ25" i="9"/>
  <c r="B25" i="9"/>
  <c r="BG24" i="9" a="1"/>
  <c r="BG24" i="9" s="1"/>
  <c r="BE24" i="9"/>
  <c r="BD24" i="9"/>
  <c r="BC24" i="9"/>
  <c r="BB24" i="9"/>
  <c r="AZ24" i="9"/>
  <c r="AY24" i="9"/>
  <c r="AX24" i="9"/>
  <c r="AW24" i="9"/>
  <c r="AV24" i="9"/>
  <c r="AT24" i="9"/>
  <c r="AS24" i="9"/>
  <c r="AR24" i="9"/>
  <c r="AQ24" i="9"/>
  <c r="AP24" i="9"/>
  <c r="BA24" i="9" s="1"/>
  <c r="AO24" i="9"/>
  <c r="AN24" i="9"/>
  <c r="AM24" i="9"/>
  <c r="AL24" i="9"/>
  <c r="AK24" i="9"/>
  <c r="AJ24" i="9"/>
  <c r="AU24" i="9" s="1"/>
  <c r="B24" i="9"/>
  <c r="BG23" i="9" a="1"/>
  <c r="BG23" i="9" s="1"/>
  <c r="BC23" i="9"/>
  <c r="AZ23" i="9"/>
  <c r="AY23" i="9"/>
  <c r="AX23" i="9"/>
  <c r="AW23" i="9"/>
  <c r="AV23" i="9"/>
  <c r="AT23" i="9"/>
  <c r="BE23" i="9" s="1"/>
  <c r="AS23" i="9"/>
  <c r="BD23" i="9" s="1"/>
  <c r="AR23" i="9"/>
  <c r="AQ23" i="9"/>
  <c r="BB23" i="9" s="1"/>
  <c r="AP23" i="9"/>
  <c r="BA23" i="9" s="1"/>
  <c r="AO23" i="9"/>
  <c r="AN23" i="9"/>
  <c r="AM23" i="9"/>
  <c r="AL23" i="9"/>
  <c r="AK23" i="9"/>
  <c r="AJ23" i="9"/>
  <c r="AU23" i="9" s="1"/>
  <c r="BF23" i="9" s="1"/>
  <c r="B23" i="9"/>
  <c r="BG22" i="9" a="1"/>
  <c r="BG22" i="9" s="1"/>
  <c r="BD22" i="9"/>
  <c r="BB22" i="9"/>
  <c r="BA22" i="9"/>
  <c r="AW22" i="9"/>
  <c r="AT22" i="9"/>
  <c r="BE22" i="9" s="1"/>
  <c r="AS22" i="9"/>
  <c r="AR22" i="9"/>
  <c r="BC22" i="9" s="1"/>
  <c r="AQ22" i="9"/>
  <c r="AP22" i="9"/>
  <c r="AO22" i="9"/>
  <c r="AZ22" i="9" s="1"/>
  <c r="AN22" i="9"/>
  <c r="AY22" i="9" s="1"/>
  <c r="AM22" i="9"/>
  <c r="AX22" i="9" s="1"/>
  <c r="AL22" i="9"/>
  <c r="AK22" i="9"/>
  <c r="AV22" i="9" s="1"/>
  <c r="AJ22" i="9"/>
  <c r="AU22" i="9" s="1"/>
  <c r="B22" i="9"/>
  <c r="BG21" i="9" a="1"/>
  <c r="BG21" i="9" s="1"/>
  <c r="BD21" i="9"/>
  <c r="BC21" i="9"/>
  <c r="BB21" i="9"/>
  <c r="BA21" i="9"/>
  <c r="AZ21" i="9"/>
  <c r="AX21" i="9"/>
  <c r="AV21" i="9"/>
  <c r="AU21" i="9"/>
  <c r="AT21" i="9"/>
  <c r="BE21" i="9" s="1"/>
  <c r="AS21" i="9"/>
  <c r="AR21" i="9"/>
  <c r="AQ21" i="9"/>
  <c r="AP21" i="9"/>
  <c r="AO21" i="9"/>
  <c r="AN21" i="9"/>
  <c r="AY21" i="9" s="1"/>
  <c r="AM21" i="9"/>
  <c r="AL21" i="9"/>
  <c r="AW21" i="9" s="1"/>
  <c r="AK21" i="9"/>
  <c r="AJ21" i="9"/>
  <c r="B21" i="9"/>
  <c r="BG20" i="9"/>
  <c r="BG20" i="9" a="1"/>
  <c r="BE20" i="9"/>
  <c r="BD20" i="9"/>
  <c r="AW20" i="9"/>
  <c r="AV20" i="9"/>
  <c r="AU20" i="9"/>
  <c r="AT20" i="9"/>
  <c r="AS20" i="9"/>
  <c r="AR20" i="9"/>
  <c r="BC20" i="9" s="1"/>
  <c r="AQ20" i="9"/>
  <c r="BB20" i="9" s="1"/>
  <c r="AP20" i="9"/>
  <c r="BA20" i="9" s="1"/>
  <c r="AO20" i="9"/>
  <c r="AZ20" i="9" s="1"/>
  <c r="AN20" i="9"/>
  <c r="AY20" i="9" s="1"/>
  <c r="AM20" i="9"/>
  <c r="AX20" i="9" s="1"/>
  <c r="BF20" i="9" s="1"/>
  <c r="AL20" i="9"/>
  <c r="AK20" i="9"/>
  <c r="AJ20" i="9"/>
  <c r="B20" i="9"/>
  <c r="BG19" i="9"/>
  <c r="BG19" i="9" a="1"/>
  <c r="BE19" i="9"/>
  <c r="BB19" i="9"/>
  <c r="AZ19" i="9"/>
  <c r="AY19" i="9"/>
  <c r="AX19" i="9"/>
  <c r="AW19" i="9"/>
  <c r="AU19" i="9"/>
  <c r="AT19" i="9"/>
  <c r="AS19" i="9"/>
  <c r="BD19" i="9" s="1"/>
  <c r="AR19" i="9"/>
  <c r="BC19" i="9" s="1"/>
  <c r="AQ19" i="9"/>
  <c r="AP19" i="9"/>
  <c r="BA19" i="9" s="1"/>
  <c r="AO19" i="9"/>
  <c r="AN19" i="9"/>
  <c r="AM19" i="9"/>
  <c r="AL19" i="9"/>
  <c r="AK19" i="9"/>
  <c r="AV19" i="9" s="1"/>
  <c r="AJ19" i="9"/>
  <c r="B19" i="9"/>
  <c r="BG18" i="9" a="1"/>
  <c r="BG18" i="9" s="1"/>
  <c r="BE18" i="9"/>
  <c r="BC18" i="9"/>
  <c r="BB18" i="9"/>
  <c r="BA18" i="9"/>
  <c r="AY18" i="9"/>
  <c r="AX18" i="9"/>
  <c r="AT18" i="9"/>
  <c r="AS18" i="9"/>
  <c r="BD18" i="9" s="1"/>
  <c r="AR18" i="9"/>
  <c r="AQ18" i="9"/>
  <c r="AP18" i="9"/>
  <c r="AO18" i="9"/>
  <c r="AZ18" i="9" s="1"/>
  <c r="AN18" i="9"/>
  <c r="AM18" i="9"/>
  <c r="AL18" i="9"/>
  <c r="AW18" i="9" s="1"/>
  <c r="AK18" i="9"/>
  <c r="AV18" i="9" s="1"/>
  <c r="AJ18" i="9"/>
  <c r="AU18" i="9" s="1"/>
  <c r="BF18" i="9" s="1"/>
  <c r="B18" i="9"/>
  <c r="BG17" i="9"/>
  <c r="BG17" i="9" a="1"/>
  <c r="BC17" i="9"/>
  <c r="AY17" i="9"/>
  <c r="AW17" i="9"/>
  <c r="AV17" i="9"/>
  <c r="AU17" i="9"/>
  <c r="AT17" i="9"/>
  <c r="BE17" i="9" s="1"/>
  <c r="AS17" i="9"/>
  <c r="BD17" i="9" s="1"/>
  <c r="AR17" i="9"/>
  <c r="AQ17" i="9"/>
  <c r="BB17" i="9" s="1"/>
  <c r="AP17" i="9"/>
  <c r="BA17" i="9" s="1"/>
  <c r="AO17" i="9"/>
  <c r="AZ17" i="9" s="1"/>
  <c r="AN17" i="9"/>
  <c r="AM17" i="9"/>
  <c r="AX17" i="9" s="1"/>
  <c r="AL17" i="9"/>
  <c r="AK17" i="9"/>
  <c r="AJ17" i="9"/>
  <c r="B17" i="9"/>
  <c r="BG16" i="9" a="1"/>
  <c r="BG16" i="9" s="1"/>
  <c r="BE16" i="9"/>
  <c r="BD16" i="9"/>
  <c r="BC16" i="9"/>
  <c r="BB16" i="9"/>
  <c r="AZ16" i="9"/>
  <c r="AY16" i="9"/>
  <c r="AX16" i="9"/>
  <c r="AV16" i="9"/>
  <c r="AT16" i="9"/>
  <c r="AS16" i="9"/>
  <c r="AR16" i="9"/>
  <c r="AQ16" i="9"/>
  <c r="AP16" i="9"/>
  <c r="BA16" i="9" s="1"/>
  <c r="AO16" i="9"/>
  <c r="AN16" i="9"/>
  <c r="AM16" i="9"/>
  <c r="AL16" i="9"/>
  <c r="AW16" i="9" s="1"/>
  <c r="AK16" i="9"/>
  <c r="AJ16" i="9"/>
  <c r="AU16" i="9" s="1"/>
  <c r="BF16" i="9" s="1"/>
  <c r="B16" i="9"/>
  <c r="BG15" i="9"/>
  <c r="BG15" i="9" a="1"/>
  <c r="BC15" i="9"/>
  <c r="BF15" i="9" s="1"/>
  <c r="AZ15" i="9"/>
  <c r="AY15" i="9"/>
  <c r="AX15" i="9"/>
  <c r="AW15" i="9"/>
  <c r="AV15" i="9"/>
  <c r="AU15" i="9"/>
  <c r="AT15" i="9"/>
  <c r="BE15" i="9" s="1"/>
  <c r="AS15" i="9"/>
  <c r="BD15" i="9" s="1"/>
  <c r="AR15" i="9"/>
  <c r="AQ15" i="9"/>
  <c r="BB15" i="9" s="1"/>
  <c r="AP15" i="9"/>
  <c r="BA15" i="9" s="1"/>
  <c r="AO15" i="9"/>
  <c r="AN15" i="9"/>
  <c r="AM15" i="9"/>
  <c r="AL15" i="9"/>
  <c r="AK15" i="9"/>
  <c r="AJ15" i="9"/>
  <c r="B15" i="9"/>
  <c r="BG14" i="9" a="1"/>
  <c r="BG14" i="9" s="1"/>
  <c r="BD14" i="9"/>
  <c r="AZ14" i="9"/>
  <c r="AT14" i="9"/>
  <c r="BE14" i="9" s="1"/>
  <c r="AS14" i="9"/>
  <c r="AR14" i="9"/>
  <c r="BC14" i="9" s="1"/>
  <c r="AQ14" i="9"/>
  <c r="BB14" i="9" s="1"/>
  <c r="AP14" i="9"/>
  <c r="BA14" i="9" s="1"/>
  <c r="AO14" i="9"/>
  <c r="AN14" i="9"/>
  <c r="AY14" i="9" s="1"/>
  <c r="AM14" i="9"/>
  <c r="AX14" i="9" s="1"/>
  <c r="AL14" i="9"/>
  <c r="AW14" i="9" s="1"/>
  <c r="AK14" i="9"/>
  <c r="AV14" i="9" s="1"/>
  <c r="AJ14" i="9"/>
  <c r="AU14" i="9" s="1"/>
  <c r="B14" i="9"/>
  <c r="BG13" i="9" a="1"/>
  <c r="BG13" i="9" s="1"/>
  <c r="BD13" i="9"/>
  <c r="BC13" i="9"/>
  <c r="BA13" i="9"/>
  <c r="AZ13" i="9"/>
  <c r="AY13" i="9"/>
  <c r="AX13" i="9"/>
  <c r="AW13" i="9"/>
  <c r="AV13" i="9"/>
  <c r="AT13" i="9"/>
  <c r="BE13" i="9" s="1"/>
  <c r="AS13" i="9"/>
  <c r="AR13" i="9"/>
  <c r="AQ13" i="9"/>
  <c r="BB13" i="9" s="1"/>
  <c r="AP13" i="9"/>
  <c r="AO13" i="9"/>
  <c r="AN13" i="9"/>
  <c r="AM13" i="9"/>
  <c r="AL13" i="9"/>
  <c r="AK13" i="9"/>
  <c r="AJ13" i="9"/>
  <c r="AU13" i="9" s="1"/>
  <c r="BF13" i="9" s="1"/>
  <c r="B13" i="9"/>
  <c r="BG12" i="9" a="1"/>
  <c r="BG12" i="9" s="1"/>
  <c r="BE12" i="9"/>
  <c r="BD12" i="9"/>
  <c r="AX12" i="9"/>
  <c r="AW12" i="9"/>
  <c r="AV12" i="9"/>
  <c r="AU12" i="9"/>
  <c r="AT12" i="9"/>
  <c r="AS12" i="9"/>
  <c r="AR12" i="9"/>
  <c r="BC12" i="9" s="1"/>
  <c r="AQ12" i="9"/>
  <c r="BB12" i="9" s="1"/>
  <c r="AP12" i="9"/>
  <c r="BA12" i="9" s="1"/>
  <c r="AO12" i="9"/>
  <c r="AZ12" i="9" s="1"/>
  <c r="AN12" i="9"/>
  <c r="AY12" i="9" s="1"/>
  <c r="BF12" i="9" s="1"/>
  <c r="AM12" i="9"/>
  <c r="AL12" i="9"/>
  <c r="AK12" i="9"/>
  <c r="AJ12" i="9"/>
  <c r="B12" i="9"/>
  <c r="BG11" i="9"/>
  <c r="BG11" i="9" a="1"/>
  <c r="BE11" i="9"/>
  <c r="BB11" i="9"/>
  <c r="BA11" i="9"/>
  <c r="AZ11" i="9"/>
  <c r="AY11" i="9"/>
  <c r="AX11" i="9"/>
  <c r="AW11" i="9"/>
  <c r="AU11" i="9"/>
  <c r="BF11" i="9" s="1"/>
  <c r="AT11" i="9"/>
  <c r="AS11" i="9"/>
  <c r="BD11" i="9" s="1"/>
  <c r="AR11" i="9"/>
  <c r="BC11" i="9" s="1"/>
  <c r="AQ11" i="9"/>
  <c r="AP11" i="9"/>
  <c r="AO11" i="9"/>
  <c r="AN11" i="9"/>
  <c r="AM11" i="9"/>
  <c r="AL11" i="9"/>
  <c r="AK11" i="9"/>
  <c r="AV11" i="9" s="1"/>
  <c r="AJ11" i="9"/>
  <c r="B11" i="9"/>
  <c r="BG10" i="9" a="1"/>
  <c r="BG10" i="9" s="1"/>
  <c r="BE10" i="9"/>
  <c r="BC10" i="9"/>
  <c r="BA10" i="9"/>
  <c r="AY10" i="9"/>
  <c r="AU10" i="9"/>
  <c r="AT10" i="9"/>
  <c r="AS10" i="9"/>
  <c r="BD10" i="9" s="1"/>
  <c r="AR10" i="9"/>
  <c r="AQ10" i="9"/>
  <c r="BB10" i="9" s="1"/>
  <c r="AP10" i="9"/>
  <c r="AO10" i="9"/>
  <c r="AZ10" i="9" s="1"/>
  <c r="AN10" i="9"/>
  <c r="AM10" i="9"/>
  <c r="AX10" i="9" s="1"/>
  <c r="AL10" i="9"/>
  <c r="AW10" i="9" s="1"/>
  <c r="AK10" i="9"/>
  <c r="AV10" i="9" s="1"/>
  <c r="AJ10" i="9"/>
  <c r="B10" i="9"/>
  <c r="BG9" i="9" a="1"/>
  <c r="BG9" i="9" s="1"/>
  <c r="BA9" i="9"/>
  <c r="AY9" i="9"/>
  <c r="AW9" i="9"/>
  <c r="AV9" i="9"/>
  <c r="AU9" i="9"/>
  <c r="AT9" i="9"/>
  <c r="BE9" i="9" s="1"/>
  <c r="AS9" i="9"/>
  <c r="BD9" i="9" s="1"/>
  <c r="AR9" i="9"/>
  <c r="BC9" i="9" s="1"/>
  <c r="AQ9" i="9"/>
  <c r="BB9" i="9" s="1"/>
  <c r="AP9" i="9"/>
  <c r="AO9" i="9"/>
  <c r="AZ9" i="9" s="1"/>
  <c r="AN9" i="9"/>
  <c r="AM9" i="9"/>
  <c r="AX9" i="9" s="1"/>
  <c r="AL9" i="9"/>
  <c r="AK9" i="9"/>
  <c r="AJ9" i="9"/>
  <c r="B9" i="9"/>
  <c r="BG8" i="9" a="1"/>
  <c r="BG8" i="9" s="1"/>
  <c r="BE8" i="9"/>
  <c r="BD8" i="9"/>
  <c r="BC8" i="9"/>
  <c r="BB8" i="9"/>
  <c r="BA8" i="9"/>
  <c r="AZ8" i="9"/>
  <c r="AX8" i="9"/>
  <c r="AV8" i="9"/>
  <c r="AT8" i="9"/>
  <c r="AS8" i="9"/>
  <c r="AR8" i="9"/>
  <c r="AQ8" i="9"/>
  <c r="AP8" i="9"/>
  <c r="AO8" i="9"/>
  <c r="AN8" i="9"/>
  <c r="AY8" i="9" s="1"/>
  <c r="AM8" i="9"/>
  <c r="AL8" i="9"/>
  <c r="AW8" i="9" s="1"/>
  <c r="AK8" i="9"/>
  <c r="AJ8" i="9"/>
  <c r="AU8" i="9" s="1"/>
  <c r="B8" i="9"/>
  <c r="BG7" i="9"/>
  <c r="BG7" i="9" a="1"/>
  <c r="BC7" i="9"/>
  <c r="AZ7" i="9"/>
  <c r="AY7" i="9"/>
  <c r="AX7" i="9"/>
  <c r="AW7" i="9"/>
  <c r="AV7" i="9"/>
  <c r="AT7" i="9"/>
  <c r="BE7" i="9" s="1"/>
  <c r="AS7" i="9"/>
  <c r="BD7" i="9" s="1"/>
  <c r="AR7" i="9"/>
  <c r="AQ7" i="9"/>
  <c r="BB7" i="9" s="1"/>
  <c r="AP7" i="9"/>
  <c r="BA7" i="9" s="1"/>
  <c r="AO7" i="9"/>
  <c r="AN7" i="9"/>
  <c r="AM7" i="9"/>
  <c r="AL7" i="9"/>
  <c r="AK7" i="9"/>
  <c r="AJ7" i="9"/>
  <c r="AU7" i="9" s="1"/>
  <c r="BF7" i="9" s="1"/>
  <c r="B7" i="9"/>
  <c r="BG6" i="9"/>
  <c r="BG6" i="9" a="1"/>
  <c r="AZ6" i="9"/>
  <c r="AW6" i="9"/>
  <c r="AT6" i="9"/>
  <c r="BE6" i="9" s="1"/>
  <c r="AS6" i="9"/>
  <c r="BD6" i="9" s="1"/>
  <c r="AR6" i="9"/>
  <c r="BC6" i="9" s="1"/>
  <c r="AQ6" i="9"/>
  <c r="BB6" i="9" s="1"/>
  <c r="AP6" i="9"/>
  <c r="BA6" i="9" s="1"/>
  <c r="AO6" i="9"/>
  <c r="AN6" i="9"/>
  <c r="AY6" i="9" s="1"/>
  <c r="AM6" i="9"/>
  <c r="AX6" i="9" s="1"/>
  <c r="AL6" i="9"/>
  <c r="AK6" i="9"/>
  <c r="AV6" i="9" s="1"/>
  <c r="AJ6" i="9"/>
  <c r="AU6" i="9" s="1"/>
  <c r="BF6" i="9" s="1"/>
  <c r="B6" i="9"/>
  <c r="BG5" i="9" a="1"/>
  <c r="BG5" i="9" s="1"/>
  <c r="BD5" i="9"/>
  <c r="BC5" i="9"/>
  <c r="BB5" i="9"/>
  <c r="BA5" i="9"/>
  <c r="AZ5" i="9"/>
  <c r="AY5" i="9"/>
  <c r="AX5" i="9"/>
  <c r="AW5" i="9"/>
  <c r="AT5" i="9"/>
  <c r="BE5" i="9" s="1"/>
  <c r="AS5" i="9"/>
  <c r="AR5" i="9"/>
  <c r="AQ5" i="9"/>
  <c r="AP5" i="9"/>
  <c r="AO5" i="9"/>
  <c r="AN5" i="9"/>
  <c r="AM5" i="9"/>
  <c r="AL5" i="9"/>
  <c r="AK5" i="9"/>
  <c r="AV5" i="9" s="1"/>
  <c r="AJ5" i="9"/>
  <c r="AU5" i="9" s="1"/>
  <c r="BF5" i="9" s="1"/>
  <c r="B5" i="9"/>
  <c r="BG4" i="9" a="1"/>
  <c r="BG4" i="9" s="1"/>
  <c r="AX4" i="9"/>
  <c r="AW4" i="9"/>
  <c r="AV4" i="9"/>
  <c r="AU4" i="9"/>
  <c r="AT4" i="9"/>
  <c r="BE4" i="9" s="1"/>
  <c r="AS4" i="9"/>
  <c r="BD4" i="9" s="1"/>
  <c r="AR4" i="9"/>
  <c r="BC4" i="9" s="1"/>
  <c r="AQ4" i="9"/>
  <c r="BB4" i="9" s="1"/>
  <c r="AP4" i="9"/>
  <c r="BA4" i="9" s="1"/>
  <c r="AO4" i="9"/>
  <c r="AZ4" i="9" s="1"/>
  <c r="AN4" i="9"/>
  <c r="AY4" i="9" s="1"/>
  <c r="AM4" i="9"/>
  <c r="AL4" i="9"/>
  <c r="AK4" i="9"/>
  <c r="AJ4" i="9"/>
  <c r="B4" i="9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" i="7" s="1"/>
  <c r="N16" i="5"/>
  <c r="M16" i="5"/>
  <c r="L16" i="5"/>
  <c r="K16" i="5"/>
  <c r="J16" i="5"/>
  <c r="I16" i="5"/>
  <c r="H16" i="5"/>
  <c r="G16" i="5"/>
  <c r="F16" i="5"/>
  <c r="E16" i="5"/>
  <c r="D16" i="5"/>
  <c r="C16" i="5"/>
  <c r="P16" i="5" s="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P15" i="5" s="1"/>
  <c r="Q15" i="5" s="1"/>
  <c r="R15" i="5" s="1"/>
  <c r="N14" i="5"/>
  <c r="M14" i="5"/>
  <c r="L14" i="5"/>
  <c r="K14" i="5"/>
  <c r="J14" i="5"/>
  <c r="I14" i="5"/>
  <c r="H14" i="5"/>
  <c r="G14" i="5"/>
  <c r="F14" i="5"/>
  <c r="E14" i="5"/>
  <c r="D14" i="5"/>
  <c r="O14" i="5" s="1"/>
  <c r="C14" i="5"/>
  <c r="P14" i="5" s="1"/>
  <c r="Q14" i="5" s="1"/>
  <c r="R14" i="5" s="1"/>
  <c r="N13" i="5"/>
  <c r="M13" i="5"/>
  <c r="L13" i="5"/>
  <c r="K13" i="5"/>
  <c r="J13" i="5"/>
  <c r="I13" i="5"/>
  <c r="H13" i="5"/>
  <c r="G13" i="5"/>
  <c r="F13" i="5"/>
  <c r="E13" i="5"/>
  <c r="D13" i="5"/>
  <c r="C13" i="5"/>
  <c r="P13" i="5" s="1"/>
  <c r="N12" i="5"/>
  <c r="M12" i="5"/>
  <c r="L12" i="5"/>
  <c r="K12" i="5"/>
  <c r="J12" i="5"/>
  <c r="I12" i="5"/>
  <c r="H12" i="5"/>
  <c r="G12" i="5"/>
  <c r="F12" i="5"/>
  <c r="E12" i="5"/>
  <c r="D12" i="5"/>
  <c r="P12" i="5" s="1"/>
  <c r="C12" i="5"/>
  <c r="N11" i="5"/>
  <c r="M11" i="5"/>
  <c r="L11" i="5"/>
  <c r="K11" i="5"/>
  <c r="J11" i="5"/>
  <c r="I11" i="5"/>
  <c r="H11" i="5"/>
  <c r="G11" i="5"/>
  <c r="O11" i="5" s="1"/>
  <c r="F11" i="5"/>
  <c r="E11" i="5"/>
  <c r="D11" i="5"/>
  <c r="C11" i="5"/>
  <c r="P11" i="5" s="1"/>
  <c r="N10" i="5"/>
  <c r="M10" i="5"/>
  <c r="L10" i="5"/>
  <c r="K10" i="5"/>
  <c r="P10" i="5" s="1"/>
  <c r="J10" i="5"/>
  <c r="I10" i="5"/>
  <c r="H10" i="5"/>
  <c r="G10" i="5"/>
  <c r="F10" i="5"/>
  <c r="E10" i="5"/>
  <c r="D10" i="5"/>
  <c r="O10" i="5" s="1"/>
  <c r="C10" i="5"/>
  <c r="N9" i="5"/>
  <c r="M9" i="5"/>
  <c r="L9" i="5"/>
  <c r="K9" i="5"/>
  <c r="J9" i="5"/>
  <c r="I9" i="5"/>
  <c r="H9" i="5"/>
  <c r="G9" i="5"/>
  <c r="F9" i="5"/>
  <c r="E9" i="5"/>
  <c r="D9" i="5"/>
  <c r="C9" i="5"/>
  <c r="P9" i="5" s="1"/>
  <c r="N8" i="5"/>
  <c r="M8" i="5"/>
  <c r="L8" i="5"/>
  <c r="K8" i="5"/>
  <c r="J8" i="5"/>
  <c r="I8" i="5"/>
  <c r="H8" i="5"/>
  <c r="G8" i="5"/>
  <c r="F8" i="5"/>
  <c r="E8" i="5"/>
  <c r="D8" i="5"/>
  <c r="P8" i="5" s="1"/>
  <c r="Q8" i="5" s="1"/>
  <c r="R8" i="5" s="1"/>
  <c r="C8" i="5"/>
  <c r="O8" i="5" s="1"/>
  <c r="N7" i="5"/>
  <c r="M7" i="5"/>
  <c r="L7" i="5"/>
  <c r="K7" i="5"/>
  <c r="J7" i="5"/>
  <c r="I7" i="5"/>
  <c r="H7" i="5"/>
  <c r="G7" i="5"/>
  <c r="F7" i="5"/>
  <c r="E7" i="5"/>
  <c r="D7" i="5"/>
  <c r="C7" i="5"/>
  <c r="P7" i="5" s="1"/>
  <c r="N6" i="5"/>
  <c r="M6" i="5"/>
  <c r="L6" i="5"/>
  <c r="K6" i="5"/>
  <c r="J6" i="5"/>
  <c r="I6" i="5"/>
  <c r="H6" i="5"/>
  <c r="G6" i="5"/>
  <c r="P6" i="5" s="1"/>
  <c r="F6" i="5"/>
  <c r="E6" i="5"/>
  <c r="D6" i="5"/>
  <c r="C6" i="5"/>
  <c r="F16" i="4"/>
  <c r="G16" i="4" s="1"/>
  <c r="E16" i="4"/>
  <c r="D16" i="4"/>
  <c r="G15" i="4"/>
  <c r="F15" i="4"/>
  <c r="E15" i="4"/>
  <c r="D15" i="4"/>
  <c r="F14" i="4"/>
  <c r="G14" i="4" s="1"/>
  <c r="E14" i="4"/>
  <c r="D14" i="4"/>
  <c r="G13" i="4"/>
  <c r="F13" i="4"/>
  <c r="E13" i="4"/>
  <c r="D13" i="4"/>
  <c r="F12" i="4"/>
  <c r="G12" i="4" s="1"/>
  <c r="E12" i="4"/>
  <c r="D12" i="4"/>
  <c r="F11" i="4"/>
  <c r="E11" i="4"/>
  <c r="D11" i="4"/>
  <c r="F10" i="4"/>
  <c r="G10" i="4" s="1"/>
  <c r="E10" i="4"/>
  <c r="D10" i="4"/>
  <c r="F9" i="4"/>
  <c r="E9" i="4"/>
  <c r="D9" i="4"/>
  <c r="F8" i="4"/>
  <c r="G8" i="4" s="1"/>
  <c r="E8" i="4"/>
  <c r="D8" i="4"/>
  <c r="F7" i="4"/>
  <c r="E7" i="4"/>
  <c r="D7" i="4"/>
  <c r="F6" i="4"/>
  <c r="G6" i="4" s="1"/>
  <c r="E6" i="4"/>
  <c r="D6" i="4"/>
  <c r="B7" i="3"/>
  <c r="G6" i="3"/>
  <c r="F6" i="3"/>
  <c r="E6" i="3"/>
  <c r="D6" i="3"/>
  <c r="C6" i="3"/>
  <c r="I6" i="3" s="1"/>
  <c r="F5" i="3"/>
  <c r="E5" i="3"/>
  <c r="I5" i="3" s="1"/>
  <c r="D5" i="3"/>
  <c r="D7" i="3" s="1"/>
  <c r="C5" i="3"/>
  <c r="G4" i="3"/>
  <c r="F4" i="3"/>
  <c r="E4" i="3"/>
  <c r="I4" i="3" s="1"/>
  <c r="D4" i="3"/>
  <c r="C4" i="3"/>
  <c r="I3" i="3"/>
  <c r="F3" i="3"/>
  <c r="E3" i="3"/>
  <c r="D3" i="3"/>
  <c r="C3" i="3"/>
  <c r="F2" i="3"/>
  <c r="F7" i="3" s="1"/>
  <c r="E2" i="3"/>
  <c r="E7" i="3" s="1"/>
  <c r="D2" i="3"/>
  <c r="C2" i="3"/>
  <c r="I2" i="3" s="1"/>
  <c r="G13" i="2"/>
  <c r="F13" i="2"/>
  <c r="D13" i="2"/>
  <c r="C13" i="2"/>
  <c r="E13" i="2" s="1"/>
  <c r="H12" i="2"/>
  <c r="G12" i="2"/>
  <c r="F12" i="2"/>
  <c r="E12" i="2"/>
  <c r="D12" i="2"/>
  <c r="C12" i="2"/>
  <c r="G11" i="2"/>
  <c r="F11" i="2"/>
  <c r="D11" i="2"/>
  <c r="E11" i="2" s="1"/>
  <c r="C11" i="2"/>
  <c r="G10" i="2"/>
  <c r="F10" i="2"/>
  <c r="D10" i="2"/>
  <c r="C10" i="2"/>
  <c r="E10" i="2" s="1"/>
  <c r="G9" i="2"/>
  <c r="F9" i="2"/>
  <c r="D9" i="2"/>
  <c r="C9" i="2"/>
  <c r="E9" i="2" s="1"/>
  <c r="G8" i="2"/>
  <c r="F8" i="2"/>
  <c r="D8" i="2"/>
  <c r="E8" i="2" s="1"/>
  <c r="C8" i="2"/>
  <c r="G7" i="2"/>
  <c r="F7" i="2"/>
  <c r="D7" i="2"/>
  <c r="C7" i="2"/>
  <c r="E7" i="2" s="1"/>
  <c r="G6" i="2"/>
  <c r="F6" i="2"/>
  <c r="D6" i="2"/>
  <c r="C6" i="2"/>
  <c r="E6" i="2" s="1"/>
  <c r="G5" i="2"/>
  <c r="F5" i="2"/>
  <c r="E5" i="2"/>
  <c r="H5" i="2" s="1"/>
  <c r="D5" i="2"/>
  <c r="C5" i="2"/>
  <c r="G4" i="2"/>
  <c r="F4" i="2"/>
  <c r="F14" i="2" s="1"/>
  <c r="E4" i="2"/>
  <c r="D4" i="2"/>
  <c r="C4" i="2"/>
  <c r="G3" i="2"/>
  <c r="G14" i="2" s="1"/>
  <c r="F3" i="2"/>
  <c r="D3" i="2"/>
  <c r="C3" i="2"/>
  <c r="E3" i="2" s="1"/>
  <c r="G2" i="2"/>
  <c r="F2" i="2"/>
  <c r="D2" i="2"/>
  <c r="D14" i="2" s="1"/>
  <c r="C2" i="2"/>
  <c r="C14" i="2" s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D44" i="1" s="1"/>
  <c r="C37" i="1"/>
  <c r="B34" i="1"/>
  <c r="B33" i="1"/>
  <c r="D27" i="1"/>
  <c r="D26" i="1"/>
  <c r="E26" i="1" s="1"/>
  <c r="B26" i="1"/>
  <c r="C26" i="1" s="1"/>
  <c r="D25" i="1"/>
  <c r="E25" i="1" s="1"/>
  <c r="B25" i="1"/>
  <c r="B27" i="1" s="1"/>
  <c r="C22" i="1"/>
  <c r="E20" i="1" s="1"/>
  <c r="E22" i="1" s="1"/>
  <c r="E21" i="1"/>
  <c r="C21" i="1"/>
  <c r="B21" i="1"/>
  <c r="D21" i="1" s="1"/>
  <c r="C20" i="1"/>
  <c r="B20" i="1"/>
  <c r="D20" i="1" s="1"/>
  <c r="C16" i="1"/>
  <c r="D14" i="1" s="1"/>
  <c r="D16" i="1" s="1"/>
  <c r="G15" i="1"/>
  <c r="E15" i="1"/>
  <c r="E16" i="1" s="1"/>
  <c r="F16" i="1" s="1"/>
  <c r="D15" i="1"/>
  <c r="C15" i="1"/>
  <c r="B15" i="1"/>
  <c r="G14" i="1"/>
  <c r="G16" i="1" s="1"/>
  <c r="F14" i="1"/>
  <c r="E14" i="1"/>
  <c r="C14" i="1"/>
  <c r="B14" i="1"/>
  <c r="B16" i="1" s="1"/>
  <c r="B11" i="1"/>
  <c r="B10" i="1"/>
  <c r="B7" i="1"/>
  <c r="B8" i="1" s="1"/>
  <c r="B6" i="1"/>
  <c r="B30" i="1" s="1"/>
  <c r="B4" i="1"/>
  <c r="B9" i="1" s="1"/>
  <c r="BF62" i="9" l="1"/>
  <c r="BF68" i="9"/>
  <c r="BF95" i="9"/>
  <c r="BF106" i="9"/>
  <c r="BF35" i="9"/>
  <c r="BF114" i="9"/>
  <c r="BF14" i="9"/>
  <c r="BF91" i="9"/>
  <c r="BF254" i="9"/>
  <c r="BF28" i="9"/>
  <c r="BF44" i="9"/>
  <c r="BF48" i="9"/>
  <c r="BF92" i="9"/>
  <c r="BF100" i="9"/>
  <c r="BF212" i="9"/>
  <c r="BF273" i="9"/>
  <c r="BF83" i="9"/>
  <c r="BF108" i="9"/>
  <c r="BF47" i="9"/>
  <c r="BF27" i="9"/>
  <c r="BF52" i="9"/>
  <c r="BF79" i="9"/>
  <c r="BF19" i="9"/>
  <c r="BF4" i="9"/>
  <c r="BF24" i="9"/>
  <c r="BF207" i="9"/>
  <c r="BF22" i="9"/>
  <c r="BF239" i="9"/>
  <c r="BF64" i="9"/>
  <c r="BF90" i="9"/>
  <c r="BF55" i="9"/>
  <c r="BF70" i="9"/>
  <c r="BF80" i="9"/>
  <c r="BF129" i="9"/>
  <c r="BF179" i="9"/>
  <c r="BF186" i="9"/>
  <c r="BF230" i="9"/>
  <c r="BF237" i="9"/>
  <c r="BF69" i="9"/>
  <c r="BF82" i="9"/>
  <c r="BF132" i="9"/>
  <c r="BF85" i="9"/>
  <c r="BF285" i="9"/>
  <c r="BF322" i="9"/>
  <c r="BF111" i="9"/>
  <c r="BF146" i="9"/>
  <c r="BF153" i="9"/>
  <c r="BF184" i="9"/>
  <c r="BF206" i="9"/>
  <c r="BF210" i="9"/>
  <c r="BF8" i="9"/>
  <c r="BF34" i="9"/>
  <c r="BF235" i="9"/>
  <c r="BF165" i="9"/>
  <c r="BF227" i="9"/>
  <c r="BF223" i="9"/>
  <c r="BF278" i="9"/>
  <c r="BF333" i="9"/>
  <c r="BF341" i="9"/>
  <c r="BF163" i="9"/>
  <c r="BF176" i="9"/>
  <c r="BF228" i="9"/>
  <c r="BF236" i="9"/>
  <c r="BF267" i="9"/>
  <c r="BF363" i="9"/>
  <c r="BF116" i="9"/>
  <c r="BF122" i="9"/>
  <c r="BF243" i="9"/>
  <c r="BF245" i="9"/>
  <c r="BF279" i="9"/>
  <c r="BF201" i="9"/>
  <c r="BF229" i="9"/>
  <c r="BF142" i="9"/>
  <c r="BF213" i="9"/>
  <c r="BF301" i="9"/>
  <c r="BF61" i="9"/>
  <c r="BF128" i="9"/>
  <c r="BF140" i="9"/>
  <c r="BF162" i="9"/>
  <c r="BF200" i="9"/>
  <c r="BF290" i="9"/>
  <c r="BF42" i="9"/>
  <c r="BF170" i="9"/>
  <c r="BF266" i="9"/>
  <c r="BF309" i="9"/>
  <c r="BF180" i="9"/>
  <c r="BF298" i="9"/>
  <c r="BF10" i="9"/>
  <c r="BF65" i="9"/>
  <c r="BF99" i="9"/>
  <c r="BF121" i="9"/>
  <c r="BF159" i="9"/>
  <c r="BF249" i="9"/>
  <c r="BF269" i="9"/>
  <c r="BF283" i="9"/>
  <c r="BF307" i="9"/>
  <c r="BF74" i="9"/>
  <c r="BF144" i="9"/>
  <c r="BF158" i="9"/>
  <c r="BF177" i="9"/>
  <c r="BF197" i="9"/>
  <c r="BF202" i="9"/>
  <c r="BF315" i="9"/>
  <c r="BF334" i="9"/>
  <c r="BF130" i="9"/>
  <c r="BF152" i="9"/>
  <c r="BF198" i="9"/>
  <c r="BF181" i="9"/>
  <c r="BF191" i="9"/>
  <c r="BF73" i="9"/>
  <c r="BF101" i="9"/>
  <c r="BF276" i="9"/>
  <c r="BF314" i="9"/>
  <c r="BF166" i="9"/>
  <c r="BF275" i="9"/>
  <c r="BF17" i="9"/>
  <c r="BF226" i="9"/>
  <c r="BF25" i="9"/>
  <c r="BF37" i="9"/>
  <c r="BF93" i="9"/>
  <c r="BF113" i="9"/>
  <c r="BF172" i="9"/>
  <c r="BF354" i="9"/>
  <c r="BF45" i="9"/>
  <c r="BF53" i="9"/>
  <c r="BF137" i="9"/>
  <c r="BF211" i="9"/>
  <c r="BF220" i="9"/>
  <c r="BF251" i="9"/>
  <c r="BF312" i="9"/>
  <c r="BF320" i="9"/>
  <c r="BF326" i="9"/>
  <c r="BF343" i="9"/>
  <c r="BF21" i="9"/>
  <c r="BF29" i="9"/>
  <c r="BF9" i="9"/>
  <c r="BF287" i="9"/>
  <c r="BF296" i="9"/>
  <c r="BF346" i="9"/>
  <c r="BF133" i="9"/>
  <c r="BF265" i="9"/>
  <c r="BF268" i="9"/>
  <c r="BF302" i="9"/>
  <c r="BF88" i="9"/>
  <c r="BF155" i="9"/>
  <c r="BF59" i="9"/>
  <c r="BF149" i="9"/>
  <c r="BF241" i="9"/>
  <c r="BF252" i="9"/>
  <c r="BF325" i="9"/>
  <c r="BF329" i="9"/>
  <c r="BF349" i="9"/>
  <c r="BF120" i="9"/>
  <c r="BF194" i="9"/>
  <c r="BF195" i="9"/>
  <c r="BF240" i="9"/>
  <c r="BF295" i="9"/>
  <c r="BF304" i="9"/>
  <c r="BF348" i="9"/>
  <c r="BF50" i="9"/>
  <c r="BF58" i="9"/>
  <c r="BF96" i="9"/>
  <c r="BF139" i="9"/>
  <c r="BF182" i="9"/>
  <c r="BF224" i="9"/>
  <c r="BF232" i="9"/>
  <c r="BF274" i="9"/>
  <c r="BF350" i="9"/>
  <c r="BF141" i="9"/>
  <c r="BF167" i="9"/>
  <c r="BF174" i="9"/>
  <c r="BF175" i="9"/>
  <c r="BF178" i="9"/>
  <c r="BF192" i="9"/>
  <c r="BF233" i="9"/>
  <c r="BF263" i="9"/>
  <c r="BF292" i="9"/>
  <c r="BF345" i="9"/>
  <c r="BF77" i="9"/>
  <c r="BF125" i="9"/>
  <c r="BF205" i="9"/>
  <c r="BF215" i="9"/>
  <c r="BF271" i="9"/>
  <c r="BF313" i="9"/>
  <c r="BF321" i="9"/>
  <c r="BF66" i="9"/>
  <c r="BF193" i="9"/>
  <c r="BF199" i="9"/>
  <c r="BF222" i="9"/>
  <c r="BF248" i="9"/>
  <c r="BF297" i="9"/>
  <c r="BF331" i="9"/>
  <c r="BF360" i="9"/>
  <c r="BF221" i="9"/>
  <c r="BF259" i="9"/>
  <c r="BF347" i="9"/>
  <c r="BF136" i="9"/>
  <c r="BF277" i="9"/>
  <c r="BF293" i="9"/>
  <c r="BF324" i="9"/>
  <c r="BF112" i="9"/>
  <c r="BF157" i="9"/>
  <c r="BF173" i="9"/>
  <c r="BF185" i="9"/>
  <c r="BF355" i="9"/>
  <c r="BF357" i="9"/>
  <c r="BF189" i="9"/>
  <c r="BF257" i="9"/>
  <c r="BF280" i="9"/>
  <c r="BF328" i="9"/>
  <c r="BF291" i="9"/>
  <c r="BF337" i="9"/>
  <c r="BF272" i="9"/>
  <c r="BF299" i="9"/>
  <c r="BF338" i="9"/>
  <c r="BF306" i="9"/>
  <c r="BF339" i="9"/>
  <c r="BF318" i="9"/>
  <c r="BF294" i="9"/>
  <c r="BF323" i="9"/>
  <c r="BF344" i="9"/>
  <c r="BF352" i="9"/>
  <c r="BF336" i="9"/>
  <c r="C3" i="7"/>
  <c r="D2" i="7"/>
  <c r="H5" i="3"/>
  <c r="I9" i="4"/>
  <c r="Q10" i="5"/>
  <c r="R10" i="5" s="1"/>
  <c r="H11" i="2"/>
  <c r="H3" i="3"/>
  <c r="Q16" i="5"/>
  <c r="R16" i="5" s="1"/>
  <c r="I7" i="4"/>
  <c r="I7" i="2"/>
  <c r="H7" i="2"/>
  <c r="H6" i="2"/>
  <c r="I7" i="3"/>
  <c r="I15" i="4"/>
  <c r="H3" i="2"/>
  <c r="H13" i="2"/>
  <c r="I10" i="2"/>
  <c r="H10" i="2"/>
  <c r="I8" i="2"/>
  <c r="H8" i="2"/>
  <c r="Q11" i="5"/>
  <c r="R11" i="5" s="1"/>
  <c r="E27" i="1"/>
  <c r="H9" i="2"/>
  <c r="Q9" i="5"/>
  <c r="R9" i="5" s="1"/>
  <c r="I11" i="4"/>
  <c r="H6" i="3"/>
  <c r="I6" i="4"/>
  <c r="B31" i="1"/>
  <c r="F15" i="1"/>
  <c r="B22" i="1"/>
  <c r="D22" i="1" s="1"/>
  <c r="D17" i="4"/>
  <c r="O16" i="5"/>
  <c r="G2" i="3"/>
  <c r="C7" i="3"/>
  <c r="F17" i="4"/>
  <c r="I13" i="4" s="1"/>
  <c r="H2" i="3"/>
  <c r="O6" i="5"/>
  <c r="Q6" i="5" s="1"/>
  <c r="R6" i="5" s="1"/>
  <c r="G7" i="4"/>
  <c r="G9" i="4"/>
  <c r="G11" i="4"/>
  <c r="O12" i="5"/>
  <c r="Q12" i="5" s="1"/>
  <c r="R12" i="5" s="1"/>
  <c r="E2" i="2"/>
  <c r="I11" i="2" s="1"/>
  <c r="H4" i="2"/>
  <c r="O7" i="5"/>
  <c r="Q7" i="5" s="1"/>
  <c r="R7" i="5" s="1"/>
  <c r="G5" i="3"/>
  <c r="C25" i="1"/>
  <c r="C27" i="1" s="1"/>
  <c r="O13" i="5"/>
  <c r="Q13" i="5" s="1"/>
  <c r="R13" i="5" s="1"/>
  <c r="G3" i="3"/>
  <c r="O9" i="5"/>
  <c r="H16" i="4" l="1"/>
  <c r="H14" i="4"/>
  <c r="H15" i="4"/>
  <c r="H13" i="4"/>
  <c r="H11" i="4"/>
  <c r="H9" i="4"/>
  <c r="H7" i="4"/>
  <c r="H10" i="4"/>
  <c r="E14" i="2"/>
  <c r="H14" i="2" s="1"/>
  <c r="I2" i="2"/>
  <c r="H2" i="2"/>
  <c r="I5" i="2"/>
  <c r="I3" i="2"/>
  <c r="H7" i="3"/>
  <c r="H12" i="4"/>
  <c r="H6" i="4"/>
  <c r="I13" i="2"/>
  <c r="I4" i="2"/>
  <c r="I6" i="2"/>
  <c r="H8" i="4"/>
  <c r="I9" i="2"/>
  <c r="G17" i="4"/>
  <c r="I16" i="4"/>
  <c r="I14" i="4"/>
  <c r="I12" i="4"/>
  <c r="I10" i="4"/>
  <c r="I8" i="4"/>
  <c r="I17" i="4" s="1"/>
  <c r="G7" i="3"/>
  <c r="H4" i="3"/>
  <c r="I12" i="2"/>
  <c r="C4" i="7"/>
  <c r="D3" i="7"/>
  <c r="C5" i="7" l="1"/>
  <c r="D4" i="7"/>
  <c r="J15" i="4"/>
  <c r="K15" i="4" s="1"/>
  <c r="B15" i="5" s="1"/>
  <c r="J13" i="4"/>
  <c r="K13" i="4" s="1"/>
  <c r="B13" i="5" s="1"/>
  <c r="J11" i="4"/>
  <c r="K11" i="4" s="1"/>
  <c r="B11" i="5" s="1"/>
  <c r="J9" i="4"/>
  <c r="K9" i="4" s="1"/>
  <c r="B9" i="5" s="1"/>
  <c r="J7" i="4"/>
  <c r="K7" i="4" s="1"/>
  <c r="B7" i="5" s="1"/>
  <c r="H17" i="4"/>
  <c r="J16" i="4"/>
  <c r="K16" i="4" s="1"/>
  <c r="B16" i="5" s="1"/>
  <c r="J14" i="4"/>
  <c r="K14" i="4" s="1"/>
  <c r="B14" i="5" s="1"/>
  <c r="J12" i="4"/>
  <c r="K12" i="4" s="1"/>
  <c r="B12" i="5" s="1"/>
  <c r="J10" i="4"/>
  <c r="K10" i="4" s="1"/>
  <c r="B10" i="5" s="1"/>
  <c r="J8" i="4"/>
  <c r="K8" i="4" s="1"/>
  <c r="B8" i="5" s="1"/>
  <c r="J6" i="4"/>
  <c r="K6" i="4" s="1"/>
  <c r="B6" i="5" s="1"/>
  <c r="I14" i="2"/>
  <c r="T8" i="5" l="1"/>
  <c r="S8" i="5"/>
  <c r="T12" i="5"/>
  <c r="S12" i="5"/>
  <c r="T16" i="5"/>
  <c r="S16" i="5"/>
  <c r="T6" i="5"/>
  <c r="S6" i="5"/>
  <c r="T7" i="5"/>
  <c r="S7" i="5"/>
  <c r="T9" i="5"/>
  <c r="S9" i="5"/>
  <c r="T11" i="5"/>
  <c r="S11" i="5"/>
  <c r="T14" i="5"/>
  <c r="S14" i="5"/>
  <c r="T10" i="5"/>
  <c r="S10" i="5"/>
  <c r="T15" i="5"/>
  <c r="S15" i="5"/>
  <c r="T13" i="5"/>
  <c r="S13" i="5"/>
  <c r="C6" i="7"/>
  <c r="D5" i="7"/>
  <c r="C7" i="7" l="1"/>
  <c r="D6" i="7"/>
  <c r="C8" i="7" l="1"/>
  <c r="D7" i="7"/>
  <c r="C9" i="7" l="1"/>
  <c r="D8" i="7"/>
  <c r="D9" i="7" l="1"/>
  <c r="C10" i="7"/>
  <c r="C11" i="7" l="1"/>
  <c r="D10" i="7"/>
  <c r="C12" i="7" l="1"/>
  <c r="D11" i="7"/>
  <c r="C13" i="7" l="1"/>
  <c r="D12" i="7"/>
  <c r="C14" i="7" l="1"/>
  <c r="D13" i="7"/>
  <c r="D14" i="7" l="1"/>
  <c r="C15" i="7"/>
  <c r="C16" i="7" l="1"/>
  <c r="D15" i="7"/>
  <c r="C17" i="7" l="1"/>
  <c r="D16" i="7"/>
  <c r="C18" i="7" l="1"/>
  <c r="D17" i="7"/>
  <c r="C19" i="7" l="1"/>
  <c r="D18" i="7"/>
  <c r="C20" i="7" l="1"/>
  <c r="D19" i="7"/>
  <c r="C21" i="7" l="1"/>
  <c r="D20" i="7"/>
  <c r="C22" i="7" l="1"/>
  <c r="D21" i="7"/>
  <c r="C23" i="7" l="1"/>
  <c r="D22" i="7"/>
  <c r="C24" i="7" l="1"/>
  <c r="D23" i="7"/>
  <c r="C25" i="7" l="1"/>
  <c r="D24" i="7"/>
  <c r="D25" i="7" l="1"/>
  <c r="C26" i="7"/>
  <c r="C27" i="7" l="1"/>
  <c r="D26" i="7"/>
  <c r="C28" i="7" l="1"/>
  <c r="D27" i="7"/>
  <c r="D28" i="7" l="1"/>
  <c r="C29" i="7"/>
  <c r="C30" i="7" l="1"/>
  <c r="D29" i="7"/>
  <c r="C31" i="7" l="1"/>
  <c r="D30" i="7"/>
  <c r="D31" i="7" l="1"/>
  <c r="C32" i="7"/>
  <c r="C33" i="7" l="1"/>
  <c r="D32" i="7"/>
  <c r="C34" i="7" l="1"/>
  <c r="D33" i="7"/>
  <c r="C35" i="7" l="1"/>
  <c r="D34" i="7"/>
  <c r="C36" i="7" l="1"/>
  <c r="D35" i="7"/>
  <c r="D36" i="7" l="1"/>
  <c r="C37" i="7"/>
  <c r="C38" i="7" l="1"/>
  <c r="D37" i="7"/>
  <c r="C39" i="7" l="1"/>
  <c r="D38" i="7"/>
  <c r="C40" i="7" l="1"/>
  <c r="D39" i="7"/>
  <c r="D40" i="7" l="1"/>
  <c r="C41" i="7"/>
  <c r="C42" i="7" l="1"/>
  <c r="D41" i="7"/>
  <c r="D42" i="7" l="1"/>
  <c r="C43" i="7"/>
  <c r="C44" i="7" l="1"/>
  <c r="D43" i="7"/>
  <c r="C45" i="7" l="1"/>
  <c r="D44" i="7"/>
  <c r="C46" i="7" l="1"/>
  <c r="D45" i="7"/>
  <c r="C47" i="7" l="1"/>
  <c r="D46" i="7"/>
  <c r="C48" i="7" l="1"/>
  <c r="D47" i="7"/>
  <c r="D48" i="7" l="1"/>
  <c r="C49" i="7"/>
  <c r="C50" i="7" l="1"/>
  <c r="D49" i="7"/>
  <c r="C51" i="7" l="1"/>
  <c r="D50" i="7"/>
  <c r="C52" i="7" l="1"/>
  <c r="D51" i="7"/>
  <c r="C53" i="7" l="1"/>
  <c r="D52" i="7"/>
  <c r="C54" i="7" l="1"/>
  <c r="D53" i="7"/>
  <c r="C55" i="7" l="1"/>
  <c r="D54" i="7"/>
  <c r="D55" i="7" l="1"/>
  <c r="C56" i="7"/>
  <c r="C57" i="7" l="1"/>
  <c r="D56" i="7"/>
  <c r="C58" i="7" l="1"/>
  <c r="D57" i="7"/>
  <c r="C59" i="7" l="1"/>
  <c r="D58" i="7"/>
  <c r="C60" i="7" l="1"/>
  <c r="D59" i="7"/>
  <c r="C61" i="7" l="1"/>
  <c r="D60" i="7"/>
  <c r="C62" i="7" l="1"/>
  <c r="D61" i="7"/>
  <c r="D62" i="7" l="1"/>
  <c r="C63" i="7"/>
  <c r="C64" i="7" l="1"/>
  <c r="D63" i="7"/>
  <c r="C65" i="7" l="1"/>
  <c r="D64" i="7"/>
  <c r="C66" i="7" l="1"/>
  <c r="D65" i="7"/>
  <c r="C67" i="7" l="1"/>
  <c r="D66" i="7"/>
  <c r="C68" i="7" l="1"/>
  <c r="D67" i="7"/>
  <c r="C69" i="7" l="1"/>
  <c r="D68" i="7"/>
  <c r="C70" i="7" l="1"/>
  <c r="D69" i="7"/>
  <c r="C71" i="7" l="1"/>
  <c r="D70" i="7"/>
  <c r="C72" i="7" l="1"/>
  <c r="D71" i="7"/>
  <c r="C73" i="7" l="1"/>
  <c r="D72" i="7"/>
  <c r="C74" i="7" l="1"/>
  <c r="D73" i="7"/>
  <c r="D74" i="7" l="1"/>
  <c r="C75" i="7"/>
  <c r="C76" i="7" l="1"/>
  <c r="D75" i="7"/>
  <c r="C77" i="7" l="1"/>
  <c r="D76" i="7"/>
  <c r="C78" i="7" l="1"/>
  <c r="D77" i="7"/>
  <c r="D78" i="7" l="1"/>
  <c r="C79" i="7"/>
  <c r="C80" i="7" l="1"/>
  <c r="D79" i="7"/>
  <c r="C81" i="7" l="1"/>
  <c r="D80" i="7"/>
  <c r="C82" i="7" l="1"/>
  <c r="D81" i="7"/>
  <c r="C83" i="7" l="1"/>
  <c r="D82" i="7"/>
  <c r="D83" i="7" l="1"/>
  <c r="C84" i="7"/>
  <c r="C85" i="7" l="1"/>
  <c r="D84" i="7"/>
  <c r="C86" i="7" l="1"/>
  <c r="D85" i="7"/>
  <c r="C87" i="7" l="1"/>
  <c r="D86" i="7"/>
  <c r="C88" i="7" l="1"/>
  <c r="D87" i="7"/>
  <c r="C89" i="7" l="1"/>
  <c r="D88" i="7"/>
  <c r="C90" i="7" l="1"/>
  <c r="D89" i="7"/>
  <c r="D90" i="7" l="1"/>
  <c r="C91" i="7"/>
  <c r="C92" i="7" l="1"/>
  <c r="D91" i="7"/>
  <c r="C93" i="7" l="1"/>
  <c r="D92" i="7"/>
  <c r="C94" i="7" l="1"/>
  <c r="D93" i="7"/>
  <c r="D94" i="7" l="1"/>
  <c r="C95" i="7"/>
  <c r="C96" i="7" l="1"/>
  <c r="D95" i="7"/>
  <c r="C97" i="7" l="1"/>
  <c r="D96" i="7"/>
  <c r="D97" i="7" l="1"/>
  <c r="C98" i="7"/>
  <c r="C99" i="7" l="1"/>
  <c r="D98" i="7"/>
  <c r="C100" i="7" l="1"/>
  <c r="D99" i="7"/>
  <c r="C101" i="7" l="1"/>
  <c r="D100" i="7"/>
  <c r="C102" i="7" l="1"/>
  <c r="D101" i="7"/>
  <c r="C103" i="7" l="1"/>
  <c r="D102" i="7"/>
  <c r="C104" i="7" l="1"/>
  <c r="D103" i="7"/>
  <c r="C105" i="7" l="1"/>
  <c r="D104" i="7"/>
  <c r="C106" i="7" l="1"/>
  <c r="D105" i="7"/>
  <c r="D106" i="7" l="1"/>
  <c r="C107" i="7"/>
  <c r="C108" i="7" l="1"/>
  <c r="D107" i="7"/>
  <c r="C109" i="7" l="1"/>
  <c r="D108" i="7"/>
  <c r="C110" i="7" l="1"/>
  <c r="D109" i="7"/>
  <c r="D110" i="7" l="1"/>
  <c r="C111" i="7"/>
  <c r="D111" i="7" l="1"/>
  <c r="C112" i="7"/>
  <c r="C113" i="7" l="1"/>
  <c r="D112" i="7"/>
  <c r="C114" i="7" l="1"/>
  <c r="D113" i="7"/>
  <c r="C115" i="7" l="1"/>
  <c r="D114" i="7"/>
  <c r="C116" i="7" l="1"/>
  <c r="D115" i="7"/>
  <c r="C117" i="7" l="1"/>
  <c r="D116" i="7"/>
  <c r="C118" i="7" l="1"/>
  <c r="D117" i="7"/>
  <c r="C119" i="7" l="1"/>
  <c r="D118" i="7"/>
  <c r="C120" i="7" l="1"/>
  <c r="D119" i="7"/>
  <c r="C121" i="7" l="1"/>
  <c r="D120" i="7"/>
  <c r="C122" i="7" l="1"/>
  <c r="D121" i="7"/>
  <c r="D122" i="7" l="1"/>
  <c r="C123" i="7"/>
  <c r="C124" i="7" l="1"/>
  <c r="D123" i="7"/>
  <c r="C125" i="7" l="1"/>
  <c r="D124" i="7"/>
  <c r="C126" i="7" l="1"/>
  <c r="D125" i="7"/>
  <c r="D126" i="7" l="1"/>
  <c r="C127" i="7"/>
  <c r="C128" i="7" l="1"/>
  <c r="D127" i="7"/>
  <c r="C129" i="7" l="1"/>
  <c r="D128" i="7"/>
  <c r="C130" i="7" l="1"/>
  <c r="D129" i="7"/>
  <c r="C131" i="7" l="1"/>
  <c r="D130" i="7"/>
  <c r="C132" i="7" l="1"/>
  <c r="D131" i="7"/>
  <c r="C133" i="7" l="1"/>
  <c r="D132" i="7"/>
  <c r="C134" i="7" l="1"/>
  <c r="D133" i="7"/>
  <c r="C135" i="7" l="1"/>
  <c r="D134" i="7"/>
  <c r="C136" i="7" l="1"/>
  <c r="D135" i="7"/>
  <c r="C137" i="7" l="1"/>
  <c r="D136" i="7"/>
  <c r="C138" i="7" l="1"/>
  <c r="D137" i="7"/>
  <c r="D138" i="7" l="1"/>
  <c r="C139" i="7"/>
  <c r="C140" i="7" l="1"/>
  <c r="D139" i="7"/>
  <c r="C141" i="7" l="1"/>
  <c r="D140" i="7"/>
  <c r="C142" i="7" l="1"/>
  <c r="D141" i="7"/>
  <c r="D142" i="7" l="1"/>
  <c r="C143" i="7"/>
  <c r="C144" i="7" l="1"/>
  <c r="D143" i="7"/>
  <c r="C145" i="7" l="1"/>
  <c r="D144" i="7"/>
  <c r="C146" i="7" l="1"/>
  <c r="D145" i="7"/>
  <c r="C147" i="7" l="1"/>
  <c r="D146" i="7"/>
  <c r="D147" i="7" l="1"/>
  <c r="C148" i="7"/>
  <c r="C149" i="7" l="1"/>
  <c r="D148" i="7"/>
  <c r="C150" i="7" l="1"/>
  <c r="D149" i="7"/>
  <c r="C151" i="7" l="1"/>
  <c r="D150" i="7"/>
  <c r="C152" i="7" l="1"/>
  <c r="D151" i="7"/>
  <c r="C153" i="7" l="1"/>
  <c r="D152" i="7"/>
  <c r="C154" i="7" l="1"/>
  <c r="D153" i="7"/>
  <c r="D154" i="7" l="1"/>
  <c r="C155" i="7"/>
  <c r="C156" i="7" l="1"/>
  <c r="D155" i="7"/>
  <c r="C157" i="7" l="1"/>
  <c r="D156" i="7"/>
  <c r="C158" i="7" l="1"/>
  <c r="D157" i="7"/>
  <c r="D158" i="7" l="1"/>
  <c r="C159" i="7"/>
  <c r="C160" i="7" l="1"/>
  <c r="D159" i="7"/>
  <c r="C161" i="7" l="1"/>
  <c r="D160" i="7"/>
  <c r="D161" i="7" l="1"/>
  <c r="C162" i="7"/>
  <c r="C163" i="7" l="1"/>
  <c r="D162" i="7"/>
  <c r="C164" i="7" l="1"/>
  <c r="D163" i="7"/>
  <c r="C165" i="7" l="1"/>
  <c r="D164" i="7"/>
  <c r="C166" i="7" l="1"/>
  <c r="D165" i="7"/>
  <c r="C167" i="7" l="1"/>
  <c r="D166" i="7"/>
  <c r="C168" i="7" l="1"/>
  <c r="D167" i="7"/>
  <c r="C169" i="7" l="1"/>
  <c r="D168" i="7"/>
  <c r="C170" i="7" l="1"/>
  <c r="D169" i="7"/>
  <c r="D170" i="7" l="1"/>
  <c r="C171" i="7"/>
  <c r="C172" i="7" l="1"/>
  <c r="D171" i="7"/>
  <c r="C173" i="7" l="1"/>
  <c r="D172" i="7"/>
  <c r="C174" i="7" l="1"/>
  <c r="D173" i="7"/>
  <c r="D174" i="7" l="1"/>
  <c r="C175" i="7"/>
  <c r="D175" i="7" l="1"/>
  <c r="C176" i="7"/>
  <c r="C177" i="7" l="1"/>
  <c r="D176" i="7"/>
  <c r="C178" i="7" l="1"/>
  <c r="D177" i="7"/>
  <c r="C179" i="7" l="1"/>
  <c r="D178" i="7"/>
  <c r="C180" i="7" l="1"/>
  <c r="D179" i="7"/>
  <c r="C181" i="7" l="1"/>
  <c r="D180" i="7"/>
  <c r="C182" i="7" l="1"/>
  <c r="D181" i="7"/>
  <c r="C183" i="7" l="1"/>
  <c r="D182" i="7"/>
  <c r="C184" i="7" l="1"/>
  <c r="D183" i="7"/>
  <c r="C185" i="7" l="1"/>
  <c r="D184" i="7"/>
  <c r="C186" i="7" l="1"/>
  <c r="D185" i="7"/>
  <c r="D186" i="7" l="1"/>
  <c r="C187" i="7"/>
  <c r="C188" i="7" l="1"/>
  <c r="D187" i="7"/>
  <c r="C189" i="7" l="1"/>
  <c r="D188" i="7"/>
  <c r="C190" i="7" l="1"/>
  <c r="D189" i="7"/>
  <c r="D190" i="7" l="1"/>
  <c r="C191" i="7"/>
  <c r="C192" i="7" l="1"/>
  <c r="D191" i="7"/>
  <c r="C193" i="7" l="1"/>
  <c r="D192" i="7"/>
  <c r="C194" i="7" l="1"/>
  <c r="D193" i="7"/>
  <c r="C195" i="7" l="1"/>
  <c r="D194" i="7"/>
  <c r="C196" i="7" l="1"/>
  <c r="D195" i="7"/>
  <c r="C197" i="7" l="1"/>
  <c r="D196" i="7"/>
  <c r="D197" i="7" l="1"/>
  <c r="C198" i="7"/>
  <c r="C199" i="7" l="1"/>
  <c r="D198" i="7"/>
  <c r="D199" i="7" l="1"/>
  <c r="C200" i="7"/>
  <c r="C201" i="7" l="1"/>
  <c r="D200" i="7"/>
  <c r="C202" i="7" l="1"/>
  <c r="D201" i="7"/>
  <c r="D202" i="7" l="1"/>
  <c r="C203" i="7"/>
  <c r="C204" i="7" l="1"/>
  <c r="D203" i="7"/>
  <c r="C205" i="7" l="1"/>
  <c r="D204" i="7"/>
  <c r="D205" i="7" l="1"/>
  <c r="C206" i="7"/>
  <c r="D206" i="7" l="1"/>
  <c r="C207" i="7"/>
  <c r="C208" i="7" l="1"/>
  <c r="D207" i="7"/>
  <c r="C209" i="7" l="1"/>
  <c r="D208" i="7"/>
  <c r="C210" i="7" l="1"/>
  <c r="D209" i="7"/>
  <c r="C211" i="7" l="1"/>
  <c r="D210" i="7"/>
  <c r="C212" i="7" l="1"/>
  <c r="D211" i="7"/>
  <c r="C213" i="7" l="1"/>
  <c r="D212" i="7"/>
  <c r="C214" i="7" l="1"/>
  <c r="D213" i="7"/>
  <c r="C215" i="7" l="1"/>
  <c r="D214" i="7"/>
  <c r="D215" i="7" l="1"/>
  <c r="C216" i="7"/>
  <c r="C217" i="7" l="1"/>
  <c r="D216" i="7"/>
  <c r="C218" i="7" l="1"/>
  <c r="D217" i="7"/>
  <c r="D218" i="7" l="1"/>
  <c r="C219" i="7"/>
  <c r="C220" i="7" l="1"/>
  <c r="D219" i="7"/>
  <c r="C221" i="7" l="1"/>
  <c r="D220" i="7"/>
  <c r="C222" i="7" l="1"/>
  <c r="D221" i="7"/>
  <c r="D222" i="7" l="1"/>
  <c r="C223" i="7"/>
  <c r="C224" i="7" l="1"/>
  <c r="D223" i="7"/>
  <c r="C225" i="7" l="1"/>
  <c r="D224" i="7"/>
  <c r="C226" i="7" l="1"/>
  <c r="D225" i="7"/>
  <c r="C227" i="7" l="1"/>
  <c r="D226" i="7"/>
  <c r="D227" i="7" l="1"/>
  <c r="C228" i="7"/>
  <c r="C229" i="7" l="1"/>
  <c r="D228" i="7"/>
  <c r="C230" i="7" l="1"/>
  <c r="D229" i="7"/>
  <c r="C231" i="7" l="1"/>
  <c r="D230" i="7"/>
  <c r="D231" i="7" l="1"/>
  <c r="C232" i="7"/>
  <c r="C233" i="7" l="1"/>
  <c r="D232" i="7"/>
  <c r="C234" i="7" l="1"/>
  <c r="D233" i="7"/>
  <c r="D234" i="7" l="1"/>
  <c r="C235" i="7"/>
  <c r="C236" i="7" l="1"/>
  <c r="D235" i="7"/>
  <c r="C237" i="7" l="1"/>
  <c r="D236" i="7"/>
  <c r="C238" i="7" l="1"/>
  <c r="D237" i="7"/>
  <c r="D238" i="7" l="1"/>
  <c r="C239" i="7"/>
  <c r="C240" i="7" l="1"/>
  <c r="D239" i="7"/>
  <c r="C241" i="7" l="1"/>
  <c r="D240" i="7"/>
  <c r="C242" i="7" l="1"/>
  <c r="D241" i="7"/>
  <c r="C243" i="7" l="1"/>
  <c r="D242" i="7"/>
  <c r="D243" i="7" l="1"/>
  <c r="C244" i="7"/>
  <c r="C245" i="7" l="1"/>
  <c r="D244" i="7"/>
  <c r="C246" i="7" l="1"/>
  <c r="D245" i="7"/>
  <c r="C247" i="7" l="1"/>
  <c r="D246" i="7"/>
  <c r="C248" i="7" l="1"/>
  <c r="D247" i="7"/>
  <c r="C249" i="7" l="1"/>
  <c r="D248" i="7"/>
  <c r="C250" i="7" l="1"/>
  <c r="D249" i="7"/>
  <c r="D250" i="7" l="1"/>
  <c r="C251" i="7"/>
  <c r="C252" i="7" l="1"/>
  <c r="D251" i="7"/>
  <c r="C253" i="7" l="1"/>
  <c r="D252" i="7"/>
  <c r="C254" i="7" l="1"/>
  <c r="D253" i="7"/>
  <c r="D254" i="7" l="1"/>
  <c r="C255" i="7"/>
  <c r="C256" i="7" l="1"/>
  <c r="D255" i="7"/>
  <c r="C257" i="7" l="1"/>
  <c r="D256" i="7"/>
  <c r="C258" i="7" l="1"/>
  <c r="D257" i="7"/>
  <c r="C259" i="7" l="1"/>
  <c r="D258" i="7"/>
  <c r="D259" i="7" l="1"/>
  <c r="C260" i="7"/>
  <c r="C261" i="7" l="1"/>
  <c r="D260" i="7"/>
  <c r="D261" i="7" l="1"/>
  <c r="C262" i="7"/>
  <c r="C263" i="7" l="1"/>
  <c r="D262" i="7"/>
  <c r="C264" i="7" l="1"/>
  <c r="D263" i="7"/>
  <c r="C265" i="7" l="1"/>
  <c r="D264" i="7"/>
  <c r="C266" i="7" l="1"/>
  <c r="D265" i="7"/>
  <c r="D266" i="7" l="1"/>
  <c r="C267" i="7"/>
  <c r="C268" i="7" l="1"/>
  <c r="D267" i="7"/>
  <c r="C269" i="7" l="1"/>
  <c r="D268" i="7"/>
  <c r="C270" i="7" l="1"/>
  <c r="D269" i="7"/>
  <c r="D270" i="7" l="1"/>
  <c r="C271" i="7"/>
  <c r="C272" i="7" l="1"/>
  <c r="D271" i="7"/>
  <c r="C273" i="7" l="1"/>
  <c r="D272" i="7"/>
  <c r="C274" i="7" l="1"/>
  <c r="D273" i="7"/>
  <c r="C275" i="7" l="1"/>
  <c r="D274" i="7"/>
  <c r="D275" i="7" l="1"/>
  <c r="C276" i="7"/>
  <c r="C277" i="7" l="1"/>
  <c r="D276" i="7"/>
  <c r="C278" i="7" l="1"/>
  <c r="D277" i="7"/>
  <c r="C279" i="7" l="1"/>
  <c r="D278" i="7"/>
  <c r="C280" i="7" l="1"/>
  <c r="D279" i="7"/>
  <c r="C281" i="7" l="1"/>
  <c r="D280" i="7"/>
  <c r="C282" i="7" l="1"/>
  <c r="D281" i="7"/>
  <c r="D282" i="7" l="1"/>
  <c r="C283" i="7"/>
  <c r="C284" i="7" l="1"/>
  <c r="D283" i="7"/>
  <c r="C285" i="7" l="1"/>
  <c r="D284" i="7"/>
  <c r="C286" i="7" l="1"/>
  <c r="D285" i="7"/>
  <c r="D286" i="7" l="1"/>
  <c r="C287" i="7"/>
  <c r="D287" i="7" l="1"/>
  <c r="C288" i="7"/>
  <c r="C289" i="7" l="1"/>
  <c r="D288" i="7"/>
  <c r="C290" i="7" l="1"/>
  <c r="D289" i="7"/>
  <c r="C291" i="7" l="1"/>
  <c r="D290" i="7"/>
  <c r="D291" i="7" l="1"/>
  <c r="C292" i="7"/>
  <c r="C293" i="7" l="1"/>
  <c r="D292" i="7"/>
  <c r="C294" i="7" l="1"/>
  <c r="D293" i="7"/>
  <c r="C295" i="7" l="1"/>
  <c r="D294" i="7"/>
  <c r="C296" i="7" l="1"/>
  <c r="D295" i="7"/>
  <c r="C297" i="7" l="1"/>
  <c r="D296" i="7"/>
  <c r="C298" i="7" l="1"/>
  <c r="D297" i="7"/>
  <c r="D298" i="7" l="1"/>
  <c r="C299" i="7"/>
  <c r="C300" i="7" l="1"/>
  <c r="D299" i="7"/>
  <c r="C301" i="7" l="1"/>
  <c r="D300" i="7"/>
  <c r="C302" i="7" l="1"/>
  <c r="D301" i="7"/>
  <c r="D302" i="7" l="1"/>
  <c r="C303" i="7"/>
  <c r="C304" i="7" l="1"/>
  <c r="D303" i="7"/>
  <c r="C305" i="7" l="1"/>
  <c r="D304" i="7"/>
  <c r="C306" i="7" l="1"/>
  <c r="D305" i="7"/>
  <c r="C307" i="7" l="1"/>
  <c r="D306" i="7"/>
  <c r="D307" i="7" l="1"/>
  <c r="C308" i="7"/>
  <c r="C309" i="7" l="1"/>
  <c r="D308" i="7"/>
  <c r="C310" i="7" l="1"/>
  <c r="D309" i="7"/>
  <c r="C311" i="7" l="1"/>
  <c r="D310" i="7"/>
  <c r="C312" i="7" l="1"/>
  <c r="D311" i="7"/>
  <c r="C313" i="7" l="1"/>
  <c r="D312" i="7"/>
  <c r="D313" i="7" l="1"/>
  <c r="C314" i="7"/>
  <c r="D314" i="7" l="1"/>
  <c r="C315" i="7"/>
  <c r="C316" i="7" l="1"/>
  <c r="D315" i="7"/>
  <c r="C317" i="7" l="1"/>
  <c r="D316" i="7"/>
  <c r="C318" i="7" l="1"/>
  <c r="D317" i="7"/>
  <c r="D318" i="7" l="1"/>
  <c r="C319" i="7"/>
  <c r="C320" i="7" l="1"/>
  <c r="D319" i="7"/>
  <c r="C321" i="7" l="1"/>
  <c r="D320" i="7"/>
  <c r="C322" i="7" l="1"/>
  <c r="D321" i="7"/>
  <c r="C323" i="7" l="1"/>
  <c r="D322" i="7"/>
  <c r="D323" i="7" l="1"/>
  <c r="C324" i="7"/>
  <c r="C325" i="7" l="1"/>
  <c r="D324" i="7"/>
  <c r="C326" i="7" l="1"/>
  <c r="D325" i="7"/>
  <c r="C327" i="7" l="1"/>
  <c r="D326" i="7"/>
  <c r="C328" i="7" l="1"/>
  <c r="D327" i="7"/>
  <c r="C329" i="7" l="1"/>
  <c r="D328" i="7"/>
  <c r="C330" i="7" l="1"/>
  <c r="D329" i="7"/>
  <c r="D330" i="7" l="1"/>
  <c r="C331" i="7"/>
  <c r="C332" i="7" l="1"/>
  <c r="D331" i="7"/>
  <c r="C333" i="7" l="1"/>
  <c r="D332" i="7"/>
  <c r="C334" i="7" l="1"/>
  <c r="D333" i="7"/>
  <c r="D334" i="7" l="1"/>
  <c r="C335" i="7"/>
  <c r="C336" i="7" l="1"/>
  <c r="D335" i="7"/>
  <c r="C337" i="7" l="1"/>
  <c r="D336" i="7"/>
  <c r="C338" i="7" l="1"/>
  <c r="D337" i="7"/>
  <c r="C339" i="7" l="1"/>
  <c r="D338" i="7"/>
  <c r="D339" i="7" l="1"/>
  <c r="C340" i="7"/>
  <c r="C341" i="7" l="1"/>
  <c r="D340" i="7"/>
  <c r="C342" i="7" l="1"/>
  <c r="D341" i="7"/>
  <c r="C343" i="7" l="1"/>
  <c r="D342" i="7"/>
  <c r="C344" i="7" l="1"/>
  <c r="D343" i="7"/>
  <c r="C345" i="7" l="1"/>
  <c r="D344" i="7"/>
  <c r="D345" i="7" l="1"/>
  <c r="C346" i="7"/>
  <c r="C347" i="7" l="1"/>
  <c r="D346" i="7"/>
  <c r="C348" i="7" l="1"/>
  <c r="D347" i="7"/>
  <c r="C349" i="7" l="1"/>
  <c r="D348" i="7"/>
  <c r="C350" i="7" l="1"/>
  <c r="D349" i="7"/>
  <c r="D350" i="7" l="1"/>
  <c r="C351" i="7"/>
  <c r="C352" i="7" l="1"/>
  <c r="D351" i="7"/>
  <c r="D352" i="7" l="1"/>
  <c r="C353" i="7"/>
  <c r="C354" i="7" l="1"/>
  <c r="D353" i="7"/>
  <c r="C355" i="7" l="1"/>
  <c r="D354" i="7"/>
  <c r="C356" i="7" l="1"/>
  <c r="D355" i="7"/>
  <c r="D356" i="7" l="1"/>
  <c r="C357" i="7"/>
  <c r="C358" i="7" l="1"/>
  <c r="D357" i="7"/>
  <c r="C359" i="7" l="1"/>
  <c r="D358" i="7"/>
  <c r="C360" i="7" l="1"/>
  <c r="D359" i="7"/>
  <c r="C361" i="7" l="1"/>
  <c r="D360" i="7"/>
  <c r="C362" i="7" l="1"/>
  <c r="D361" i="7"/>
  <c r="C363" i="7" l="1"/>
  <c r="D362" i="7"/>
  <c r="D363" i="7" l="1"/>
  <c r="C364" i="7"/>
  <c r="C365" i="7" l="1"/>
  <c r="D364" i="7"/>
  <c r="C366" i="7" l="1"/>
  <c r="D365" i="7"/>
  <c r="D366" i="7" l="1"/>
  <c r="C367" i="7"/>
  <c r="D367" i="7" l="1"/>
  <c r="C368" i="7"/>
  <c r="C369" i="7" l="1"/>
  <c r="D368" i="7"/>
  <c r="C370" i="7" l="1"/>
  <c r="D369" i="7"/>
  <c r="C371" i="7" l="1"/>
  <c r="D370" i="7"/>
  <c r="C372" i="7" l="1"/>
  <c r="D371" i="7"/>
  <c r="C373" i="7" l="1"/>
  <c r="D372" i="7"/>
  <c r="D373" i="7" l="1"/>
  <c r="C374" i="7"/>
  <c r="D374" i="7" l="1"/>
  <c r="C375" i="7"/>
  <c r="C376" i="7" l="1"/>
  <c r="D375" i="7"/>
  <c r="C377" i="7" l="1"/>
  <c r="D376" i="7"/>
  <c r="C378" i="7" l="1"/>
  <c r="D377" i="7"/>
  <c r="D378" i="7" l="1"/>
  <c r="C379" i="7"/>
  <c r="C380" i="7" l="1"/>
  <c r="D379" i="7"/>
  <c r="C381" i="7" l="1"/>
  <c r="D380" i="7"/>
  <c r="C382" i="7" l="1"/>
  <c r="D381" i="7"/>
  <c r="D382" i="7" l="1"/>
  <c r="C383" i="7"/>
  <c r="C384" i="7" l="1"/>
  <c r="D383" i="7"/>
  <c r="D384" i="7" l="1"/>
  <c r="C385" i="7"/>
  <c r="C386" i="7" l="1"/>
  <c r="D385" i="7"/>
  <c r="C387" i="7" l="1"/>
  <c r="D386" i="7"/>
  <c r="C388" i="7" l="1"/>
  <c r="D387" i="7"/>
  <c r="C389" i="7" l="1"/>
  <c r="D388" i="7"/>
  <c r="D389" i="7" l="1"/>
  <c r="C390" i="7"/>
  <c r="C391" i="7" l="1"/>
  <c r="D390" i="7"/>
  <c r="C392" i="7" l="1"/>
  <c r="D391" i="7"/>
  <c r="C393" i="7" l="1"/>
  <c r="D392" i="7"/>
  <c r="C394" i="7" l="1"/>
  <c r="D393" i="7"/>
  <c r="C395" i="7" l="1"/>
  <c r="D394" i="7"/>
  <c r="D395" i="7" l="1"/>
  <c r="C396" i="7"/>
  <c r="C397" i="7" l="1"/>
  <c r="D396" i="7"/>
  <c r="C398" i="7" l="1"/>
  <c r="D397" i="7"/>
  <c r="D398" i="7" l="1"/>
  <c r="C399" i="7"/>
  <c r="C400" i="7" l="1"/>
  <c r="D399" i="7"/>
  <c r="C401" i="7" l="1"/>
  <c r="D400" i="7"/>
  <c r="C402" i="7" l="1"/>
  <c r="D401" i="7"/>
  <c r="D402" i="7" l="1"/>
  <c r="C403" i="7"/>
  <c r="C404" i="7" l="1"/>
  <c r="D403" i="7"/>
  <c r="C405" i="7" l="1"/>
  <c r="D404" i="7"/>
  <c r="C406" i="7" l="1"/>
  <c r="D405" i="7"/>
  <c r="D406" i="7" l="1"/>
  <c r="C407" i="7"/>
  <c r="C408" i="7" l="1"/>
  <c r="D407" i="7"/>
  <c r="C409" i="7" l="1"/>
  <c r="D408" i="7"/>
  <c r="C410" i="7" l="1"/>
  <c r="D409" i="7"/>
  <c r="C411" i="7" l="1"/>
  <c r="D410" i="7"/>
  <c r="C412" i="7" l="1"/>
  <c r="D411" i="7"/>
  <c r="C413" i="7" l="1"/>
  <c r="D412" i="7"/>
  <c r="D413" i="7" l="1"/>
  <c r="C414" i="7"/>
  <c r="D414" i="7" l="1"/>
  <c r="C415" i="7"/>
  <c r="C416" i="7" l="1"/>
  <c r="D415" i="7"/>
  <c r="C417" i="7" l="1"/>
  <c r="D416" i="7"/>
  <c r="D417" i="7" l="1"/>
  <c r="C418" i="7"/>
  <c r="C419" i="7" l="1"/>
  <c r="D418" i="7"/>
  <c r="C420" i="7" l="1"/>
  <c r="D419" i="7"/>
  <c r="C421" i="7" l="1"/>
  <c r="D420" i="7"/>
  <c r="C422" i="7" l="1"/>
  <c r="D421" i="7"/>
  <c r="C423" i="7" l="1"/>
  <c r="D422" i="7"/>
  <c r="C424" i="7" l="1"/>
  <c r="D423" i="7"/>
  <c r="C425" i="7" l="1"/>
  <c r="D424" i="7"/>
  <c r="C426" i="7" l="1"/>
  <c r="D425" i="7"/>
  <c r="C427" i="7" l="1"/>
  <c r="D426" i="7"/>
  <c r="C428" i="7" l="1"/>
  <c r="D427" i="7"/>
  <c r="C429" i="7" l="1"/>
  <c r="D428" i="7"/>
  <c r="C430" i="7" l="1"/>
  <c r="D429" i="7"/>
  <c r="D430" i="7" l="1"/>
  <c r="C431" i="7"/>
  <c r="C432" i="7" l="1"/>
  <c r="D431" i="7"/>
  <c r="D432" i="7" l="1"/>
  <c r="C433" i="7"/>
  <c r="C434" i="7" l="1"/>
  <c r="D433" i="7"/>
  <c r="C435" i="7" l="1"/>
  <c r="D434" i="7"/>
  <c r="C436" i="7" l="1"/>
  <c r="D435" i="7"/>
  <c r="D436" i="7" l="1"/>
  <c r="C437" i="7"/>
  <c r="C438" i="7" l="1"/>
  <c r="D437" i="7"/>
  <c r="C439" i="7" l="1"/>
  <c r="D438" i="7"/>
  <c r="C440" i="7" l="1"/>
  <c r="D439" i="7"/>
  <c r="C441" i="7" l="1"/>
  <c r="D440" i="7"/>
  <c r="C442" i="7" l="1"/>
  <c r="D441" i="7"/>
  <c r="C443" i="7" l="1"/>
  <c r="D442" i="7"/>
  <c r="C444" i="7" l="1"/>
  <c r="D443" i="7"/>
  <c r="C445" i="7" l="1"/>
  <c r="D444" i="7"/>
  <c r="C446" i="7" l="1"/>
  <c r="D445" i="7"/>
  <c r="D446" i="7" l="1"/>
  <c r="C447" i="7"/>
  <c r="C448" i="7" l="1"/>
  <c r="D447" i="7"/>
  <c r="D448" i="7" l="1"/>
  <c r="C449" i="7"/>
  <c r="C450" i="7" l="1"/>
  <c r="D449" i="7"/>
  <c r="C451" i="7" l="1"/>
  <c r="D450" i="7"/>
  <c r="C452" i="7" l="1"/>
  <c r="D451" i="7"/>
  <c r="D452" i="7" l="1"/>
  <c r="C453" i="7"/>
  <c r="C454" i="7" l="1"/>
  <c r="D453" i="7"/>
  <c r="C455" i="7" l="1"/>
  <c r="D454" i="7"/>
  <c r="C456" i="7" l="1"/>
  <c r="D455" i="7"/>
  <c r="C457" i="7" l="1"/>
  <c r="D456" i="7"/>
  <c r="C458" i="7" l="1"/>
  <c r="D457" i="7"/>
  <c r="C459" i="7" l="1"/>
  <c r="D458" i="7"/>
  <c r="C460" i="7" l="1"/>
  <c r="D459" i="7"/>
  <c r="C461" i="7" l="1"/>
  <c r="D460" i="7"/>
  <c r="C462" i="7" l="1"/>
  <c r="D461" i="7"/>
  <c r="D462" i="7" l="1"/>
  <c r="C463" i="7"/>
  <c r="C464" i="7" l="1"/>
  <c r="D463" i="7"/>
  <c r="D464" i="7" l="1"/>
  <c r="C465" i="7"/>
  <c r="D465" i="7" l="1"/>
  <c r="C466" i="7"/>
  <c r="C467" i="7" l="1"/>
  <c r="D466" i="7"/>
  <c r="C468" i="7" l="1"/>
  <c r="D467" i="7"/>
  <c r="C469" i="7" l="1"/>
  <c r="D468" i="7"/>
  <c r="D469" i="7" l="1"/>
  <c r="C470" i="7"/>
  <c r="C471" i="7" l="1"/>
  <c r="D470" i="7"/>
  <c r="C472" i="7" l="1"/>
  <c r="D471" i="7"/>
  <c r="C473" i="7" l="1"/>
  <c r="D472" i="7"/>
  <c r="C474" i="7" l="1"/>
  <c r="D473" i="7"/>
  <c r="C475" i="7" l="1"/>
  <c r="D474" i="7"/>
  <c r="D475" i="7" l="1"/>
  <c r="C476" i="7"/>
  <c r="C477" i="7" l="1"/>
  <c r="D476" i="7"/>
  <c r="C478" i="7" l="1"/>
  <c r="D477" i="7"/>
  <c r="D478" i="7" l="1"/>
  <c r="C479" i="7"/>
  <c r="C480" i="7" l="1"/>
  <c r="D479" i="7"/>
  <c r="D480" i="7" l="1"/>
  <c r="C481" i="7"/>
  <c r="C482" i="7" l="1"/>
  <c r="D481" i="7"/>
  <c r="C483" i="7" l="1"/>
  <c r="D482" i="7"/>
  <c r="D483" i="7" l="1"/>
  <c r="C484" i="7"/>
  <c r="C485" i="7" l="1"/>
  <c r="D484" i="7"/>
  <c r="D485" i="7" l="1"/>
  <c r="C486" i="7"/>
  <c r="C487" i="7" l="1"/>
  <c r="D486" i="7"/>
  <c r="D487" i="7" l="1"/>
  <c r="C488" i="7"/>
  <c r="C489" i="7" l="1"/>
  <c r="D488" i="7"/>
  <c r="D489" i="7" l="1"/>
  <c r="C490" i="7"/>
  <c r="C491" i="7" l="1"/>
  <c r="D490" i="7"/>
  <c r="C492" i="7" l="1"/>
  <c r="D491" i="7"/>
  <c r="C493" i="7" l="1"/>
  <c r="D492" i="7"/>
  <c r="D493" i="7" l="1"/>
  <c r="C494" i="7"/>
  <c r="D494" i="7" l="1"/>
  <c r="C495" i="7"/>
  <c r="C496" i="7" l="1"/>
  <c r="D495" i="7"/>
  <c r="D496" i="7" l="1"/>
  <c r="C497" i="7"/>
  <c r="C498" i="7" l="1"/>
  <c r="D497" i="7"/>
  <c r="C499" i="7" l="1"/>
  <c r="D498" i="7"/>
  <c r="C500" i="7" l="1"/>
  <c r="D499" i="7"/>
  <c r="C501" i="7" l="1"/>
  <c r="D500" i="7"/>
  <c r="D501" i="7" l="1"/>
  <c r="C502" i="7"/>
  <c r="C503" i="7" l="1"/>
  <c r="D502" i="7"/>
  <c r="C504" i="7" l="1"/>
  <c r="D503" i="7"/>
  <c r="C505" i="7" l="1"/>
  <c r="D504" i="7"/>
  <c r="C506" i="7" l="1"/>
  <c r="D505" i="7"/>
  <c r="C507" i="7" l="1"/>
  <c r="D506" i="7"/>
  <c r="C508" i="7" l="1"/>
  <c r="D507" i="7"/>
  <c r="C509" i="7" l="1"/>
  <c r="D508" i="7"/>
  <c r="C510" i="7" l="1"/>
  <c r="D509" i="7"/>
  <c r="D510" i="7" l="1"/>
  <c r="C511" i="7"/>
  <c r="C512" i="7" l="1"/>
  <c r="D511" i="7"/>
  <c r="D512" i="7" l="1"/>
  <c r="C513" i="7"/>
  <c r="C514" i="7" l="1"/>
  <c r="D513" i="7"/>
  <c r="D514" i="7" l="1"/>
  <c r="C515" i="7"/>
  <c r="C516" i="7" l="1"/>
  <c r="D515" i="7"/>
  <c r="C517" i="7" l="1"/>
  <c r="D516" i="7"/>
  <c r="D517" i="7" l="1"/>
  <c r="C518" i="7"/>
  <c r="D518" i="7" l="1"/>
  <c r="C519" i="7"/>
  <c r="C520" i="7" l="1"/>
  <c r="D519" i="7"/>
  <c r="C521" i="7" l="1"/>
  <c r="D520" i="7"/>
  <c r="C522" i="7" l="1"/>
  <c r="D521" i="7"/>
  <c r="C523" i="7" l="1"/>
  <c r="D522" i="7"/>
  <c r="C524" i="7" l="1"/>
  <c r="D523" i="7"/>
  <c r="D524" i="7" l="1"/>
  <c r="C525" i="7"/>
  <c r="C526" i="7" l="1"/>
  <c r="D525" i="7"/>
  <c r="D526" i="7" l="1"/>
  <c r="C527" i="7"/>
  <c r="C528" i="7" l="1"/>
  <c r="D527" i="7"/>
  <c r="D528" i="7" l="1"/>
  <c r="C529" i="7"/>
  <c r="D529" i="7" l="1"/>
  <c r="C530" i="7"/>
  <c r="C531" i="7" l="1"/>
  <c r="D530" i="7"/>
  <c r="D531" i="7" l="1"/>
  <c r="C532" i="7"/>
  <c r="C533" i="7" l="1"/>
  <c r="D532" i="7"/>
  <c r="D533" i="7" l="1"/>
  <c r="C534" i="7"/>
  <c r="C535" i="7" l="1"/>
  <c r="D534" i="7"/>
  <c r="C536" i="7" l="1"/>
  <c r="D535" i="7"/>
  <c r="C537" i="7" l="1"/>
  <c r="D536" i="7"/>
  <c r="D537" i="7" l="1"/>
  <c r="C538" i="7"/>
  <c r="C539" i="7" l="1"/>
  <c r="D538" i="7"/>
  <c r="C540" i="7" l="1"/>
  <c r="D539" i="7"/>
  <c r="C541" i="7" l="1"/>
  <c r="D540" i="7"/>
  <c r="C542" i="7" l="1"/>
  <c r="D541" i="7"/>
  <c r="D542" i="7" l="1"/>
  <c r="C543" i="7"/>
  <c r="C544" i="7" l="1"/>
  <c r="D543" i="7"/>
  <c r="D544" i="7" l="1"/>
  <c r="C545" i="7"/>
  <c r="D545" i="7" l="1"/>
  <c r="C546" i="7"/>
  <c r="C547" i="7" l="1"/>
  <c r="D546" i="7"/>
  <c r="C548" i="7" l="1"/>
  <c r="D547" i="7"/>
  <c r="C549" i="7" l="1"/>
  <c r="D548" i="7"/>
  <c r="D549" i="7" l="1"/>
  <c r="C550" i="7"/>
  <c r="C551" i="7" l="1"/>
  <c r="D550" i="7"/>
  <c r="C552" i="7" l="1"/>
  <c r="D551" i="7"/>
  <c r="C553" i="7" l="1"/>
  <c r="D552" i="7"/>
  <c r="C554" i="7" l="1"/>
  <c r="D553" i="7"/>
  <c r="C555" i="7" l="1"/>
  <c r="D554" i="7"/>
  <c r="C556" i="7" l="1"/>
  <c r="D555" i="7"/>
  <c r="D556" i="7" l="1"/>
  <c r="C557" i="7"/>
  <c r="D557" i="7" l="1"/>
  <c r="C558" i="7"/>
  <c r="D558" i="7" l="1"/>
  <c r="C559" i="7"/>
  <c r="C560" i="7" l="1"/>
  <c r="D559" i="7"/>
  <c r="D560" i="7" l="1"/>
  <c r="C561" i="7"/>
  <c r="D561" i="7" l="1"/>
  <c r="C562" i="7"/>
  <c r="C563" i="7" l="1"/>
  <c r="D562" i="7"/>
  <c r="C564" i="7" l="1"/>
  <c r="D563" i="7"/>
  <c r="C565" i="7" l="1"/>
  <c r="D564" i="7"/>
  <c r="D565" i="7" l="1"/>
  <c r="C566" i="7"/>
  <c r="C567" i="7" l="1"/>
  <c r="D566" i="7"/>
  <c r="C568" i="7" l="1"/>
  <c r="D567" i="7"/>
  <c r="C569" i="7" l="1"/>
  <c r="D568" i="7"/>
  <c r="C570" i="7" l="1"/>
  <c r="D569" i="7"/>
  <c r="C571" i="7" l="1"/>
  <c r="D570" i="7"/>
  <c r="C572" i="7" l="1"/>
  <c r="D571" i="7"/>
  <c r="D572" i="7" l="1"/>
  <c r="C573" i="7"/>
  <c r="C574" i="7" l="1"/>
  <c r="D573" i="7"/>
  <c r="D574" i="7" l="1"/>
  <c r="C575" i="7"/>
  <c r="C576" i="7" l="1"/>
  <c r="D575" i="7"/>
  <c r="D576" i="7" l="1"/>
  <c r="C577" i="7"/>
  <c r="D577" i="7" l="1"/>
  <c r="C578" i="7"/>
  <c r="C579" i="7" l="1"/>
  <c r="D578" i="7"/>
  <c r="D579" i="7" l="1"/>
  <c r="C580" i="7"/>
  <c r="C581" i="7" l="1"/>
  <c r="D580" i="7"/>
  <c r="D581" i="7" l="1"/>
  <c r="C582" i="7"/>
  <c r="C583" i="7" l="1"/>
  <c r="D582" i="7"/>
  <c r="C584" i="7" l="1"/>
  <c r="D583" i="7"/>
  <c r="C585" i="7" l="1"/>
  <c r="D584" i="7"/>
  <c r="C586" i="7" l="1"/>
  <c r="D585" i="7"/>
  <c r="C587" i="7" l="1"/>
  <c r="D586" i="7"/>
  <c r="C588" i="7" l="1"/>
  <c r="D587" i="7"/>
  <c r="D588" i="7" l="1"/>
  <c r="C589" i="7"/>
  <c r="C590" i="7" l="1"/>
  <c r="D589" i="7"/>
  <c r="D590" i="7" l="1"/>
  <c r="C591" i="7"/>
  <c r="C592" i="7" l="1"/>
  <c r="D591" i="7"/>
  <c r="D592" i="7" l="1"/>
  <c r="C593" i="7"/>
  <c r="D593" i="7" l="1"/>
  <c r="C594" i="7"/>
  <c r="C595" i="7" l="1"/>
  <c r="D594" i="7"/>
  <c r="C596" i="7" l="1"/>
  <c r="D595" i="7"/>
  <c r="C597" i="7" l="1"/>
  <c r="D596" i="7"/>
  <c r="D597" i="7" l="1"/>
  <c r="C598" i="7"/>
  <c r="C599" i="7" l="1"/>
  <c r="D598" i="7"/>
  <c r="C600" i="7" l="1"/>
  <c r="D599" i="7"/>
  <c r="C601" i="7" l="1"/>
  <c r="D600" i="7"/>
  <c r="C602" i="7" l="1"/>
  <c r="D601" i="7"/>
  <c r="C603" i="7" l="1"/>
  <c r="D602" i="7"/>
  <c r="C604" i="7" l="1"/>
  <c r="D603" i="7"/>
  <c r="D604" i="7" l="1"/>
  <c r="C605" i="7"/>
  <c r="D605" i="7" l="1"/>
  <c r="C606" i="7"/>
  <c r="D606" i="7" l="1"/>
  <c r="C607" i="7"/>
  <c r="C608" i="7" l="1"/>
  <c r="D607" i="7"/>
  <c r="D608" i="7" l="1"/>
  <c r="C609" i="7"/>
  <c r="D609" i="7" l="1"/>
  <c r="C610" i="7"/>
  <c r="C611" i="7" l="1"/>
  <c r="D610" i="7"/>
  <c r="C612" i="7" l="1"/>
  <c r="D611" i="7"/>
  <c r="C613" i="7" l="1"/>
  <c r="D612" i="7"/>
  <c r="D613" i="7" l="1"/>
  <c r="C614" i="7"/>
  <c r="C615" i="7" l="1"/>
  <c r="D614" i="7"/>
  <c r="C616" i="7" l="1"/>
  <c r="D615" i="7"/>
  <c r="C617" i="7" l="1"/>
  <c r="D616" i="7"/>
  <c r="C618" i="7" l="1"/>
  <c r="D617" i="7"/>
  <c r="C619" i="7" l="1"/>
  <c r="D618" i="7"/>
  <c r="C620" i="7" l="1"/>
  <c r="D619" i="7"/>
  <c r="D620" i="7" l="1"/>
  <c r="C621" i="7"/>
  <c r="D621" i="7" l="1"/>
  <c r="C622" i="7"/>
  <c r="D622" i="7" l="1"/>
  <c r="C623" i="7"/>
  <c r="C624" i="7" l="1"/>
  <c r="D623" i="7"/>
  <c r="D624" i="7" l="1"/>
  <c r="C625" i="7"/>
  <c r="D625" i="7" l="1"/>
  <c r="C626" i="7"/>
  <c r="D626" i="7" l="1"/>
  <c r="C627" i="7"/>
  <c r="C628" i="7" l="1"/>
  <c r="D627" i="7"/>
  <c r="C629" i="7" l="1"/>
  <c r="D628" i="7"/>
  <c r="D629" i="7" l="1"/>
  <c r="C630" i="7"/>
  <c r="C631" i="7" l="1"/>
  <c r="D630" i="7"/>
  <c r="C632" i="7" l="1"/>
  <c r="D631" i="7"/>
  <c r="C633" i="7" l="1"/>
  <c r="D632" i="7"/>
  <c r="D633" i="7" l="1"/>
  <c r="C634" i="7"/>
  <c r="C635" i="7" l="1"/>
  <c r="D634" i="7"/>
  <c r="C636" i="7" l="1"/>
  <c r="D635" i="7"/>
  <c r="D636" i="7" l="1"/>
  <c r="C637" i="7"/>
  <c r="C638" i="7" l="1"/>
  <c r="D637" i="7"/>
  <c r="D638" i="7" l="1"/>
  <c r="C639" i="7"/>
  <c r="C640" i="7" l="1"/>
  <c r="D639" i="7"/>
  <c r="D640" i="7" l="1"/>
  <c r="C641" i="7"/>
  <c r="D641" i="7" l="1"/>
  <c r="C642" i="7"/>
  <c r="C643" i="7" l="1"/>
  <c r="D642" i="7"/>
  <c r="C644" i="7" l="1"/>
  <c r="D643" i="7"/>
  <c r="C645" i="7" l="1"/>
  <c r="D644" i="7"/>
  <c r="D645" i="7" l="1"/>
  <c r="C646" i="7"/>
  <c r="C647" i="7" l="1"/>
  <c r="D646" i="7"/>
  <c r="D647" i="7" l="1"/>
  <c r="C648" i="7"/>
  <c r="C649" i="7" l="1"/>
  <c r="D648" i="7"/>
  <c r="D649" i="7" l="1"/>
  <c r="C650" i="7"/>
  <c r="C651" i="7" l="1"/>
  <c r="D650" i="7"/>
  <c r="C652" i="7" l="1"/>
  <c r="D651" i="7"/>
  <c r="D652" i="7" l="1"/>
  <c r="C653" i="7"/>
  <c r="C654" i="7" l="1"/>
  <c r="D653" i="7"/>
  <c r="D654" i="7" l="1"/>
  <c r="C655" i="7"/>
  <c r="C656" i="7" l="1"/>
  <c r="D655" i="7"/>
  <c r="D656" i="7" l="1"/>
  <c r="C657" i="7"/>
  <c r="D657" i="7" l="1"/>
  <c r="C658" i="7"/>
  <c r="C659" i="7" l="1"/>
  <c r="D658" i="7"/>
  <c r="C660" i="7" l="1"/>
  <c r="D659" i="7"/>
  <c r="C661" i="7" l="1"/>
  <c r="D660" i="7"/>
  <c r="D661" i="7" l="1"/>
  <c r="C662" i="7"/>
  <c r="C663" i="7" l="1"/>
  <c r="D662" i="7"/>
  <c r="D663" i="7" l="1"/>
  <c r="C664" i="7"/>
  <c r="C665" i="7" l="1"/>
  <c r="D664" i="7"/>
  <c r="C666" i="7" l="1"/>
  <c r="D665" i="7"/>
  <c r="C667" i="7" l="1"/>
  <c r="D666" i="7"/>
  <c r="C668" i="7" l="1"/>
  <c r="D667" i="7"/>
  <c r="D668" i="7" l="1"/>
  <c r="C669" i="7"/>
  <c r="D669" i="7" l="1"/>
  <c r="C670" i="7"/>
  <c r="D670" i="7" l="1"/>
  <c r="C671" i="7"/>
  <c r="C672" i="7" l="1"/>
  <c r="D671" i="7"/>
  <c r="C673" i="7" l="1"/>
  <c r="D672" i="7"/>
  <c r="D673" i="7" l="1"/>
  <c r="C674" i="7"/>
  <c r="C675" i="7" l="1"/>
  <c r="D674" i="7"/>
  <c r="C676" i="7" l="1"/>
  <c r="D675" i="7"/>
  <c r="C677" i="7" l="1"/>
  <c r="D676" i="7"/>
  <c r="D677" i="7" l="1"/>
  <c r="C678" i="7"/>
  <c r="C679" i="7" l="1"/>
  <c r="D678" i="7"/>
  <c r="D679" i="7" l="1"/>
  <c r="C680" i="7"/>
  <c r="C681" i="7" l="1"/>
  <c r="D680" i="7"/>
  <c r="C682" i="7" l="1"/>
  <c r="D681" i="7"/>
  <c r="C683" i="7" l="1"/>
  <c r="D682" i="7"/>
  <c r="C684" i="7" l="1"/>
  <c r="D683" i="7"/>
  <c r="D684" i="7" l="1"/>
  <c r="C685" i="7"/>
  <c r="C686" i="7" l="1"/>
  <c r="D685" i="7"/>
  <c r="D686" i="7" l="1"/>
  <c r="C687" i="7"/>
  <c r="C688" i="7" l="1"/>
  <c r="D687" i="7"/>
  <c r="C689" i="7" l="1"/>
  <c r="D688" i="7"/>
  <c r="D689" i="7" l="1"/>
  <c r="C690" i="7"/>
  <c r="C691" i="7" l="1"/>
  <c r="D690" i="7"/>
  <c r="D691" i="7" l="1"/>
  <c r="C692" i="7"/>
  <c r="C693" i="7" l="1"/>
  <c r="D692" i="7"/>
  <c r="D693" i="7" l="1"/>
  <c r="C694" i="7"/>
  <c r="C695" i="7" l="1"/>
  <c r="D694" i="7"/>
  <c r="C696" i="7" l="1"/>
  <c r="D695" i="7"/>
  <c r="C697" i="7" l="1"/>
  <c r="D696" i="7"/>
  <c r="C698" i="7" l="1"/>
  <c r="D697" i="7"/>
  <c r="C699" i="7" l="1"/>
  <c r="D698" i="7"/>
  <c r="C700" i="7" l="1"/>
  <c r="D699" i="7"/>
  <c r="D700" i="7" l="1"/>
  <c r="C701" i="7"/>
  <c r="D701" i="7" l="1"/>
  <c r="C702" i="7"/>
  <c r="D702" i="7" l="1"/>
  <c r="C703" i="7"/>
  <c r="C704" i="7" l="1"/>
  <c r="D703" i="7"/>
  <c r="C705" i="7" l="1"/>
  <c r="D704" i="7"/>
  <c r="D705" i="7" l="1"/>
  <c r="C706" i="7"/>
  <c r="C707" i="7" l="1"/>
  <c r="D706" i="7"/>
  <c r="D707" i="7" l="1"/>
  <c r="C708" i="7"/>
  <c r="C709" i="7" l="1"/>
  <c r="D708" i="7"/>
  <c r="D709" i="7" l="1"/>
  <c r="C710" i="7"/>
  <c r="C711" i="7" l="1"/>
  <c r="D710" i="7"/>
  <c r="C712" i="7" l="1"/>
  <c r="D711" i="7"/>
  <c r="C713" i="7" l="1"/>
  <c r="D712" i="7"/>
  <c r="C714" i="7" l="1"/>
  <c r="D713" i="7"/>
  <c r="C715" i="7" l="1"/>
  <c r="D714" i="7"/>
  <c r="C716" i="7" l="1"/>
  <c r="D715" i="7"/>
  <c r="D716" i="7" l="1"/>
  <c r="C717" i="7"/>
  <c r="D717" i="7" l="1"/>
  <c r="C718" i="7"/>
  <c r="D718" i="7" l="1"/>
  <c r="C719" i="7"/>
  <c r="C720" i="7" l="1"/>
  <c r="D719" i="7"/>
  <c r="C721" i="7" l="1"/>
  <c r="D720" i="7"/>
  <c r="C722" i="7" l="1"/>
  <c r="D721" i="7"/>
  <c r="C723" i="7" l="1"/>
  <c r="D722" i="7"/>
  <c r="D723" i="7" l="1"/>
  <c r="C724" i="7"/>
  <c r="C725" i="7" l="1"/>
  <c r="D724" i="7"/>
  <c r="D725" i="7" l="1"/>
  <c r="C726" i="7"/>
  <c r="C727" i="7" l="1"/>
  <c r="D726" i="7"/>
  <c r="D727" i="7" l="1"/>
  <c r="C728" i="7"/>
  <c r="C729" i="7" l="1"/>
  <c r="D728" i="7"/>
  <c r="C730" i="7" l="1"/>
  <c r="D729" i="7"/>
  <c r="C731" i="7" l="1"/>
  <c r="D730" i="7"/>
  <c r="C732" i="7" l="1"/>
  <c r="D731" i="7"/>
  <c r="D732" i="7" l="1"/>
  <c r="C733" i="7"/>
  <c r="C734" i="7" l="1"/>
  <c r="D733" i="7"/>
  <c r="D734" i="7" l="1"/>
  <c r="C735" i="7"/>
  <c r="C736" i="7" l="1"/>
  <c r="D735" i="7"/>
  <c r="C737" i="7" l="1"/>
  <c r="D736" i="7"/>
  <c r="C738" i="7" l="1"/>
  <c r="D737" i="7"/>
  <c r="C739" i="7" l="1"/>
  <c r="D738" i="7"/>
  <c r="C740" i="7" l="1"/>
  <c r="D739" i="7"/>
  <c r="C741" i="7" l="1"/>
  <c r="D740" i="7"/>
  <c r="D741" i="7" l="1"/>
  <c r="C742" i="7"/>
  <c r="C743" i="7" l="1"/>
  <c r="D742" i="7"/>
  <c r="D743" i="7" l="1"/>
  <c r="C744" i="7"/>
  <c r="C745" i="7" l="1"/>
  <c r="D744" i="7"/>
  <c r="C746" i="7" l="1"/>
  <c r="D745" i="7"/>
  <c r="C747" i="7" l="1"/>
  <c r="D746" i="7"/>
  <c r="C748" i="7" l="1"/>
  <c r="D747" i="7"/>
  <c r="D748" i="7" l="1"/>
  <c r="C749" i="7"/>
  <c r="C750" i="7" l="1"/>
  <c r="D749" i="7"/>
  <c r="D750" i="7" l="1"/>
  <c r="C751" i="7"/>
  <c r="C752" i="7" l="1"/>
  <c r="D751" i="7"/>
  <c r="C753" i="7" l="1"/>
  <c r="D752" i="7"/>
  <c r="C754" i="7" l="1"/>
  <c r="D753" i="7"/>
  <c r="C755" i="7" l="1"/>
  <c r="D754" i="7"/>
  <c r="D755" i="7" l="1"/>
  <c r="C756" i="7"/>
  <c r="C757" i="7" l="1"/>
  <c r="D756" i="7"/>
  <c r="D757" i="7" l="1"/>
  <c r="C758" i="7"/>
  <c r="C759" i="7" l="1"/>
  <c r="D758" i="7"/>
  <c r="D759" i="7" l="1"/>
  <c r="C760" i="7"/>
  <c r="C761" i="7" l="1"/>
  <c r="D760" i="7"/>
  <c r="D761" i="7" l="1"/>
  <c r="C762" i="7"/>
  <c r="C763" i="7" l="1"/>
  <c r="D762" i="7"/>
  <c r="C764" i="7" l="1"/>
  <c r="D763" i="7"/>
  <c r="D764" i="7" l="1"/>
  <c r="C765" i="7"/>
  <c r="C766" i="7" l="1"/>
  <c r="D765" i="7"/>
  <c r="D766" i="7" l="1"/>
  <c r="C767" i="7"/>
  <c r="C768" i="7" l="1"/>
  <c r="D767" i="7"/>
  <c r="C769" i="7" l="1"/>
  <c r="D768" i="7"/>
  <c r="C770" i="7" l="1"/>
  <c r="D769" i="7"/>
  <c r="C771" i="7" l="1"/>
  <c r="D770" i="7"/>
  <c r="D771" i="7" l="1"/>
  <c r="C772" i="7"/>
  <c r="C773" i="7" l="1"/>
  <c r="D772" i="7"/>
  <c r="D773" i="7" l="1"/>
  <c r="C774" i="7"/>
  <c r="C775" i="7" l="1"/>
  <c r="D774" i="7"/>
  <c r="D775" i="7" l="1"/>
  <c r="C776" i="7"/>
  <c r="C777" i="7" l="1"/>
  <c r="D776" i="7"/>
  <c r="D777" i="7" l="1"/>
  <c r="C778" i="7"/>
  <c r="C779" i="7" l="1"/>
  <c r="D778" i="7"/>
  <c r="C780" i="7" l="1"/>
  <c r="D779" i="7"/>
  <c r="D780" i="7" l="1"/>
  <c r="C781" i="7"/>
  <c r="C782" i="7" l="1"/>
  <c r="D781" i="7"/>
  <c r="D782" i="7" l="1"/>
  <c r="C783" i="7"/>
  <c r="C784" i="7" l="1"/>
  <c r="D783" i="7"/>
  <c r="C785" i="7" l="1"/>
  <c r="D784" i="7"/>
  <c r="C786" i="7" l="1"/>
  <c r="D785" i="7"/>
  <c r="C787" i="7" l="1"/>
  <c r="D786" i="7"/>
  <c r="D787" i="7" l="1"/>
  <c r="C788" i="7"/>
  <c r="C789" i="7" l="1"/>
  <c r="D788" i="7"/>
  <c r="D789" i="7" l="1"/>
  <c r="C790" i="7"/>
  <c r="C791" i="7" l="1"/>
  <c r="D790" i="7"/>
  <c r="D791" i="7" l="1"/>
  <c r="C792" i="7"/>
  <c r="C793" i="7" l="1"/>
  <c r="D792" i="7"/>
  <c r="C794" i="7" l="1"/>
  <c r="D793" i="7"/>
  <c r="C795" i="7" l="1"/>
  <c r="D794" i="7"/>
  <c r="C796" i="7" l="1"/>
  <c r="D795" i="7"/>
  <c r="D796" i="7" l="1"/>
  <c r="C797" i="7"/>
  <c r="C798" i="7" l="1"/>
  <c r="D797" i="7"/>
  <c r="D798" i="7" l="1"/>
  <c r="C799" i="7"/>
  <c r="C800" i="7" l="1"/>
  <c r="D799" i="7"/>
  <c r="C801" i="7" l="1"/>
  <c r="D800" i="7"/>
  <c r="C802" i="7" l="1"/>
  <c r="D801" i="7"/>
  <c r="C803" i="7" l="1"/>
  <c r="D802" i="7"/>
  <c r="D803" i="7" l="1"/>
  <c r="C804" i="7"/>
  <c r="C805" i="7" l="1"/>
  <c r="D804" i="7"/>
  <c r="D805" i="7" l="1"/>
  <c r="C806" i="7"/>
  <c r="C807" i="7" l="1"/>
  <c r="D806" i="7"/>
  <c r="D807" i="7" l="1"/>
  <c r="C808" i="7"/>
  <c r="C809" i="7" l="1"/>
  <c r="D808" i="7"/>
  <c r="C810" i="7" l="1"/>
  <c r="D809" i="7"/>
  <c r="C811" i="7" l="1"/>
  <c r="D810" i="7"/>
  <c r="C812" i="7" l="1"/>
  <c r="D811" i="7"/>
  <c r="D812" i="7" l="1"/>
  <c r="C813" i="7"/>
  <c r="C814" i="7" l="1"/>
  <c r="D813" i="7"/>
  <c r="D814" i="7" l="1"/>
  <c r="C815" i="7"/>
  <c r="C816" i="7" l="1"/>
  <c r="D815" i="7"/>
  <c r="C817" i="7" l="1"/>
  <c r="D816" i="7"/>
  <c r="C818" i="7" l="1"/>
  <c r="D817" i="7"/>
  <c r="C819" i="7" l="1"/>
  <c r="D818" i="7"/>
  <c r="D819" i="7" l="1"/>
  <c r="C820" i="7"/>
  <c r="C821" i="7" l="1"/>
  <c r="D820" i="7"/>
  <c r="D821" i="7" l="1"/>
  <c r="C822" i="7"/>
  <c r="C823" i="7" l="1"/>
  <c r="D822" i="7"/>
  <c r="D823" i="7" l="1"/>
  <c r="C824" i="7"/>
  <c r="C825" i="7" l="1"/>
  <c r="D824" i="7"/>
  <c r="C826" i="7" l="1"/>
  <c r="D825" i="7"/>
  <c r="C827" i="7" l="1"/>
  <c r="D826" i="7"/>
  <c r="C828" i="7" l="1"/>
  <c r="D827" i="7"/>
  <c r="D828" i="7" l="1"/>
  <c r="C829" i="7"/>
  <c r="C830" i="7" l="1"/>
  <c r="D829" i="7"/>
  <c r="D830" i="7" l="1"/>
  <c r="C831" i="7"/>
  <c r="C832" i="7" l="1"/>
  <c r="D831" i="7"/>
  <c r="C833" i="7" l="1"/>
  <c r="D832" i="7"/>
  <c r="C834" i="7" l="1"/>
  <c r="D833" i="7"/>
  <c r="C835" i="7" l="1"/>
  <c r="D834" i="7"/>
  <c r="D835" i="7" l="1"/>
  <c r="C836" i="7"/>
  <c r="C837" i="7" l="1"/>
  <c r="D836" i="7"/>
  <c r="D837" i="7" l="1"/>
  <c r="C838" i="7"/>
  <c r="C839" i="7" l="1"/>
  <c r="D838" i="7"/>
  <c r="D839" i="7" l="1"/>
  <c r="C840" i="7"/>
  <c r="C841" i="7" l="1"/>
  <c r="D840" i="7"/>
  <c r="C842" i="7" l="1"/>
  <c r="D841" i="7"/>
  <c r="C843" i="7" l="1"/>
  <c r="D842" i="7"/>
  <c r="C844" i="7" l="1"/>
  <c r="D843" i="7"/>
  <c r="D844" i="7" l="1"/>
  <c r="C845" i="7"/>
  <c r="C846" i="7" l="1"/>
  <c r="D845" i="7"/>
  <c r="D846" i="7" l="1"/>
  <c r="C847" i="7"/>
  <c r="C848" i="7" l="1"/>
  <c r="D847" i="7"/>
  <c r="C849" i="7" l="1"/>
  <c r="D848" i="7"/>
  <c r="C850" i="7" l="1"/>
  <c r="D849" i="7"/>
  <c r="C851" i="7" l="1"/>
  <c r="D850" i="7"/>
  <c r="D851" i="7" l="1"/>
  <c r="C852" i="7"/>
  <c r="C853" i="7" l="1"/>
  <c r="D852" i="7"/>
  <c r="D853" i="7" l="1"/>
  <c r="C854" i="7"/>
  <c r="C855" i="7" l="1"/>
  <c r="D854" i="7"/>
  <c r="D855" i="7" l="1"/>
  <c r="C856" i="7"/>
  <c r="C857" i="7" l="1"/>
  <c r="D856" i="7"/>
  <c r="C858" i="7" l="1"/>
  <c r="D857" i="7"/>
  <c r="C859" i="7" l="1"/>
  <c r="D858" i="7"/>
  <c r="C860" i="7" l="1"/>
  <c r="D859" i="7"/>
  <c r="D860" i="7" l="1"/>
  <c r="C861" i="7"/>
  <c r="C862" i="7" l="1"/>
  <c r="D861" i="7"/>
  <c r="D862" i="7" l="1"/>
  <c r="C863" i="7"/>
  <c r="C864" i="7" l="1"/>
  <c r="D863" i="7"/>
  <c r="C865" i="7" l="1"/>
  <c r="D864" i="7"/>
  <c r="C866" i="7" l="1"/>
  <c r="D865" i="7"/>
  <c r="D866" i="7" l="1"/>
  <c r="C867" i="7"/>
  <c r="C868" i="7" l="1"/>
  <c r="D867" i="7"/>
  <c r="C869" i="7" l="1"/>
  <c r="D868" i="7"/>
  <c r="C870" i="7" l="1"/>
  <c r="D869" i="7"/>
  <c r="D870" i="7" l="1"/>
  <c r="C871" i="7"/>
  <c r="C872" i="7" l="1"/>
  <c r="D871" i="7"/>
  <c r="D872" i="7" l="1"/>
  <c r="C873" i="7"/>
  <c r="C874" i="7" l="1"/>
  <c r="D873" i="7"/>
  <c r="C875" i="7" l="1"/>
  <c r="D874" i="7"/>
  <c r="D875" i="7" l="1"/>
  <c r="C876" i="7"/>
  <c r="C877" i="7" l="1"/>
  <c r="D876" i="7"/>
  <c r="C878" i="7" l="1"/>
  <c r="D877" i="7"/>
  <c r="C879" i="7" l="1"/>
  <c r="D878" i="7"/>
  <c r="D879" i="7" l="1"/>
  <c r="C880" i="7"/>
  <c r="C881" i="7" l="1"/>
  <c r="D880" i="7"/>
  <c r="C882" i="7" l="1"/>
  <c r="D881" i="7"/>
  <c r="C883" i="7" l="1"/>
  <c r="D882" i="7"/>
  <c r="C884" i="7" l="1"/>
  <c r="D883" i="7"/>
  <c r="C885" i="7" l="1"/>
  <c r="D884" i="7"/>
  <c r="C886" i="7" l="1"/>
  <c r="D885" i="7"/>
  <c r="D886" i="7" l="1"/>
  <c r="C887" i="7"/>
  <c r="D887" i="7" l="1"/>
  <c r="C888" i="7"/>
  <c r="D888" i="7" l="1"/>
  <c r="C889" i="7"/>
  <c r="C890" i="7" l="1"/>
  <c r="D889" i="7"/>
  <c r="D890" i="7" l="1"/>
  <c r="C891" i="7"/>
  <c r="D891" i="7" l="1"/>
  <c r="C892" i="7"/>
  <c r="D892" i="7" l="1"/>
  <c r="C893" i="7"/>
  <c r="C894" i="7" l="1"/>
  <c r="D893" i="7"/>
  <c r="C895" i="7" l="1"/>
  <c r="D894" i="7"/>
  <c r="C896" i="7" l="1"/>
  <c r="D895" i="7"/>
  <c r="C897" i="7" l="1"/>
  <c r="D896" i="7"/>
  <c r="C898" i="7" l="1"/>
  <c r="D897" i="7"/>
  <c r="D898" i="7" l="1"/>
  <c r="C899" i="7"/>
  <c r="C900" i="7" l="1"/>
  <c r="D899" i="7"/>
  <c r="C901" i="7" l="1"/>
  <c r="D900" i="7"/>
  <c r="C902" i="7" l="1"/>
  <c r="D901" i="7"/>
  <c r="D902" i="7" l="1"/>
  <c r="C903" i="7"/>
  <c r="D903" i="7" l="1"/>
  <c r="C904" i="7"/>
  <c r="D904" i="7" l="1"/>
  <c r="C905" i="7"/>
  <c r="C906" i="7" l="1"/>
  <c r="D905" i="7"/>
  <c r="D906" i="7" l="1"/>
  <c r="C907" i="7"/>
  <c r="D907" i="7" l="1"/>
  <c r="C908" i="7"/>
  <c r="C909" i="7" l="1"/>
  <c r="D908" i="7"/>
  <c r="C910" i="7" l="1"/>
  <c r="D909" i="7"/>
  <c r="D910" i="7" l="1"/>
  <c r="C911" i="7"/>
  <c r="C912" i="7" l="1"/>
  <c r="D911" i="7"/>
  <c r="C913" i="7" l="1"/>
  <c r="D912" i="7"/>
  <c r="C914" i="7" l="1"/>
  <c r="D913" i="7"/>
  <c r="C915" i="7" l="1"/>
  <c r="D914" i="7"/>
  <c r="C916" i="7" l="1"/>
  <c r="D915" i="7"/>
  <c r="D916" i="7" l="1"/>
  <c r="C917" i="7"/>
  <c r="C918" i="7" l="1"/>
  <c r="D917" i="7"/>
  <c r="D918" i="7" l="1"/>
  <c r="C919" i="7"/>
  <c r="D919" i="7" l="1"/>
  <c r="C920" i="7"/>
  <c r="C921" i="7" l="1"/>
  <c r="D920" i="7"/>
  <c r="D921" i="7" l="1"/>
  <c r="C922" i="7"/>
  <c r="D922" i="7" l="1"/>
  <c r="C923" i="7"/>
  <c r="D923" i="7" l="1"/>
  <c r="C924" i="7"/>
  <c r="C925" i="7" l="1"/>
  <c r="D924" i="7"/>
  <c r="C926" i="7" l="1"/>
  <c r="D925" i="7"/>
  <c r="C927" i="7" l="1"/>
  <c r="D926" i="7"/>
  <c r="C928" i="7" l="1"/>
  <c r="D927" i="7"/>
  <c r="C929" i="7" l="1"/>
  <c r="D928" i="7"/>
  <c r="C930" i="7" l="1"/>
  <c r="D929" i="7"/>
  <c r="C931" i="7" l="1"/>
  <c r="D930" i="7"/>
  <c r="C932" i="7" l="1"/>
  <c r="D931" i="7"/>
  <c r="C933" i="7" l="1"/>
  <c r="D932" i="7"/>
  <c r="C934" i="7" l="1"/>
  <c r="D933" i="7"/>
  <c r="D934" i="7" l="1"/>
  <c r="C935" i="7"/>
  <c r="D935" i="7" l="1"/>
  <c r="C936" i="7"/>
  <c r="C937" i="7" l="1"/>
  <c r="D936" i="7"/>
  <c r="C938" i="7" l="1"/>
  <c r="D937" i="7"/>
  <c r="C939" i="7" l="1"/>
  <c r="D938" i="7"/>
  <c r="D939" i="7" l="1"/>
  <c r="C940" i="7"/>
  <c r="C941" i="7" l="1"/>
  <c r="D940" i="7"/>
  <c r="C942" i="7" l="1"/>
  <c r="D941" i="7"/>
  <c r="C943" i="7" l="1"/>
  <c r="D942" i="7"/>
  <c r="C944" i="7" l="1"/>
  <c r="D943" i="7"/>
  <c r="C945" i="7" l="1"/>
  <c r="D944" i="7"/>
  <c r="C946" i="7" l="1"/>
  <c r="D945" i="7"/>
  <c r="C947" i="7" l="1"/>
  <c r="D946" i="7"/>
  <c r="C948" i="7" l="1"/>
  <c r="D947" i="7"/>
  <c r="C949" i="7" l="1"/>
  <c r="D948" i="7"/>
  <c r="C950" i="7" l="1"/>
  <c r="D949" i="7"/>
  <c r="D950" i="7" l="1"/>
  <c r="C951" i="7"/>
  <c r="D951" i="7" l="1"/>
  <c r="C952" i="7"/>
  <c r="C953" i="7" l="1"/>
  <c r="D952" i="7"/>
  <c r="D953" i="7" l="1"/>
  <c r="C954" i="7"/>
  <c r="C955" i="7" l="1"/>
  <c r="D954" i="7"/>
  <c r="D955" i="7" l="1"/>
  <c r="C956" i="7"/>
  <c r="C957" i="7" l="1"/>
  <c r="D956" i="7"/>
  <c r="D957" i="7" l="1"/>
  <c r="C958" i="7"/>
  <c r="C959" i="7" l="1"/>
  <c r="D958" i="7"/>
  <c r="C960" i="7" l="1"/>
  <c r="D959" i="7"/>
  <c r="C961" i="7" l="1"/>
  <c r="D960" i="7"/>
  <c r="C962" i="7" l="1"/>
  <c r="D961" i="7"/>
  <c r="D962" i="7" l="1"/>
  <c r="C963" i="7"/>
  <c r="C964" i="7" l="1"/>
  <c r="D963" i="7"/>
  <c r="C965" i="7" l="1"/>
  <c r="D964" i="7"/>
  <c r="C966" i="7" l="1"/>
  <c r="D965" i="7"/>
  <c r="D966" i="7" l="1"/>
  <c r="C967" i="7"/>
  <c r="D967" i="7" l="1"/>
  <c r="C968" i="7"/>
  <c r="C969" i="7" l="1"/>
  <c r="D968" i="7"/>
  <c r="C970" i="7" l="1"/>
  <c r="D969" i="7"/>
  <c r="D970" i="7" l="1"/>
  <c r="C971" i="7"/>
  <c r="D971" i="7" l="1"/>
  <c r="C972" i="7"/>
  <c r="C973" i="7" l="1"/>
  <c r="D972" i="7"/>
  <c r="C974" i="7" l="1"/>
  <c r="D973" i="7"/>
  <c r="C975" i="7" l="1"/>
  <c r="D974" i="7"/>
  <c r="C976" i="7" l="1"/>
  <c r="D975" i="7"/>
  <c r="C977" i="7" l="1"/>
  <c r="D976" i="7"/>
  <c r="C978" i="7" l="1"/>
  <c r="D977" i="7"/>
  <c r="D978" i="7" l="1"/>
  <c r="C979" i="7"/>
  <c r="C980" i="7" l="1"/>
  <c r="D979" i="7"/>
  <c r="C981" i="7" l="1"/>
  <c r="D980" i="7"/>
  <c r="C982" i="7" l="1"/>
  <c r="D981" i="7"/>
  <c r="D982" i="7" l="1"/>
  <c r="C983" i="7"/>
  <c r="D983" i="7" l="1"/>
  <c r="C984" i="7"/>
  <c r="C985" i="7" l="1"/>
  <c r="D984" i="7"/>
  <c r="C986" i="7" l="1"/>
  <c r="D985" i="7"/>
  <c r="C987" i="7" l="1"/>
  <c r="D986" i="7"/>
  <c r="D987" i="7" l="1"/>
  <c r="C988" i="7"/>
  <c r="C989" i="7" l="1"/>
  <c r="D988" i="7"/>
  <c r="D989" i="7" l="1"/>
  <c r="C990" i="7"/>
  <c r="C991" i="7" l="1"/>
  <c r="D990" i="7"/>
  <c r="C992" i="7" l="1"/>
  <c r="D991" i="7"/>
  <c r="C993" i="7" l="1"/>
  <c r="D992" i="7"/>
  <c r="C994" i="7" l="1"/>
  <c r="D993" i="7"/>
  <c r="D994" i="7" l="1"/>
  <c r="C995" i="7"/>
  <c r="C996" i="7" l="1"/>
  <c r="D995" i="7"/>
  <c r="C997" i="7" l="1"/>
  <c r="D996" i="7"/>
  <c r="C998" i="7" l="1"/>
  <c r="D997" i="7"/>
  <c r="D998" i="7" l="1"/>
  <c r="C999" i="7"/>
  <c r="D999" i="7" l="1"/>
  <c r="C1000" i="7"/>
  <c r="C1001" i="7" l="1"/>
  <c r="D1000" i="7"/>
  <c r="C1002" i="7" l="1"/>
  <c r="D1001" i="7"/>
  <c r="D1002" i="7" l="1"/>
  <c r="C1003" i="7"/>
  <c r="C1004" i="7" l="1"/>
  <c r="D1003" i="7"/>
  <c r="C1005" i="7" l="1"/>
  <c r="D1004" i="7"/>
  <c r="C1006" i="7" l="1"/>
  <c r="D1005" i="7"/>
  <c r="C1007" i="7" l="1"/>
  <c r="D1006" i="7"/>
  <c r="C1008" i="7" l="1"/>
  <c r="D1007" i="7"/>
  <c r="C1009" i="7" l="1"/>
  <c r="D1008" i="7"/>
  <c r="C1010" i="7" l="1"/>
  <c r="D1009" i="7"/>
  <c r="D1010" i="7" l="1"/>
  <c r="C1011" i="7"/>
  <c r="D1011" i="7" l="1"/>
  <c r="C1012" i="7"/>
  <c r="C1013" i="7" l="1"/>
  <c r="D1012" i="7"/>
  <c r="C1014" i="7" l="1"/>
  <c r="D1013" i="7"/>
  <c r="D1014" i="7" l="1"/>
  <c r="C1015" i="7"/>
  <c r="D1015" i="7" l="1"/>
  <c r="C1016" i="7"/>
  <c r="D1016" i="7" l="1"/>
  <c r="C1017" i="7"/>
  <c r="D1017" i="7" l="1"/>
  <c r="C1018" i="7"/>
  <c r="C1019" i="7" l="1"/>
  <c r="D1018" i="7"/>
  <c r="C1020" i="7" l="1"/>
  <c r="D1019" i="7"/>
  <c r="C1021" i="7" l="1"/>
  <c r="D1020" i="7"/>
  <c r="C1022" i="7" l="1"/>
  <c r="D1021" i="7"/>
  <c r="D1022" i="7" l="1"/>
  <c r="C1023" i="7"/>
  <c r="C1024" i="7" l="1"/>
  <c r="D1023" i="7"/>
  <c r="C1025" i="7" l="1"/>
  <c r="D1024" i="7"/>
  <c r="C1026" i="7" l="1"/>
  <c r="D1025" i="7"/>
  <c r="D1026" i="7" l="1"/>
  <c r="C1027" i="7"/>
  <c r="C1028" i="7" l="1"/>
  <c r="D1027" i="7"/>
  <c r="C1029" i="7" l="1"/>
  <c r="D1028" i="7"/>
  <c r="C1030" i="7" l="1"/>
  <c r="D1029" i="7"/>
  <c r="D1030" i="7" l="1"/>
  <c r="C1031" i="7"/>
  <c r="D1031" i="7" l="1"/>
  <c r="C1032" i="7"/>
  <c r="C1033" i="7" l="1"/>
  <c r="D1032" i="7"/>
  <c r="C1034" i="7" l="1"/>
  <c r="D1033" i="7"/>
  <c r="C1035" i="7" l="1"/>
  <c r="D1034" i="7"/>
  <c r="C1036" i="7" l="1"/>
  <c r="D1035" i="7"/>
  <c r="C1037" i="7" l="1"/>
  <c r="D1036" i="7"/>
  <c r="C1038" i="7" l="1"/>
  <c r="D1037" i="7"/>
  <c r="C1039" i="7" l="1"/>
  <c r="D1038" i="7"/>
  <c r="C1040" i="7" l="1"/>
  <c r="D1039" i="7"/>
  <c r="C1041" i="7" l="1"/>
  <c r="D1040" i="7"/>
  <c r="C1042" i="7" l="1"/>
  <c r="D1041" i="7"/>
  <c r="D1042" i="7" l="1"/>
  <c r="C1043" i="7"/>
  <c r="D1043" i="7" l="1"/>
  <c r="C1044" i="7"/>
  <c r="D1044" i="7" l="1"/>
  <c r="C1045" i="7"/>
  <c r="C1046" i="7" l="1"/>
  <c r="D1045" i="7"/>
  <c r="D1046" i="7" l="1"/>
  <c r="C1047" i="7"/>
  <c r="D1047" i="7" l="1"/>
  <c r="C1048" i="7"/>
  <c r="C1049" i="7" l="1"/>
  <c r="D1048" i="7"/>
  <c r="D1049" i="7" l="1"/>
  <c r="C1050" i="7"/>
  <c r="C1051" i="7" l="1"/>
  <c r="D1050" i="7"/>
  <c r="C1052" i="7" l="1"/>
  <c r="D1051" i="7"/>
  <c r="C1053" i="7" l="1"/>
  <c r="D1052" i="7"/>
  <c r="C1054" i="7" l="1"/>
  <c r="D1053" i="7"/>
  <c r="C1055" i="7" l="1"/>
  <c r="D1054" i="7"/>
  <c r="C1056" i="7" l="1"/>
  <c r="D1055" i="7"/>
  <c r="C1057" i="7" l="1"/>
  <c r="D1056" i="7"/>
  <c r="C1058" i="7" l="1"/>
  <c r="D1057" i="7"/>
  <c r="D1058" i="7" l="1"/>
  <c r="C1059" i="7"/>
  <c r="C1060" i="7" l="1"/>
  <c r="D1059" i="7"/>
  <c r="C1061" i="7" l="1"/>
  <c r="D1060" i="7"/>
  <c r="C1062" i="7" l="1"/>
  <c r="D1061" i="7"/>
  <c r="D1062" i="7" l="1"/>
  <c r="C1063" i="7"/>
  <c r="D1063" i="7" l="1"/>
  <c r="C1064" i="7"/>
  <c r="C1065" i="7" l="1"/>
  <c r="D1064" i="7"/>
  <c r="C1066" i="7" l="1"/>
  <c r="D1065" i="7"/>
  <c r="C1067" i="7" l="1"/>
  <c r="D1066" i="7"/>
  <c r="C1068" i="7" l="1"/>
  <c r="D1067" i="7"/>
  <c r="C1069" i="7" l="1"/>
  <c r="D1068" i="7"/>
  <c r="C1070" i="7" l="1"/>
  <c r="D1069" i="7"/>
  <c r="C1071" i="7" l="1"/>
  <c r="D1070" i="7"/>
  <c r="D1071" i="7" l="1"/>
  <c r="C1072" i="7"/>
  <c r="C1073" i="7" l="1"/>
  <c r="D1072" i="7"/>
  <c r="C1074" i="7" l="1"/>
  <c r="D1073" i="7"/>
  <c r="D1074" i="7" l="1"/>
  <c r="C1075" i="7"/>
  <c r="C1076" i="7" l="1"/>
  <c r="D1075" i="7"/>
  <c r="D1076" i="7" l="1"/>
  <c r="C1077" i="7"/>
  <c r="C1078" i="7" l="1"/>
  <c r="D1077" i="7"/>
  <c r="D1078" i="7" l="1"/>
  <c r="C1079" i="7"/>
  <c r="D1079" i="7" l="1"/>
  <c r="C1080" i="7"/>
  <c r="C1081" i="7" l="1"/>
  <c r="D1080" i="7"/>
  <c r="C1082" i="7" l="1"/>
  <c r="D1081" i="7"/>
  <c r="C1083" i="7" l="1"/>
  <c r="D1082" i="7"/>
  <c r="C1084" i="7" l="1"/>
  <c r="D1083" i="7"/>
  <c r="C1085" i="7" l="1"/>
  <c r="D1084" i="7"/>
  <c r="D1085" i="7" l="1"/>
  <c r="C1086" i="7"/>
  <c r="C1087" i="7" l="1"/>
  <c r="D1086" i="7"/>
  <c r="C1088" i="7" l="1"/>
  <c r="D1087" i="7"/>
  <c r="C1089" i="7" l="1"/>
  <c r="D1088" i="7"/>
  <c r="C1090" i="7" l="1"/>
  <c r="D1089" i="7"/>
  <c r="D1090" i="7" l="1"/>
  <c r="C1091" i="7"/>
  <c r="C1092" i="7" l="1"/>
  <c r="D1091" i="7"/>
  <c r="C1093" i="7" l="1"/>
  <c r="D1092" i="7"/>
  <c r="C1094" i="7" l="1"/>
  <c r="D1093" i="7"/>
  <c r="D1094" i="7" l="1"/>
  <c r="C1095" i="7"/>
  <c r="D1095" i="7" l="1"/>
  <c r="C1096" i="7"/>
  <c r="C1097" i="7" l="1"/>
  <c r="D1096" i="7"/>
  <c r="C1098" i="7" l="1"/>
  <c r="D1097" i="7"/>
  <c r="C1099" i="7" l="1"/>
  <c r="D1098" i="7"/>
  <c r="C1100" i="7" l="1"/>
  <c r="D1099" i="7"/>
  <c r="C1101" i="7" l="1"/>
  <c r="D1100" i="7"/>
  <c r="C1102" i="7" l="1"/>
  <c r="D1101" i="7"/>
  <c r="C1103" i="7" l="1"/>
  <c r="D1102" i="7"/>
  <c r="D1103" i="7" l="1"/>
  <c r="C1104" i="7"/>
  <c r="C1105" i="7" l="1"/>
  <c r="D1104" i="7"/>
  <c r="C1106" i="7" l="1"/>
  <c r="D1105" i="7"/>
  <c r="D1106" i="7" l="1"/>
  <c r="C1107" i="7"/>
  <c r="C1108" i="7" l="1"/>
  <c r="D1107" i="7"/>
  <c r="C1109" i="7" l="1"/>
  <c r="D1108" i="7"/>
  <c r="C1110" i="7" l="1"/>
  <c r="D1109" i="7"/>
  <c r="D1110" i="7" l="1"/>
  <c r="C1111" i="7"/>
  <c r="D1111" i="7" l="1"/>
  <c r="C1112" i="7"/>
  <c r="C1113" i="7" l="1"/>
  <c r="D1112" i="7"/>
  <c r="C1114" i="7" l="1"/>
  <c r="D1113" i="7"/>
  <c r="C1115" i="7" l="1"/>
  <c r="D1114" i="7"/>
  <c r="C1116" i="7" l="1"/>
  <c r="D1115" i="7"/>
  <c r="C1117" i="7" l="1"/>
  <c r="D1116" i="7"/>
  <c r="D1117" i="7" l="1"/>
  <c r="C1118" i="7"/>
  <c r="C1119" i="7" l="1"/>
  <c r="D1118" i="7"/>
  <c r="C1120" i="7" l="1"/>
  <c r="D1119" i="7"/>
  <c r="C1121" i="7" l="1"/>
  <c r="D1120" i="7"/>
  <c r="C1122" i="7" l="1"/>
  <c r="D1121" i="7"/>
  <c r="D1122" i="7" l="1"/>
  <c r="C1123" i="7"/>
  <c r="C1124" i="7" l="1"/>
  <c r="D1123" i="7"/>
  <c r="D1124" i="7" l="1"/>
  <c r="C1125" i="7"/>
  <c r="C1126" i="7" l="1"/>
  <c r="D1125" i="7"/>
  <c r="D1126" i="7" l="1"/>
  <c r="C1127" i="7"/>
  <c r="D1127" i="7" l="1"/>
  <c r="C1128" i="7"/>
  <c r="C1129" i="7" l="1"/>
  <c r="D1128" i="7"/>
  <c r="C1130" i="7" l="1"/>
  <c r="D1129" i="7"/>
  <c r="C1131" i="7" l="1"/>
  <c r="D1130" i="7"/>
  <c r="C1132" i="7" l="1"/>
  <c r="D1131" i="7"/>
  <c r="C1133" i="7" l="1"/>
  <c r="D1132" i="7"/>
  <c r="D1133" i="7" l="1"/>
  <c r="C1134" i="7"/>
  <c r="C1135" i="7" l="1"/>
  <c r="D1134" i="7"/>
  <c r="C1136" i="7" l="1"/>
  <c r="D1135" i="7"/>
  <c r="C1137" i="7" l="1"/>
  <c r="D1136" i="7"/>
  <c r="D1137" i="7" l="1"/>
  <c r="C1138" i="7"/>
  <c r="C1139" i="7" l="1"/>
  <c r="D1138" i="7"/>
  <c r="C1140" i="7" l="1"/>
  <c r="D1139" i="7"/>
  <c r="C1141" i="7" l="1"/>
  <c r="D1140" i="7"/>
  <c r="C1142" i="7" l="1"/>
  <c r="D1141" i="7"/>
  <c r="C1143" i="7" l="1"/>
  <c r="D1142" i="7"/>
  <c r="C1144" i="7" l="1"/>
  <c r="D1143" i="7"/>
  <c r="D1144" i="7" l="1"/>
  <c r="C1145" i="7"/>
  <c r="C1146" i="7" l="1"/>
  <c r="D1145" i="7"/>
  <c r="C1147" i="7" l="1"/>
  <c r="D1146" i="7"/>
  <c r="C1148" i="7" l="1"/>
  <c r="D1147" i="7"/>
  <c r="C1149" i="7" l="1"/>
  <c r="D1148" i="7"/>
  <c r="C1150" i="7" l="1"/>
  <c r="D1149" i="7"/>
  <c r="C1151" i="7" l="1"/>
  <c r="D1150" i="7"/>
  <c r="C1152" i="7" l="1"/>
  <c r="D1151" i="7"/>
  <c r="C1153" i="7" l="1"/>
  <c r="D1152" i="7"/>
  <c r="D1153" i="7" l="1"/>
  <c r="C1154" i="7"/>
  <c r="C1155" i="7" l="1"/>
  <c r="D1154" i="7"/>
  <c r="D1155" i="7" l="1"/>
  <c r="C1156" i="7"/>
  <c r="C1157" i="7" l="1"/>
  <c r="D1156" i="7"/>
  <c r="C1158" i="7" l="1"/>
  <c r="D1157" i="7"/>
  <c r="C1159" i="7" l="1"/>
  <c r="D1158" i="7"/>
  <c r="C1160" i="7" l="1"/>
  <c r="D1159" i="7"/>
  <c r="C1161" i="7" l="1"/>
  <c r="D1160" i="7"/>
  <c r="C1162" i="7" l="1"/>
  <c r="D1161" i="7"/>
  <c r="D1162" i="7" l="1"/>
  <c r="C1163" i="7"/>
  <c r="C1164" i="7" l="1"/>
  <c r="D1163" i="7"/>
  <c r="C1165" i="7" l="1"/>
  <c r="D1164" i="7"/>
  <c r="C1166" i="7" l="1"/>
  <c r="D1165" i="7"/>
  <c r="D1166" i="7" l="1"/>
  <c r="C1167" i="7"/>
  <c r="C1168" i="7" l="1"/>
  <c r="D1167" i="7"/>
  <c r="C1169" i="7" l="1"/>
  <c r="D1168" i="7"/>
  <c r="D1169" i="7" l="1"/>
  <c r="C1170" i="7"/>
  <c r="C1171" i="7" l="1"/>
  <c r="D1170" i="7"/>
  <c r="C1172" i="7" l="1"/>
  <c r="D1171" i="7"/>
  <c r="D1172" i="7" l="1"/>
  <c r="C1173" i="7"/>
  <c r="C1174" i="7" l="1"/>
  <c r="D1173" i="7"/>
  <c r="C1175" i="7" l="1"/>
  <c r="D1174" i="7"/>
  <c r="C1176" i="7" l="1"/>
  <c r="D1175" i="7"/>
  <c r="C1177" i="7" l="1"/>
  <c r="D1176" i="7"/>
  <c r="D1177" i="7" l="1"/>
  <c r="C1178" i="7"/>
  <c r="D1178" i="7" l="1"/>
  <c r="C1179" i="7"/>
  <c r="C1180" i="7" l="1"/>
  <c r="D1179" i="7"/>
  <c r="C1181" i="7" l="1"/>
  <c r="D1180" i="7"/>
  <c r="C1182" i="7" l="1"/>
  <c r="D1181" i="7"/>
  <c r="C1183" i="7" l="1"/>
  <c r="D1182" i="7"/>
  <c r="D1183" i="7" l="1"/>
  <c r="C1184" i="7"/>
  <c r="C1185" i="7" l="1"/>
  <c r="D1184" i="7"/>
  <c r="D1185" i="7" l="1"/>
  <c r="C1186" i="7"/>
  <c r="C1187" i="7" l="1"/>
  <c r="D1186" i="7"/>
  <c r="C1188" i="7" l="1"/>
  <c r="D1187" i="7"/>
  <c r="C1189" i="7" l="1"/>
  <c r="D1188" i="7"/>
  <c r="C1190" i="7" l="1"/>
  <c r="D1189" i="7"/>
  <c r="C1191" i="7" l="1"/>
  <c r="D1190" i="7"/>
  <c r="C1192" i="7" l="1"/>
  <c r="D1191" i="7"/>
  <c r="C1193" i="7" l="1"/>
  <c r="D1192" i="7"/>
  <c r="C1194" i="7" l="1"/>
  <c r="D1193" i="7"/>
  <c r="C1195" i="7" l="1"/>
  <c r="D1194" i="7"/>
  <c r="C1196" i="7" l="1"/>
  <c r="D1195" i="7"/>
  <c r="C1197" i="7" l="1"/>
  <c r="D1196" i="7"/>
  <c r="C1198" i="7" l="1"/>
  <c r="D1197" i="7"/>
  <c r="C1199" i="7" l="1"/>
  <c r="D1198" i="7"/>
  <c r="C1200" i="7" l="1"/>
  <c r="D1199" i="7"/>
  <c r="C1201" i="7" l="1"/>
  <c r="D1200" i="7"/>
  <c r="D1201" i="7" l="1"/>
  <c r="C1202" i="7"/>
  <c r="D1202" i="7" l="1"/>
  <c r="C1203" i="7"/>
  <c r="C1204" i="7" l="1"/>
  <c r="D1203" i="7"/>
  <c r="C1205" i="7" l="1"/>
  <c r="D1204" i="7"/>
  <c r="D1205" i="7" l="1"/>
  <c r="C1206" i="7"/>
  <c r="D1206" i="7" l="1"/>
  <c r="C1207" i="7"/>
  <c r="C1208" i="7" l="1"/>
  <c r="D1207" i="7"/>
  <c r="C1209" i="7" l="1"/>
  <c r="D1208" i="7"/>
  <c r="C1210" i="7" l="1"/>
  <c r="D1209" i="7"/>
  <c r="C1211" i="7" l="1"/>
  <c r="D1210" i="7"/>
  <c r="C1212" i="7" l="1"/>
  <c r="D1211" i="7"/>
  <c r="C1213" i="7" l="1"/>
  <c r="D1212" i="7"/>
  <c r="C1214" i="7" l="1"/>
  <c r="D1213" i="7"/>
  <c r="C1215" i="7" l="1"/>
  <c r="D1214" i="7"/>
  <c r="C1216" i="7" l="1"/>
  <c r="D1215" i="7"/>
  <c r="C1217" i="7" l="1"/>
  <c r="D1216" i="7"/>
  <c r="D1217" i="7" l="1"/>
  <c r="C1218" i="7"/>
  <c r="D1218" i="7" l="1"/>
  <c r="C1219" i="7"/>
  <c r="D1219" i="7" l="1"/>
  <c r="C1220" i="7"/>
  <c r="C1221" i="7" l="1"/>
  <c r="D1220" i="7"/>
  <c r="D1221" i="7" l="1"/>
  <c r="C1222" i="7"/>
  <c r="D1222" i="7" l="1"/>
  <c r="C1223" i="7"/>
  <c r="D1223" i="7" l="1"/>
  <c r="C1224" i="7"/>
  <c r="D1224" i="7" l="1"/>
  <c r="C1225" i="7"/>
  <c r="D1225" i="7" l="1"/>
  <c r="C1226" i="7"/>
  <c r="C1227" i="7" l="1"/>
  <c r="D1226" i="7"/>
  <c r="C1228" i="7" l="1"/>
  <c r="D1227" i="7"/>
  <c r="C1229" i="7" l="1"/>
  <c r="D1228" i="7"/>
  <c r="D1229" i="7" l="1"/>
  <c r="C1230" i="7"/>
  <c r="D1230" i="7" l="1"/>
  <c r="C1231" i="7"/>
  <c r="C1232" i="7" l="1"/>
  <c r="D1231" i="7"/>
  <c r="C1233" i="7" l="1"/>
  <c r="D1232" i="7"/>
  <c r="D1233" i="7" l="1"/>
  <c r="C1234" i="7"/>
  <c r="C1235" i="7" l="1"/>
  <c r="D1234" i="7"/>
  <c r="C1236" i="7" l="1"/>
  <c r="D1235" i="7"/>
  <c r="C1237" i="7" l="1"/>
  <c r="D1236" i="7"/>
  <c r="D1237" i="7" l="1"/>
  <c r="C1238" i="7"/>
  <c r="D1238" i="7" l="1"/>
  <c r="C1239" i="7"/>
  <c r="C1240" i="7" l="1"/>
  <c r="D1239" i="7"/>
  <c r="C1241" i="7" l="1"/>
  <c r="D1240" i="7"/>
  <c r="D1241" i="7" l="1"/>
  <c r="C1242" i="7"/>
  <c r="C1243" i="7" l="1"/>
  <c r="D1242" i="7"/>
  <c r="C1244" i="7" l="1"/>
  <c r="D1243" i="7"/>
  <c r="C1245" i="7" l="1"/>
  <c r="D1244" i="7"/>
  <c r="C1246" i="7" l="1"/>
  <c r="D1245" i="7"/>
  <c r="C1247" i="7" l="1"/>
  <c r="D1246" i="7"/>
  <c r="C1248" i="7" l="1"/>
  <c r="D1247" i="7"/>
  <c r="C1249" i="7" l="1"/>
  <c r="D1248" i="7"/>
  <c r="D1249" i="7" l="1"/>
  <c r="C1250" i="7"/>
  <c r="C1251" i="7" l="1"/>
  <c r="D1250" i="7"/>
  <c r="C1252" i="7" l="1"/>
  <c r="D1251" i="7"/>
  <c r="C1253" i="7" l="1"/>
  <c r="D1252" i="7"/>
  <c r="D1253" i="7" l="1"/>
  <c r="C1254" i="7"/>
  <c r="D1254" i="7" l="1"/>
  <c r="C1255" i="7"/>
  <c r="C1256" i="7" l="1"/>
  <c r="D1255" i="7"/>
  <c r="C1257" i="7" l="1"/>
  <c r="D1256" i="7"/>
  <c r="D1257" i="7" l="1"/>
  <c r="C1258" i="7"/>
  <c r="D1258" i="7" l="1"/>
  <c r="C1259" i="7"/>
  <c r="C1260" i="7" l="1"/>
  <c r="D1259" i="7"/>
  <c r="C1261" i="7" l="1"/>
  <c r="D1260" i="7"/>
  <c r="C1262" i="7" l="1"/>
  <c r="D1261" i="7"/>
  <c r="D1262" i="7" l="1"/>
  <c r="C1263" i="7"/>
  <c r="C1264" i="7" l="1"/>
  <c r="D1263" i="7"/>
  <c r="C1265" i="7" l="1"/>
  <c r="D1264" i="7"/>
  <c r="D1265" i="7" l="1"/>
  <c r="C1266" i="7"/>
  <c r="C1267" i="7" l="1"/>
  <c r="D1266" i="7"/>
  <c r="C1268" i="7" l="1"/>
  <c r="D1267" i="7"/>
  <c r="C1269" i="7" l="1"/>
  <c r="D1268" i="7"/>
  <c r="D1269" i="7" l="1"/>
  <c r="C1270" i="7"/>
  <c r="D1270" i="7" l="1"/>
  <c r="C1271" i="7"/>
  <c r="C1272" i="7" l="1"/>
  <c r="D1271" i="7"/>
  <c r="C1273" i="7" l="1"/>
  <c r="D1272" i="7"/>
  <c r="D1273" i="7" l="1"/>
  <c r="C1274" i="7"/>
  <c r="C1275" i="7" l="1"/>
  <c r="D1274" i="7"/>
  <c r="C1276" i="7" l="1"/>
  <c r="D1275" i="7"/>
  <c r="D1276" i="7" l="1"/>
  <c r="C1277" i="7"/>
  <c r="C1278" i="7" l="1"/>
  <c r="D1277" i="7"/>
  <c r="D1278" i="7" l="1"/>
  <c r="C1279" i="7"/>
  <c r="C1280" i="7" l="1"/>
  <c r="D1279" i="7"/>
  <c r="C1281" i="7" l="1"/>
  <c r="D1280" i="7"/>
  <c r="D1281" i="7" l="1"/>
  <c r="C1282" i="7"/>
  <c r="C1283" i="7" l="1"/>
  <c r="D1282" i="7"/>
  <c r="C1284" i="7" l="1"/>
  <c r="D1283" i="7"/>
  <c r="C1285" i="7" l="1"/>
  <c r="D1284" i="7"/>
  <c r="D1285" i="7" l="1"/>
  <c r="C1286" i="7"/>
  <c r="D1286" i="7" l="1"/>
  <c r="C1287" i="7"/>
  <c r="C1288" i="7" l="1"/>
  <c r="D1287" i="7"/>
  <c r="C1289" i="7" l="1"/>
  <c r="D1288" i="7"/>
  <c r="D1289" i="7" l="1"/>
  <c r="C1290" i="7"/>
  <c r="D1290" i="7" l="1"/>
  <c r="C1291" i="7"/>
  <c r="C1292" i="7" l="1"/>
  <c r="D1291" i="7"/>
  <c r="C1293" i="7" l="1"/>
  <c r="D1292" i="7"/>
  <c r="C1294" i="7" l="1"/>
  <c r="D1293" i="7"/>
  <c r="D1294" i="7" l="1"/>
  <c r="C1295" i="7"/>
  <c r="C1296" i="7" l="1"/>
  <c r="D1295" i="7"/>
  <c r="C1297" i="7" l="1"/>
  <c r="D1296" i="7"/>
  <c r="D1297" i="7" l="1"/>
  <c r="C1298" i="7"/>
  <c r="C1299" i="7" l="1"/>
  <c r="D1298" i="7"/>
  <c r="C1300" i="7" l="1"/>
  <c r="D1299" i="7"/>
  <c r="C1301" i="7" l="1"/>
  <c r="D1300" i="7"/>
  <c r="D1301" i="7" l="1"/>
  <c r="C1302" i="7"/>
  <c r="D1302" i="7" l="1"/>
  <c r="C1303" i="7"/>
  <c r="C1304" i="7" l="1"/>
  <c r="D1303" i="7"/>
  <c r="C1305" i="7" l="1"/>
  <c r="D1304" i="7"/>
  <c r="D1305" i="7" l="1"/>
  <c r="C1306" i="7"/>
  <c r="C1307" i="7" l="1"/>
  <c r="D1306" i="7"/>
  <c r="C1308" i="7" l="1"/>
  <c r="D1307" i="7"/>
  <c r="C1309" i="7" l="1"/>
  <c r="D1308" i="7"/>
  <c r="C1310" i="7" l="1"/>
  <c r="D1309" i="7"/>
  <c r="D1310" i="7" l="1"/>
  <c r="C1311" i="7"/>
  <c r="C1312" i="7" l="1"/>
  <c r="D1311" i="7"/>
  <c r="C1313" i="7" l="1"/>
  <c r="D1312" i="7"/>
  <c r="D1313" i="7" l="1"/>
  <c r="C1314" i="7"/>
  <c r="D1314" i="7" l="1"/>
  <c r="C1315" i="7"/>
  <c r="C1316" i="7" l="1"/>
  <c r="D1315" i="7"/>
  <c r="C1317" i="7" l="1"/>
  <c r="D1316" i="7"/>
  <c r="D1317" i="7" l="1"/>
  <c r="C1318" i="7"/>
  <c r="D1318" i="7" l="1"/>
  <c r="C1319" i="7"/>
  <c r="C1320" i="7" l="1"/>
  <c r="D1319" i="7"/>
  <c r="C1321" i="7" l="1"/>
  <c r="D1320" i="7"/>
  <c r="D1321" i="7" l="1"/>
  <c r="C1322" i="7"/>
  <c r="C1323" i="7" l="1"/>
  <c r="D1322" i="7"/>
  <c r="C1324" i="7" l="1"/>
  <c r="D1323" i="7"/>
  <c r="C1325" i="7" l="1"/>
  <c r="D1324" i="7"/>
  <c r="C1326" i="7" l="1"/>
  <c r="D1325" i="7"/>
  <c r="D1326" i="7" l="1"/>
  <c r="C1327" i="7"/>
  <c r="C1328" i="7" l="1"/>
  <c r="D1327" i="7"/>
  <c r="C1329" i="7" l="1"/>
  <c r="D1328" i="7"/>
  <c r="D1329" i="7" l="1"/>
  <c r="C1330" i="7"/>
  <c r="D1330" i="7" l="1"/>
  <c r="C1331" i="7"/>
  <c r="C1332" i="7" l="1"/>
  <c r="D1331" i="7"/>
  <c r="C1333" i="7" l="1"/>
  <c r="D1332" i="7"/>
  <c r="C1334" i="7" l="1"/>
  <c r="D1333" i="7"/>
  <c r="D1334" i="7" l="1"/>
  <c r="C1335" i="7"/>
  <c r="C1336" i="7" l="1"/>
  <c r="D1335" i="7"/>
  <c r="C1337" i="7" l="1"/>
  <c r="D1336" i="7"/>
  <c r="D1337" i="7" l="1"/>
  <c r="C1338" i="7"/>
  <c r="C1339" i="7" l="1"/>
  <c r="D1338" i="7"/>
  <c r="C1340" i="7" l="1"/>
  <c r="D1339" i="7"/>
  <c r="C1341" i="7" l="1"/>
  <c r="D1340" i="7"/>
  <c r="C1342" i="7" l="1"/>
  <c r="D1341" i="7"/>
  <c r="D1342" i="7" l="1"/>
  <c r="C1343" i="7"/>
  <c r="C1344" i="7" l="1"/>
  <c r="D1343" i="7"/>
  <c r="C1345" i="7" l="1"/>
  <c r="D1344" i="7"/>
  <c r="D1345" i="7" l="1"/>
  <c r="C1346" i="7"/>
  <c r="C1347" i="7" l="1"/>
  <c r="D1346" i="7"/>
  <c r="C1348" i="7" l="1"/>
  <c r="D1347" i="7"/>
  <c r="C1349" i="7" l="1"/>
  <c r="D1348" i="7"/>
  <c r="C1350" i="7" l="1"/>
  <c r="D1349" i="7"/>
  <c r="D1350" i="7" l="1"/>
  <c r="C1351" i="7"/>
  <c r="C1352" i="7" l="1"/>
  <c r="D1351" i="7"/>
  <c r="C1353" i="7" l="1"/>
  <c r="D1352" i="7"/>
  <c r="D1353" i="7" l="1"/>
  <c r="C1354" i="7"/>
  <c r="C1355" i="7" l="1"/>
  <c r="D1354" i="7"/>
  <c r="C1356" i="7" l="1"/>
  <c r="D1355" i="7"/>
  <c r="D1356" i="7" l="1"/>
  <c r="C1357" i="7"/>
  <c r="C1358" i="7" l="1"/>
  <c r="D1357" i="7"/>
  <c r="D1358" i="7" l="1"/>
  <c r="C1359" i="7"/>
  <c r="C1360" i="7" l="1"/>
  <c r="D1359" i="7"/>
  <c r="C1361" i="7" l="1"/>
  <c r="D1360" i="7"/>
  <c r="D1361" i="7" l="1"/>
  <c r="C1362" i="7"/>
  <c r="D1362" i="7" l="1"/>
  <c r="C1363" i="7"/>
  <c r="C1364" i="7" l="1"/>
  <c r="D1363" i="7"/>
  <c r="C1365" i="7" l="1"/>
  <c r="D1364" i="7"/>
  <c r="C1366" i="7" l="1"/>
  <c r="D1365" i="7"/>
  <c r="D1366" i="7" l="1"/>
  <c r="C1367" i="7"/>
  <c r="C1368" i="7" l="1"/>
  <c r="D1367" i="7"/>
  <c r="C1369" i="7" l="1"/>
  <c r="D1368" i="7"/>
  <c r="D1369" i="7" l="1"/>
  <c r="C1370" i="7"/>
  <c r="C1371" i="7" l="1"/>
  <c r="D1370" i="7"/>
  <c r="C1372" i="7" l="1"/>
  <c r="D1371" i="7"/>
  <c r="C1373" i="7" l="1"/>
  <c r="D1372" i="7"/>
  <c r="C1374" i="7" l="1"/>
  <c r="D1373" i="7"/>
  <c r="D1374" i="7" l="1"/>
  <c r="C1375" i="7"/>
  <c r="C1376" i="7" l="1"/>
  <c r="D1375" i="7"/>
  <c r="C1377" i="7" l="1"/>
  <c r="D1376" i="7"/>
  <c r="D1377" i="7" l="1"/>
  <c r="C1378" i="7"/>
  <c r="C1379" i="7" l="1"/>
  <c r="D1378" i="7"/>
  <c r="C1380" i="7" l="1"/>
  <c r="D1379" i="7"/>
  <c r="C1381" i="7" l="1"/>
  <c r="D1380" i="7"/>
  <c r="C1382" i="7" l="1"/>
  <c r="D1381" i="7"/>
  <c r="D1382" i="7" l="1"/>
  <c r="C1383" i="7"/>
  <c r="C1384" i="7" l="1"/>
  <c r="D1383" i="7"/>
  <c r="C1385" i="7" l="1"/>
  <c r="D1384" i="7"/>
  <c r="C1386" i="7" l="1"/>
  <c r="D1385" i="7"/>
  <c r="C1387" i="7" l="1"/>
  <c r="D1386" i="7"/>
  <c r="C1388" i="7" l="1"/>
  <c r="D1387" i="7"/>
  <c r="D1388" i="7" l="1"/>
  <c r="C1389" i="7"/>
  <c r="C1390" i="7" l="1"/>
  <c r="D1389" i="7"/>
  <c r="D1390" i="7" l="1"/>
  <c r="C1391" i="7"/>
  <c r="C1392" i="7" l="1"/>
  <c r="D1391" i="7"/>
  <c r="C1393" i="7" l="1"/>
  <c r="D1392" i="7"/>
  <c r="D1393" i="7" l="1"/>
  <c r="C1394" i="7"/>
  <c r="C1395" i="7" l="1"/>
  <c r="D1394" i="7"/>
  <c r="C1396" i="7" l="1"/>
  <c r="D1395" i="7"/>
  <c r="C1397" i="7" l="1"/>
  <c r="D1396" i="7"/>
  <c r="C1398" i="7" l="1"/>
  <c r="D1397" i="7"/>
  <c r="D1398" i="7" l="1"/>
  <c r="C1399" i="7"/>
  <c r="C1400" i="7" l="1"/>
  <c r="D1399" i="7"/>
  <c r="C1401" i="7" l="1"/>
  <c r="D1400" i="7"/>
  <c r="C1402" i="7" l="1"/>
  <c r="D1401" i="7"/>
  <c r="C1403" i="7" l="1"/>
  <c r="D1402" i="7"/>
  <c r="C1404" i="7" l="1"/>
  <c r="D1403" i="7"/>
  <c r="C1405" i="7" l="1"/>
  <c r="D1404" i="7"/>
  <c r="C1406" i="7" l="1"/>
  <c r="D1405" i="7"/>
  <c r="D1406" i="7" l="1"/>
  <c r="C1407" i="7"/>
  <c r="C1408" i="7" l="1"/>
  <c r="D1407" i="7"/>
  <c r="C1409" i="7" l="1"/>
  <c r="D1408" i="7"/>
  <c r="D1409" i="7" l="1"/>
  <c r="C1410" i="7"/>
  <c r="C1411" i="7" l="1"/>
  <c r="D1410" i="7"/>
  <c r="C1412" i="7" l="1"/>
  <c r="D1411" i="7"/>
  <c r="C1413" i="7" l="1"/>
  <c r="D1412" i="7"/>
  <c r="C1414" i="7" l="1"/>
  <c r="D1413" i="7"/>
  <c r="D1414" i="7" l="1"/>
  <c r="C1415" i="7"/>
  <c r="D1415" i="7" l="1"/>
  <c r="C1416" i="7"/>
  <c r="C1417" i="7" l="1"/>
  <c r="D1416" i="7"/>
  <c r="C1418" i="7" l="1"/>
  <c r="D1417" i="7"/>
  <c r="C1419" i="7" l="1"/>
  <c r="D1418" i="7"/>
  <c r="C1420" i="7" l="1"/>
  <c r="D1419" i="7"/>
  <c r="C1421" i="7" l="1"/>
  <c r="D1420" i="7"/>
  <c r="C1422" i="7" l="1"/>
  <c r="D1421" i="7"/>
  <c r="D1422" i="7" l="1"/>
  <c r="C1423" i="7"/>
  <c r="C1424" i="7" l="1"/>
  <c r="D1423" i="7"/>
  <c r="C1425" i="7" l="1"/>
  <c r="D1424" i="7"/>
  <c r="D1425" i="7" l="1"/>
  <c r="C1426" i="7"/>
  <c r="C1427" i="7" l="1"/>
  <c r="D1426" i="7"/>
  <c r="C1428" i="7" l="1"/>
  <c r="D1427" i="7"/>
  <c r="C1429" i="7" l="1"/>
  <c r="D1428" i="7"/>
  <c r="C1430" i="7" l="1"/>
  <c r="D1429" i="7"/>
  <c r="D1430" i="7" l="1"/>
  <c r="C1431" i="7"/>
  <c r="C1432" i="7" l="1"/>
  <c r="D1431" i="7"/>
  <c r="C1433" i="7" l="1"/>
  <c r="D1432" i="7"/>
  <c r="C1434" i="7" l="1"/>
  <c r="D1433" i="7"/>
  <c r="C1435" i="7" l="1"/>
  <c r="D1434" i="7"/>
  <c r="C1436" i="7" l="1"/>
  <c r="D1435" i="7"/>
  <c r="D1436" i="7" l="1"/>
  <c r="C1437" i="7"/>
  <c r="C1438" i="7" l="1"/>
  <c r="D1437" i="7"/>
  <c r="D1438" i="7" l="1"/>
  <c r="C1439" i="7"/>
  <c r="C1440" i="7" l="1"/>
  <c r="D1439" i="7"/>
  <c r="C1441" i="7" l="1"/>
  <c r="D1440" i="7"/>
  <c r="D1441" i="7" l="1"/>
  <c r="C1442" i="7"/>
  <c r="C1443" i="7" l="1"/>
  <c r="D1442" i="7"/>
  <c r="C1444" i="7" l="1"/>
  <c r="D1443" i="7"/>
  <c r="C1445" i="7" l="1"/>
  <c r="D1444" i="7"/>
  <c r="C1446" i="7" l="1"/>
  <c r="D1445" i="7"/>
  <c r="D1446" i="7" l="1"/>
  <c r="C1447" i="7"/>
  <c r="C1448" i="7" l="1"/>
  <c r="D1447" i="7"/>
  <c r="C1449" i="7" l="1"/>
  <c r="D1448" i="7"/>
  <c r="C1450" i="7" l="1"/>
  <c r="D1449" i="7"/>
  <c r="C1451" i="7" l="1"/>
  <c r="D1450" i="7"/>
  <c r="C1452" i="7" l="1"/>
  <c r="D1451" i="7"/>
  <c r="D1452" i="7" l="1"/>
  <c r="C1453" i="7"/>
  <c r="C1454" i="7" l="1"/>
  <c r="D1453" i="7"/>
  <c r="D1454" i="7" l="1"/>
  <c r="C1455" i="7"/>
  <c r="C1456" i="7" l="1"/>
  <c r="D1455" i="7"/>
  <c r="C1457" i="7" l="1"/>
  <c r="D1456" i="7"/>
  <c r="D1457" i="7" l="1"/>
  <c r="C1458" i="7"/>
  <c r="C1459" i="7" l="1"/>
  <c r="D1458" i="7"/>
  <c r="C1460" i="7" l="1"/>
  <c r="D1459" i="7"/>
  <c r="C1461" i="7" l="1"/>
  <c r="D1460" i="7"/>
  <c r="C1462" i="7" l="1"/>
  <c r="D1461" i="7"/>
  <c r="D1462" i="7" l="1"/>
  <c r="C1463" i="7"/>
  <c r="C1464" i="7" l="1"/>
  <c r="D1463" i="7"/>
  <c r="C1465" i="7" l="1"/>
  <c r="D1464" i="7"/>
  <c r="C1466" i="7" l="1"/>
  <c r="D1465" i="7"/>
  <c r="C1467" i="7" l="1"/>
  <c r="D1466" i="7"/>
  <c r="C1468" i="7" l="1"/>
  <c r="D1467" i="7"/>
  <c r="C1469" i="7" l="1"/>
  <c r="D1468" i="7"/>
  <c r="C1470" i="7" l="1"/>
  <c r="D1469" i="7"/>
  <c r="D1470" i="7" l="1"/>
  <c r="C1471" i="7"/>
  <c r="C1472" i="7" l="1"/>
  <c r="D1471" i="7"/>
  <c r="C1473" i="7" l="1"/>
  <c r="D1472" i="7"/>
  <c r="D1473" i="7" l="1"/>
  <c r="C1474" i="7"/>
  <c r="C1475" i="7" l="1"/>
  <c r="D1474" i="7"/>
  <c r="C1476" i="7" l="1"/>
  <c r="D1475" i="7"/>
  <c r="C1477" i="7" l="1"/>
  <c r="D1476" i="7"/>
  <c r="C1478" i="7" l="1"/>
  <c r="D1477" i="7"/>
  <c r="D1478" i="7" l="1"/>
  <c r="C1479" i="7"/>
  <c r="D1479" i="7" l="1"/>
  <c r="C1480" i="7"/>
  <c r="C1481" i="7" l="1"/>
  <c r="D1480" i="7"/>
  <c r="C1482" i="7" l="1"/>
  <c r="D1481" i="7"/>
  <c r="C1483" i="7" l="1"/>
  <c r="D1482" i="7"/>
  <c r="C1484" i="7" l="1"/>
  <c r="D1483" i="7"/>
  <c r="C1485" i="7" l="1"/>
  <c r="D1484" i="7"/>
  <c r="C1486" i="7" l="1"/>
  <c r="D1485" i="7"/>
  <c r="D1486" i="7" l="1"/>
  <c r="C1487" i="7"/>
  <c r="C1488" i="7" l="1"/>
  <c r="D1487" i="7"/>
  <c r="C1489" i="7" l="1"/>
  <c r="D1488" i="7"/>
  <c r="D1489" i="7" l="1"/>
  <c r="C1490" i="7"/>
  <c r="C1491" i="7" l="1"/>
  <c r="D1490" i="7"/>
  <c r="C1492" i="7" l="1"/>
  <c r="D1491" i="7"/>
  <c r="C1493" i="7" l="1"/>
  <c r="D1492" i="7"/>
  <c r="C1494" i="7" l="1"/>
  <c r="D1493" i="7"/>
  <c r="D1494" i="7" l="1"/>
  <c r="C1495" i="7"/>
  <c r="C1496" i="7" l="1"/>
  <c r="D1495" i="7"/>
  <c r="C1497" i="7" l="1"/>
  <c r="D1496" i="7"/>
  <c r="C1498" i="7" l="1"/>
  <c r="D1497" i="7"/>
  <c r="C1499" i="7" l="1"/>
  <c r="D1498" i="7"/>
  <c r="C1500" i="7" l="1"/>
  <c r="D1499" i="7"/>
  <c r="C1501" i="7" l="1"/>
  <c r="D1500" i="7"/>
  <c r="C1502" i="7" l="1"/>
  <c r="D1501" i="7"/>
  <c r="D1502" i="7" l="1"/>
  <c r="C1503" i="7"/>
  <c r="C1504" i="7" l="1"/>
  <c r="D1503" i="7"/>
  <c r="C1505" i="7" l="1"/>
  <c r="D1504" i="7"/>
  <c r="D1505" i="7" l="1"/>
  <c r="C1506" i="7"/>
  <c r="C1507" i="7" l="1"/>
  <c r="D1506" i="7"/>
  <c r="C1508" i="7" l="1"/>
  <c r="D1507" i="7"/>
  <c r="C1509" i="7" l="1"/>
  <c r="D1508" i="7"/>
  <c r="C1510" i="7" l="1"/>
  <c r="D1509" i="7"/>
  <c r="D1510" i="7" l="1"/>
  <c r="C1511" i="7"/>
  <c r="C1512" i="7" l="1"/>
  <c r="D1511" i="7"/>
  <c r="C1513" i="7" l="1"/>
  <c r="D1512" i="7"/>
  <c r="C1514" i="7" l="1"/>
  <c r="D1513" i="7"/>
  <c r="C1515" i="7" l="1"/>
  <c r="D1514" i="7"/>
  <c r="C1516" i="7" l="1"/>
  <c r="D1515" i="7"/>
  <c r="D1516" i="7" l="1"/>
  <c r="C1517" i="7"/>
  <c r="C1518" i="7" l="1"/>
  <c r="D1517" i="7"/>
  <c r="D1518" i="7" l="1"/>
  <c r="C1519" i="7"/>
  <c r="C1520" i="7" l="1"/>
  <c r="D1519" i="7"/>
  <c r="C1521" i="7" l="1"/>
  <c r="D1520" i="7"/>
  <c r="D1521" i="7" l="1"/>
  <c r="C1522" i="7"/>
  <c r="C1523" i="7" l="1"/>
  <c r="D1522" i="7"/>
  <c r="C1524" i="7" l="1"/>
  <c r="D1523" i="7"/>
  <c r="C1525" i="7" l="1"/>
  <c r="D1524" i="7"/>
  <c r="C1526" i="7" l="1"/>
  <c r="D1525" i="7"/>
  <c r="D1526" i="7" l="1"/>
  <c r="C1527" i="7"/>
  <c r="C1528" i="7" l="1"/>
  <c r="D1527" i="7"/>
  <c r="C1529" i="7" l="1"/>
  <c r="D1528" i="7"/>
  <c r="C1530" i="7" l="1"/>
  <c r="D1529" i="7"/>
  <c r="C1531" i="7" l="1"/>
  <c r="D1530" i="7"/>
  <c r="C1532" i="7" l="1"/>
  <c r="D1531" i="7"/>
  <c r="C1533" i="7" l="1"/>
  <c r="D1532" i="7"/>
  <c r="C1534" i="7" l="1"/>
  <c r="D1533" i="7"/>
  <c r="D1534" i="7" l="1"/>
  <c r="C1535" i="7"/>
  <c r="C1536" i="7" l="1"/>
  <c r="D1535" i="7"/>
  <c r="C1537" i="7" l="1"/>
  <c r="D1536" i="7"/>
  <c r="D1537" i="7" l="1"/>
  <c r="C1538" i="7"/>
  <c r="C1539" i="7" l="1"/>
  <c r="D1538" i="7"/>
  <c r="C1540" i="7" l="1"/>
  <c r="D1539" i="7"/>
  <c r="C1541" i="7" l="1"/>
  <c r="D1540" i="7"/>
  <c r="C1542" i="7" l="1"/>
  <c r="D1541" i="7"/>
  <c r="D1542" i="7" l="1"/>
  <c r="C1543" i="7"/>
  <c r="D1543" i="7" l="1"/>
  <c r="C1544" i="7"/>
  <c r="C1545" i="7" l="1"/>
  <c r="D1544" i="7"/>
  <c r="C1546" i="7" l="1"/>
  <c r="D1545" i="7"/>
  <c r="C1547" i="7" l="1"/>
  <c r="D1546" i="7"/>
  <c r="C1548" i="7" l="1"/>
  <c r="D1547" i="7"/>
  <c r="C1549" i="7" l="1"/>
  <c r="D1548" i="7"/>
  <c r="C1550" i="7" l="1"/>
  <c r="D1549" i="7"/>
  <c r="D1550" i="7" l="1"/>
  <c r="C1551" i="7"/>
  <c r="C1552" i="7" l="1"/>
  <c r="D1551" i="7"/>
  <c r="C1553" i="7" l="1"/>
  <c r="D1552" i="7"/>
  <c r="D1553" i="7" l="1"/>
  <c r="C1554" i="7"/>
  <c r="C1555" i="7" l="1"/>
  <c r="D1554" i="7"/>
  <c r="C1556" i="7" l="1"/>
  <c r="D1555" i="7"/>
  <c r="C1557" i="7" l="1"/>
  <c r="D1556" i="7"/>
  <c r="C1558" i="7" l="1"/>
  <c r="D1557" i="7"/>
  <c r="D1558" i="7" l="1"/>
  <c r="C1559" i="7"/>
  <c r="C1560" i="7" l="1"/>
  <c r="D1559" i="7"/>
  <c r="C1561" i="7" l="1"/>
  <c r="D1560" i="7"/>
  <c r="C1562" i="7" l="1"/>
  <c r="D1561" i="7"/>
  <c r="C1563" i="7" l="1"/>
  <c r="D1562" i="7"/>
  <c r="C1564" i="7" l="1"/>
  <c r="D1563" i="7"/>
  <c r="C1565" i="7" l="1"/>
  <c r="D1564" i="7"/>
  <c r="C1566" i="7" l="1"/>
  <c r="D1565" i="7"/>
  <c r="D1566" i="7" l="1"/>
  <c r="C1567" i="7"/>
  <c r="C1568" i="7" l="1"/>
  <c r="D1567" i="7"/>
  <c r="C1569" i="7" l="1"/>
  <c r="D1568" i="7"/>
  <c r="D1569" i="7" l="1"/>
  <c r="C1570" i="7"/>
  <c r="C1571" i="7" l="1"/>
  <c r="D1570" i="7"/>
  <c r="C1572" i="7" l="1"/>
  <c r="D1571" i="7"/>
  <c r="C1573" i="7" l="1"/>
  <c r="D1572" i="7"/>
  <c r="C1574" i="7" l="1"/>
  <c r="D1573" i="7"/>
  <c r="D1574" i="7" l="1"/>
  <c r="C1575" i="7"/>
  <c r="C1576" i="7" l="1"/>
  <c r="D1575" i="7"/>
  <c r="C1577" i="7" l="1"/>
  <c r="D1576" i="7"/>
  <c r="C1578" i="7" l="1"/>
  <c r="D1577" i="7"/>
  <c r="C1579" i="7" l="1"/>
  <c r="D1578" i="7"/>
  <c r="C1580" i="7" l="1"/>
  <c r="D1579" i="7"/>
  <c r="D1580" i="7" l="1"/>
  <c r="C1581" i="7"/>
  <c r="C1582" i="7" l="1"/>
  <c r="D1581" i="7"/>
  <c r="D1582" i="7" l="1"/>
  <c r="C1583" i="7"/>
  <c r="C1584" i="7" l="1"/>
  <c r="D1583" i="7"/>
  <c r="C1585" i="7" l="1"/>
  <c r="D1584" i="7"/>
  <c r="D1585" i="7" l="1"/>
  <c r="C1586" i="7"/>
  <c r="C1587" i="7" l="1"/>
  <c r="D1586" i="7"/>
  <c r="C1588" i="7" l="1"/>
  <c r="D1587" i="7"/>
  <c r="C1589" i="7" l="1"/>
  <c r="D1588" i="7"/>
  <c r="C1590" i="7" l="1"/>
  <c r="D1589" i="7"/>
  <c r="D1590" i="7" l="1"/>
  <c r="C1591" i="7"/>
  <c r="D1591" i="7" l="1"/>
  <c r="C1592" i="7"/>
  <c r="C1593" i="7" l="1"/>
  <c r="D1592" i="7"/>
  <c r="C1594" i="7" l="1"/>
  <c r="D1593" i="7"/>
  <c r="C1595" i="7" l="1"/>
  <c r="D1594" i="7"/>
  <c r="C1596" i="7" l="1"/>
  <c r="D1595" i="7"/>
  <c r="C1597" i="7" l="1"/>
  <c r="D1596" i="7"/>
  <c r="C1598" i="7" l="1"/>
  <c r="D1597" i="7"/>
  <c r="D1598" i="7" l="1"/>
  <c r="C1599" i="7"/>
  <c r="C1600" i="7" l="1"/>
  <c r="D1599" i="7"/>
  <c r="C1601" i="7" l="1"/>
  <c r="D1600" i="7"/>
  <c r="D1601" i="7" l="1"/>
  <c r="C1602" i="7"/>
  <c r="C1603" i="7" l="1"/>
  <c r="D1602" i="7"/>
  <c r="C1604" i="7" l="1"/>
  <c r="D1603" i="7"/>
  <c r="C1605" i="7" l="1"/>
  <c r="D1604" i="7"/>
  <c r="C1606" i="7" l="1"/>
  <c r="D1605" i="7"/>
  <c r="D1606" i="7" l="1"/>
  <c r="C1607" i="7"/>
  <c r="D1607" i="7" l="1"/>
  <c r="C1608" i="7"/>
  <c r="C1609" i="7" l="1"/>
  <c r="D1608" i="7"/>
  <c r="C1610" i="7" l="1"/>
  <c r="D1609" i="7"/>
  <c r="C1611" i="7" l="1"/>
  <c r="D1610" i="7"/>
  <c r="C1612" i="7" l="1"/>
  <c r="D1611" i="7"/>
  <c r="C1613" i="7" l="1"/>
  <c r="D1612" i="7"/>
  <c r="C1614" i="7" l="1"/>
  <c r="D1613" i="7"/>
  <c r="D1614" i="7" l="1"/>
  <c r="C1615" i="7"/>
  <c r="C1616" i="7" l="1"/>
  <c r="D1615" i="7"/>
  <c r="C1617" i="7" l="1"/>
  <c r="D1616" i="7"/>
  <c r="D1617" i="7" l="1"/>
  <c r="C1618" i="7"/>
  <c r="C1619" i="7" l="1"/>
  <c r="D1618" i="7"/>
  <c r="C1620" i="7" l="1"/>
  <c r="D1619" i="7"/>
  <c r="C1621" i="7" l="1"/>
  <c r="D1620" i="7"/>
  <c r="C1622" i="7" l="1"/>
  <c r="D1621" i="7"/>
  <c r="D1622" i="7" l="1"/>
  <c r="C1623" i="7"/>
  <c r="C1624" i="7" l="1"/>
  <c r="D1623" i="7"/>
  <c r="C1625" i="7" l="1"/>
  <c r="D1624" i="7"/>
  <c r="C1626" i="7" l="1"/>
  <c r="D1625" i="7"/>
  <c r="C1627" i="7" l="1"/>
  <c r="D1626" i="7"/>
  <c r="C1628" i="7" l="1"/>
  <c r="D1627" i="7"/>
  <c r="C1629" i="7" l="1"/>
  <c r="D1628" i="7"/>
  <c r="C1630" i="7" l="1"/>
  <c r="D1629" i="7"/>
  <c r="D1630" i="7" l="1"/>
  <c r="C1631" i="7"/>
  <c r="C1632" i="7" l="1"/>
  <c r="D1631" i="7"/>
  <c r="C1633" i="7" l="1"/>
  <c r="D1632" i="7"/>
  <c r="D1633" i="7" l="1"/>
  <c r="C1634" i="7"/>
  <c r="C1635" i="7" l="1"/>
  <c r="D1634" i="7"/>
  <c r="C1636" i="7" l="1"/>
  <c r="D1635" i="7"/>
  <c r="C1637" i="7" l="1"/>
  <c r="D1636" i="7"/>
  <c r="C1638" i="7" l="1"/>
  <c r="D1637" i="7"/>
  <c r="D1638" i="7" l="1"/>
  <c r="C1639" i="7"/>
  <c r="C1640" i="7" l="1"/>
  <c r="D1639" i="7"/>
  <c r="C1641" i="7" l="1"/>
  <c r="D1640" i="7"/>
  <c r="C1642" i="7" l="1"/>
  <c r="D1641" i="7"/>
  <c r="C1643" i="7" l="1"/>
  <c r="D1642" i="7"/>
  <c r="C1644" i="7" l="1"/>
  <c r="D1643" i="7"/>
  <c r="D1644" i="7" l="1"/>
  <c r="C1645" i="7"/>
  <c r="C1646" i="7" l="1"/>
  <c r="D1645" i="7"/>
  <c r="D1646" i="7" l="1"/>
  <c r="C1647" i="7"/>
  <c r="C1648" i="7" l="1"/>
  <c r="D1647" i="7"/>
  <c r="C1649" i="7" l="1"/>
  <c r="D1648" i="7"/>
  <c r="D1649" i="7" l="1"/>
  <c r="C1650" i="7"/>
  <c r="C1651" i="7" l="1"/>
  <c r="D1650" i="7"/>
  <c r="C1652" i="7" l="1"/>
  <c r="D1651" i="7"/>
  <c r="C1653" i="7" l="1"/>
  <c r="D1652" i="7"/>
  <c r="C1654" i="7" l="1"/>
  <c r="D1653" i="7"/>
  <c r="D1654" i="7" l="1"/>
  <c r="C1655" i="7"/>
  <c r="C1656" i="7" l="1"/>
  <c r="D1655" i="7"/>
  <c r="C1657" i="7" l="1"/>
  <c r="D1656" i="7"/>
  <c r="C1658" i="7" l="1"/>
  <c r="D1657" i="7"/>
  <c r="C1659" i="7" l="1"/>
  <c r="D1658" i="7"/>
  <c r="C1660" i="7" l="1"/>
  <c r="D1659" i="7"/>
  <c r="C1661" i="7" l="1"/>
  <c r="D1660" i="7"/>
  <c r="C1662" i="7" l="1"/>
  <c r="D1661" i="7"/>
  <c r="D1662" i="7" l="1"/>
  <c r="C1663" i="7"/>
  <c r="C1664" i="7" l="1"/>
  <c r="D1663" i="7"/>
  <c r="C1665" i="7" l="1"/>
  <c r="D1664" i="7"/>
  <c r="D1665" i="7" l="1"/>
  <c r="C1666" i="7"/>
  <c r="C1667" i="7" l="1"/>
  <c r="D1666" i="7"/>
  <c r="C1668" i="7" l="1"/>
  <c r="D1667" i="7"/>
  <c r="C1669" i="7" l="1"/>
  <c r="D1668" i="7"/>
  <c r="C1670" i="7" l="1"/>
  <c r="D1669" i="7"/>
  <c r="D1670" i="7" l="1"/>
  <c r="C1671" i="7"/>
  <c r="D1671" i="7" l="1"/>
  <c r="C1672" i="7"/>
  <c r="C1673" i="7" l="1"/>
  <c r="D1672" i="7"/>
  <c r="C1674" i="7" l="1"/>
  <c r="D1673" i="7"/>
  <c r="C1675" i="7" l="1"/>
  <c r="D1674" i="7"/>
  <c r="C1676" i="7" l="1"/>
  <c r="D1675" i="7"/>
  <c r="C1677" i="7" l="1"/>
  <c r="D1676" i="7"/>
  <c r="C1678" i="7" l="1"/>
  <c r="D1677" i="7"/>
  <c r="D1678" i="7" l="1"/>
  <c r="C1679" i="7"/>
  <c r="C1680" i="7" l="1"/>
  <c r="D1679" i="7"/>
  <c r="C1681" i="7" l="1"/>
  <c r="D1680" i="7"/>
  <c r="D1681" i="7" l="1"/>
  <c r="C1682" i="7"/>
  <c r="C1683" i="7" l="1"/>
  <c r="D1682" i="7"/>
  <c r="C1684" i="7" l="1"/>
  <c r="D1683" i="7"/>
  <c r="C1685" i="7" l="1"/>
  <c r="D1684" i="7"/>
  <c r="C1686" i="7" l="1"/>
  <c r="D1685" i="7"/>
  <c r="D1686" i="7" l="1"/>
  <c r="C1687" i="7"/>
  <c r="C1688" i="7" l="1"/>
  <c r="D1687" i="7"/>
  <c r="C1689" i="7" l="1"/>
  <c r="D1688" i="7"/>
  <c r="C1690" i="7" l="1"/>
  <c r="D1689" i="7"/>
  <c r="C1691" i="7" l="1"/>
  <c r="D1690" i="7"/>
  <c r="C1692" i="7" l="1"/>
  <c r="D1691" i="7"/>
  <c r="C1693" i="7" l="1"/>
  <c r="D1692" i="7"/>
  <c r="C1694" i="7" l="1"/>
  <c r="D1693" i="7"/>
  <c r="D1694" i="7" l="1"/>
  <c r="C1695" i="7"/>
  <c r="C1696" i="7" l="1"/>
  <c r="D1695" i="7"/>
  <c r="C1697" i="7" l="1"/>
  <c r="D1696" i="7"/>
  <c r="D1697" i="7" l="1"/>
  <c r="C1698" i="7"/>
  <c r="D1698" i="7" l="1"/>
  <c r="C1699" i="7"/>
  <c r="C1700" i="7" l="1"/>
  <c r="D1699" i="7"/>
  <c r="D1700" i="7" l="1"/>
  <c r="C1701" i="7"/>
  <c r="C1702" i="7" l="1"/>
  <c r="D1701" i="7"/>
  <c r="D1702" i="7" l="1"/>
  <c r="C1703" i="7"/>
  <c r="C1704" i="7" l="1"/>
  <c r="D1703" i="7"/>
  <c r="D1704" i="7" l="1"/>
  <c r="C1705" i="7"/>
  <c r="C1706" i="7" l="1"/>
  <c r="D1705" i="7"/>
  <c r="C1707" i="7" l="1"/>
  <c r="D1706" i="7"/>
  <c r="D1707" i="7" l="1"/>
  <c r="C1708" i="7"/>
  <c r="C1709" i="7" l="1"/>
  <c r="D1708" i="7"/>
  <c r="D1709" i="7" l="1"/>
  <c r="C1710" i="7"/>
  <c r="C1711" i="7" l="1"/>
  <c r="D1710" i="7"/>
  <c r="D1711" i="7" l="1"/>
  <c r="C1712" i="7"/>
  <c r="D1712" i="7" l="1"/>
  <c r="C1713" i="7"/>
  <c r="C1714" i="7" l="1"/>
  <c r="D1713" i="7"/>
  <c r="D1714" i="7" l="1"/>
  <c r="C1715" i="7"/>
  <c r="C1716" i="7" l="1"/>
  <c r="D1715" i="7"/>
  <c r="D1716" i="7" l="1"/>
  <c r="C1717" i="7"/>
  <c r="C1718" i="7" l="1"/>
  <c r="D1717" i="7"/>
  <c r="D1718" i="7" l="1"/>
  <c r="C1719" i="7"/>
  <c r="C1720" i="7" l="1"/>
  <c r="D1719" i="7"/>
  <c r="D1720" i="7" l="1"/>
  <c r="C1721" i="7"/>
  <c r="C1722" i="7" l="1"/>
  <c r="D1721" i="7"/>
  <c r="C1723" i="7" l="1"/>
  <c r="D1722" i="7"/>
  <c r="D1723" i="7" l="1"/>
  <c r="C1724" i="7"/>
  <c r="C1725" i="7" l="1"/>
  <c r="D1724" i="7"/>
  <c r="D1725" i="7" l="1"/>
  <c r="C1726" i="7"/>
  <c r="C1727" i="7" l="1"/>
  <c r="D1726" i="7"/>
  <c r="D1727" i="7" l="1"/>
  <c r="C1728" i="7"/>
  <c r="D1728" i="7" l="1"/>
  <c r="C1729" i="7"/>
  <c r="C1730" i="7" l="1"/>
  <c r="D1729" i="7"/>
  <c r="D1730" i="7" l="1"/>
  <c r="C1731" i="7"/>
  <c r="C1732" i="7" l="1"/>
  <c r="D1731" i="7"/>
  <c r="D1732" i="7" l="1"/>
  <c r="C1733" i="7"/>
  <c r="C1734" i="7" l="1"/>
  <c r="D1733" i="7"/>
  <c r="D1734" i="7" l="1"/>
  <c r="C1735" i="7"/>
  <c r="C1736" i="7" l="1"/>
  <c r="D1735" i="7"/>
  <c r="D1736" i="7" l="1"/>
  <c r="C1737" i="7"/>
  <c r="C1738" i="7" l="1"/>
  <c r="D1737" i="7"/>
  <c r="C1739" i="7" l="1"/>
  <c r="D1738" i="7"/>
  <c r="D1739" i="7" l="1"/>
  <c r="C1740" i="7"/>
  <c r="C1741" i="7" l="1"/>
  <c r="D1740" i="7"/>
  <c r="D1741" i="7" l="1"/>
  <c r="C1742" i="7"/>
  <c r="C1743" i="7" l="1"/>
  <c r="D1742" i="7"/>
  <c r="D1743" i="7" l="1"/>
  <c r="C1744" i="7"/>
  <c r="D1744" i="7" l="1"/>
  <c r="C1745" i="7"/>
  <c r="C1746" i="7" l="1"/>
  <c r="D1745" i="7"/>
  <c r="D1746" i="7" l="1"/>
  <c r="C1747" i="7"/>
  <c r="C1748" i="7" l="1"/>
  <c r="D1747" i="7"/>
  <c r="D1748" i="7" l="1"/>
  <c r="C1749" i="7"/>
  <c r="C1750" i="7" l="1"/>
  <c r="D1749" i="7"/>
  <c r="D1750" i="7" l="1"/>
  <c r="C1751" i="7"/>
  <c r="C1752" i="7" l="1"/>
  <c r="D1751" i="7"/>
  <c r="D1752" i="7" l="1"/>
  <c r="C1753" i="7"/>
  <c r="C1754" i="7" l="1"/>
  <c r="D1753" i="7"/>
  <c r="C1755" i="7" l="1"/>
  <c r="D1754" i="7"/>
  <c r="D1755" i="7" l="1"/>
  <c r="C1756" i="7"/>
  <c r="C1757" i="7" l="1"/>
  <c r="D1756" i="7"/>
  <c r="D1757" i="7" l="1"/>
  <c r="C1758" i="7"/>
  <c r="C1759" i="7" l="1"/>
  <c r="D1758" i="7"/>
  <c r="D1759" i="7" l="1"/>
  <c r="C1760" i="7"/>
  <c r="D1760" i="7" l="1"/>
  <c r="C1761" i="7"/>
  <c r="C1762" i="7" l="1"/>
  <c r="D1761" i="7"/>
  <c r="D1762" i="7" l="1"/>
  <c r="C1763" i="7"/>
  <c r="C1764" i="7" l="1"/>
  <c r="D1763" i="7"/>
  <c r="D1764" i="7" l="1"/>
  <c r="C1765" i="7"/>
  <c r="C1766" i="7" l="1"/>
  <c r="D1765" i="7"/>
  <c r="D1766" i="7" l="1"/>
  <c r="C1767" i="7"/>
  <c r="C1768" i="7" l="1"/>
  <c r="D1767" i="7"/>
  <c r="D1768" i="7" l="1"/>
  <c r="C1769" i="7"/>
  <c r="C1770" i="7" l="1"/>
  <c r="D1769" i="7"/>
  <c r="C1771" i="7" l="1"/>
  <c r="D1770" i="7"/>
  <c r="D1771" i="7" l="1"/>
  <c r="C1772" i="7"/>
  <c r="C1773" i="7" l="1"/>
  <c r="D1772" i="7"/>
  <c r="D1773" i="7" l="1"/>
  <c r="C1774" i="7"/>
  <c r="C1775" i="7" l="1"/>
  <c r="D1774" i="7"/>
  <c r="D1775" i="7" l="1"/>
  <c r="C1776" i="7"/>
  <c r="D1776" i="7" l="1"/>
  <c r="C1777" i="7"/>
  <c r="C1778" i="7" l="1"/>
  <c r="D1777" i="7"/>
  <c r="D1778" i="7" l="1"/>
  <c r="C1779" i="7"/>
  <c r="C1780" i="7" l="1"/>
  <c r="D1779" i="7"/>
  <c r="D1780" i="7" l="1"/>
  <c r="C1781" i="7"/>
  <c r="C1782" i="7" l="1"/>
  <c r="D1781" i="7"/>
  <c r="D1782" i="7" l="1"/>
  <c r="C1783" i="7"/>
  <c r="C1784" i="7" l="1"/>
  <c r="D1783" i="7"/>
  <c r="D1784" i="7" l="1"/>
  <c r="C1785" i="7"/>
  <c r="C1786" i="7" l="1"/>
  <c r="D1785" i="7"/>
  <c r="C1787" i="7" l="1"/>
  <c r="D1786" i="7"/>
  <c r="D1787" i="7" l="1"/>
  <c r="C1788" i="7"/>
  <c r="C1789" i="7" l="1"/>
  <c r="D1788" i="7"/>
  <c r="D1789" i="7" l="1"/>
  <c r="C1790" i="7"/>
  <c r="C1791" i="7" l="1"/>
  <c r="D1790" i="7"/>
  <c r="D1791" i="7" l="1"/>
  <c r="C1792" i="7"/>
  <c r="D1792" i="7" l="1"/>
  <c r="C1793" i="7"/>
  <c r="C1794" i="7" l="1"/>
  <c r="D1793" i="7"/>
  <c r="D1794" i="7" l="1"/>
  <c r="C1795" i="7"/>
  <c r="C1796" i="7" l="1"/>
  <c r="D1795" i="7"/>
  <c r="D1796" i="7" l="1"/>
  <c r="C1797" i="7"/>
  <c r="C1798" i="7" l="1"/>
  <c r="D1797" i="7"/>
  <c r="D1798" i="7" l="1"/>
  <c r="C1799" i="7"/>
  <c r="C1800" i="7" l="1"/>
  <c r="D1799" i="7"/>
  <c r="D1800" i="7" l="1"/>
  <c r="C1801" i="7"/>
  <c r="C1802" i="7" l="1"/>
  <c r="D1801" i="7"/>
  <c r="C1803" i="7" l="1"/>
  <c r="D1802" i="7"/>
  <c r="D1803" i="7" l="1"/>
  <c r="C1804" i="7"/>
  <c r="C1805" i="7" l="1"/>
  <c r="D1804" i="7"/>
  <c r="D1805" i="7" l="1"/>
  <c r="C1806" i="7"/>
  <c r="C1807" i="7" l="1"/>
  <c r="D1806" i="7"/>
  <c r="D1807" i="7" l="1"/>
  <c r="C1808" i="7"/>
  <c r="D1808" i="7" l="1"/>
  <c r="C1809" i="7"/>
  <c r="C1810" i="7" l="1"/>
  <c r="D1809" i="7"/>
  <c r="D1810" i="7" l="1"/>
  <c r="C1811" i="7"/>
  <c r="C1812" i="7" l="1"/>
  <c r="D1811" i="7"/>
  <c r="D1812" i="7" l="1"/>
  <c r="C1813" i="7"/>
  <c r="C1814" i="7" l="1"/>
  <c r="D1813" i="7"/>
  <c r="D1814" i="7" l="1"/>
  <c r="C1815" i="7"/>
  <c r="C1816" i="7" l="1"/>
  <c r="D1815" i="7"/>
  <c r="D1816" i="7" l="1"/>
  <c r="C1817" i="7"/>
  <c r="C1818" i="7" l="1"/>
  <c r="D1817" i="7"/>
  <c r="C1819" i="7" l="1"/>
  <c r="D1818" i="7"/>
  <c r="D1819" i="7" l="1"/>
  <c r="C1820" i="7"/>
  <c r="C1821" i="7" l="1"/>
  <c r="D1820" i="7"/>
  <c r="D1821" i="7" l="1"/>
  <c r="C1822" i="7"/>
  <c r="C1823" i="7" l="1"/>
  <c r="D1822" i="7"/>
  <c r="D1823" i="7" l="1"/>
  <c r="C1824" i="7"/>
  <c r="D1824" i="7" l="1"/>
  <c r="C1825" i="7"/>
  <c r="C1826" i="7" l="1"/>
  <c r="D1825" i="7"/>
  <c r="D1826" i="7" l="1"/>
  <c r="C1827" i="7"/>
  <c r="C1828" i="7" l="1"/>
  <c r="D1827" i="7"/>
  <c r="D1828" i="7" l="1"/>
  <c r="C1829" i="7"/>
  <c r="C1830" i="7" l="1"/>
  <c r="D1829" i="7"/>
  <c r="D1830" i="7" l="1"/>
  <c r="C1831" i="7"/>
  <c r="C1832" i="7" l="1"/>
  <c r="D1831" i="7"/>
  <c r="D1832" i="7" l="1"/>
  <c r="C1833" i="7"/>
  <c r="C1834" i="7" l="1"/>
  <c r="D1833" i="7"/>
  <c r="C1835" i="7" l="1"/>
  <c r="D1834" i="7"/>
  <c r="D1835" i="7" l="1"/>
  <c r="C1836" i="7"/>
  <c r="C1837" i="7" l="1"/>
  <c r="D1836" i="7"/>
  <c r="C1838" i="7" l="1"/>
  <c r="D1837" i="7"/>
  <c r="C1839" i="7" l="1"/>
  <c r="D1838" i="7"/>
  <c r="D1839" i="7" l="1"/>
  <c r="C1840" i="7"/>
  <c r="D1840" i="7" l="1"/>
  <c r="C1841" i="7"/>
  <c r="C1842" i="7" l="1"/>
  <c r="D1841" i="7"/>
  <c r="C1843" i="7" l="1"/>
  <c r="D1842" i="7"/>
  <c r="D1843" i="7" l="1"/>
  <c r="C1844" i="7"/>
  <c r="D1844" i="7" l="1"/>
  <c r="C1845" i="7"/>
  <c r="C1846" i="7" l="1"/>
  <c r="D1845" i="7"/>
  <c r="D1846" i="7" l="1"/>
  <c r="C1847" i="7"/>
  <c r="C1848" i="7" l="1"/>
  <c r="D1847" i="7"/>
  <c r="D1848" i="7" l="1"/>
  <c r="C1849" i="7"/>
  <c r="C1850" i="7" l="1"/>
  <c r="D1849" i="7"/>
  <c r="C1851" i="7" l="1"/>
  <c r="D1850" i="7"/>
  <c r="D1851" i="7" l="1"/>
  <c r="C1852" i="7"/>
  <c r="C1853" i="7" l="1"/>
  <c r="D1852" i="7"/>
  <c r="C1854" i="7" l="1"/>
  <c r="D1853" i="7"/>
  <c r="C1855" i="7" l="1"/>
  <c r="D1854" i="7"/>
  <c r="D1855" i="7" l="1"/>
  <c r="C1856" i="7"/>
  <c r="D1856" i="7" l="1"/>
  <c r="C1857" i="7"/>
  <c r="C1858" i="7" l="1"/>
  <c r="D1857" i="7"/>
  <c r="C1859" i="7" l="1"/>
  <c r="D1858" i="7"/>
  <c r="D1859" i="7" l="1"/>
  <c r="C1860" i="7"/>
  <c r="D1860" i="7" l="1"/>
  <c r="C1861" i="7"/>
  <c r="C1862" i="7" l="1"/>
  <c r="D1861" i="7"/>
  <c r="D1862" i="7" l="1"/>
  <c r="C1863" i="7"/>
  <c r="C1864" i="7" l="1"/>
  <c r="D1863" i="7"/>
  <c r="D1864" i="7" l="1"/>
  <c r="C1865" i="7"/>
  <c r="C1866" i="7" l="1"/>
  <c r="D1865" i="7"/>
  <c r="C1867" i="7" l="1"/>
  <c r="D1866" i="7"/>
  <c r="D1867" i="7" l="1"/>
  <c r="C1868" i="7"/>
  <c r="C1869" i="7" l="1"/>
  <c r="D1868" i="7"/>
  <c r="C1870" i="7" l="1"/>
  <c r="D1869" i="7"/>
  <c r="C1871" i="7" l="1"/>
  <c r="D1870" i="7"/>
  <c r="D1871" i="7" l="1"/>
  <c r="C1872" i="7"/>
  <c r="D1872" i="7" l="1"/>
  <c r="C1873" i="7"/>
  <c r="C1874" i="7" l="1"/>
  <c r="D1873" i="7"/>
  <c r="C1875" i="7" l="1"/>
  <c r="D1874" i="7"/>
  <c r="D1875" i="7" l="1"/>
  <c r="C1876" i="7"/>
  <c r="D1876" i="7" l="1"/>
  <c r="C1877" i="7"/>
  <c r="C1878" i="7" l="1"/>
  <c r="D1877" i="7"/>
  <c r="D1878" i="7" l="1"/>
  <c r="C1879" i="7"/>
  <c r="C1880" i="7" l="1"/>
  <c r="D1879" i="7"/>
  <c r="D1880" i="7" l="1"/>
  <c r="C1881" i="7"/>
  <c r="C1882" i="7" l="1"/>
  <c r="D1881" i="7"/>
  <c r="C1883" i="7" l="1"/>
  <c r="D1882" i="7"/>
  <c r="D1883" i="7" l="1"/>
  <c r="C1884" i="7"/>
  <c r="C1885" i="7" l="1"/>
  <c r="D1884" i="7"/>
  <c r="C1886" i="7" l="1"/>
  <c r="D1885" i="7"/>
  <c r="C1887" i="7" l="1"/>
  <c r="D1886" i="7"/>
  <c r="D1887" i="7" l="1"/>
  <c r="C1888" i="7"/>
  <c r="D1888" i="7" l="1"/>
  <c r="C1889" i="7"/>
  <c r="C1890" i="7" l="1"/>
  <c r="D1889" i="7"/>
  <c r="C1891" i="7" l="1"/>
  <c r="D1890" i="7"/>
  <c r="D1891" i="7" l="1"/>
  <c r="C1892" i="7"/>
  <c r="D1892" i="7" l="1"/>
  <c r="C1893" i="7"/>
  <c r="C1894" i="7" l="1"/>
  <c r="D1893" i="7"/>
  <c r="D1894" i="7" l="1"/>
  <c r="C1895" i="7"/>
  <c r="C1896" i="7" l="1"/>
  <c r="D1895" i="7"/>
  <c r="D1896" i="7" l="1"/>
  <c r="C1897" i="7"/>
  <c r="C1898" i="7" l="1"/>
  <c r="D1897" i="7"/>
  <c r="C1899" i="7" l="1"/>
  <c r="D1898" i="7"/>
  <c r="D1899" i="7" l="1"/>
  <c r="C1900" i="7"/>
  <c r="C1901" i="7" l="1"/>
  <c r="D1900" i="7"/>
  <c r="C1902" i="7" l="1"/>
  <c r="D1901" i="7"/>
  <c r="C1903" i="7" l="1"/>
  <c r="D1902" i="7"/>
  <c r="D1903" i="7" l="1"/>
  <c r="C1904" i="7"/>
  <c r="D1904" i="7" l="1"/>
  <c r="C1905" i="7"/>
  <c r="C1906" i="7" l="1"/>
  <c r="D1905" i="7"/>
  <c r="C1907" i="7" l="1"/>
  <c r="D1906" i="7"/>
  <c r="D1907" i="7" l="1"/>
  <c r="C1908" i="7"/>
  <c r="D1908" i="7" l="1"/>
  <c r="C1909" i="7"/>
  <c r="C1910" i="7" l="1"/>
  <c r="D1909" i="7"/>
  <c r="D1910" i="7" l="1"/>
  <c r="C1911" i="7"/>
  <c r="C1912" i="7" l="1"/>
  <c r="D1911" i="7"/>
  <c r="C1913" i="7" l="1"/>
  <c r="D1912" i="7"/>
  <c r="C1914" i="7" l="1"/>
  <c r="D1913" i="7"/>
  <c r="C1915" i="7" l="1"/>
  <c r="D1914" i="7"/>
  <c r="D1915" i="7" l="1"/>
  <c r="C1916" i="7"/>
  <c r="C1917" i="7" l="1"/>
  <c r="D1916" i="7"/>
  <c r="C1918" i="7" l="1"/>
  <c r="D1917" i="7"/>
  <c r="C1919" i="7" l="1"/>
  <c r="D1918" i="7"/>
  <c r="D1919" i="7" l="1"/>
  <c r="C1920" i="7"/>
  <c r="D1920" i="7" l="1"/>
  <c r="C1921" i="7"/>
  <c r="C1922" i="7" l="1"/>
  <c r="D1921" i="7"/>
  <c r="C1923" i="7" l="1"/>
  <c r="D1922" i="7"/>
  <c r="D1923" i="7" l="1"/>
  <c r="C1924" i="7"/>
  <c r="D1924" i="7" l="1"/>
  <c r="C1925" i="7"/>
  <c r="C1926" i="7" l="1"/>
  <c r="D1925" i="7"/>
  <c r="D1926" i="7" l="1"/>
  <c r="C1927" i="7"/>
  <c r="C1928" i="7" l="1"/>
  <c r="D1927" i="7"/>
  <c r="C1929" i="7" l="1"/>
  <c r="D1928" i="7"/>
  <c r="C1930" i="7" l="1"/>
  <c r="D1929" i="7"/>
  <c r="C1931" i="7" l="1"/>
  <c r="D1930" i="7"/>
  <c r="D1931" i="7" l="1"/>
  <c r="C1932" i="7"/>
  <c r="C1933" i="7" l="1"/>
  <c r="D1932" i="7"/>
  <c r="C1934" i="7" l="1"/>
  <c r="D1933" i="7"/>
  <c r="C1935" i="7" l="1"/>
  <c r="D1934" i="7"/>
  <c r="D1935" i="7" l="1"/>
  <c r="C1936" i="7"/>
  <c r="D1936" i="7" l="1"/>
  <c r="C1937" i="7"/>
  <c r="C1938" i="7" l="1"/>
  <c r="D1937" i="7"/>
  <c r="C1939" i="7" l="1"/>
  <c r="D1938" i="7"/>
  <c r="C1940" i="7" l="1"/>
  <c r="D1939" i="7"/>
  <c r="D1940" i="7" l="1"/>
  <c r="C1941" i="7"/>
  <c r="C1942" i="7" l="1"/>
  <c r="D1941" i="7"/>
  <c r="D1942" i="7" l="1"/>
  <c r="C1943" i="7"/>
  <c r="C1944" i="7" l="1"/>
  <c r="D1943" i="7"/>
  <c r="C1945" i="7" l="1"/>
  <c r="D1944" i="7"/>
  <c r="C1946" i="7" l="1"/>
  <c r="D1945" i="7"/>
  <c r="C1947" i="7" l="1"/>
  <c r="D1946" i="7"/>
  <c r="D1947" i="7" l="1"/>
  <c r="C1948" i="7"/>
  <c r="C1949" i="7" l="1"/>
  <c r="D1948" i="7"/>
  <c r="C1950" i="7" l="1"/>
  <c r="D1949" i="7"/>
  <c r="C1951" i="7" l="1"/>
  <c r="D1950" i="7"/>
  <c r="D1951" i="7" l="1"/>
  <c r="C1952" i="7"/>
  <c r="D1952" i="7" l="1"/>
  <c r="C1953" i="7"/>
  <c r="C1954" i="7" l="1"/>
  <c r="D1953" i="7"/>
  <c r="C1955" i="7" l="1"/>
  <c r="D1954" i="7"/>
  <c r="C1956" i="7" l="1"/>
  <c r="D1955" i="7"/>
  <c r="D1956" i="7" l="1"/>
  <c r="C1957" i="7"/>
  <c r="C1958" i="7" l="1"/>
  <c r="D1957" i="7"/>
  <c r="D1958" i="7" l="1"/>
  <c r="C1959" i="7"/>
  <c r="C1960" i="7" l="1"/>
  <c r="D1959" i="7"/>
  <c r="C1961" i="7" l="1"/>
  <c r="D1960" i="7"/>
  <c r="C1962" i="7" l="1"/>
  <c r="D1961" i="7"/>
  <c r="C1963" i="7" l="1"/>
  <c r="D1962" i="7"/>
  <c r="D1963" i="7" l="1"/>
  <c r="C1964" i="7"/>
  <c r="C1965" i="7" l="1"/>
  <c r="D1964" i="7"/>
  <c r="C1966" i="7" l="1"/>
  <c r="D1965" i="7"/>
  <c r="C1967" i="7" l="1"/>
  <c r="D1966" i="7"/>
  <c r="C1968" i="7" l="1"/>
  <c r="D1967" i="7"/>
  <c r="D1968" i="7" l="1"/>
  <c r="C1969" i="7"/>
  <c r="C1970" i="7" l="1"/>
  <c r="D1969" i="7"/>
  <c r="C1971" i="7" l="1"/>
  <c r="D1970" i="7"/>
  <c r="C1972" i="7" l="1"/>
  <c r="D1971" i="7"/>
  <c r="D1972" i="7" l="1"/>
  <c r="C1973" i="7"/>
  <c r="C1974" i="7" l="1"/>
  <c r="D1973" i="7"/>
  <c r="D1974" i="7" l="1"/>
  <c r="C1975" i="7"/>
  <c r="C1976" i="7" l="1"/>
  <c r="D1975" i="7"/>
  <c r="C1977" i="7" l="1"/>
  <c r="D1976" i="7"/>
  <c r="C1978" i="7" l="1"/>
  <c r="D1977" i="7"/>
  <c r="C1979" i="7" l="1"/>
  <c r="D1978" i="7"/>
  <c r="D1979" i="7" l="1"/>
  <c r="C1980" i="7"/>
  <c r="C1981" i="7" l="1"/>
  <c r="D1980" i="7"/>
  <c r="C1982" i="7" l="1"/>
  <c r="D1981" i="7"/>
  <c r="C1983" i="7" l="1"/>
  <c r="D1982" i="7"/>
  <c r="C1984" i="7" l="1"/>
  <c r="D1983" i="7"/>
  <c r="D1984" i="7" l="1"/>
  <c r="C1985" i="7"/>
  <c r="C1986" i="7" l="1"/>
  <c r="D1985" i="7"/>
  <c r="C1987" i="7" l="1"/>
  <c r="D1986" i="7"/>
  <c r="C1988" i="7" l="1"/>
  <c r="D1987" i="7"/>
  <c r="D1988" i="7" l="1"/>
  <c r="C1989" i="7"/>
  <c r="C1990" i="7" l="1"/>
  <c r="D1989" i="7"/>
  <c r="D1990" i="7" l="1"/>
  <c r="C1991" i="7"/>
  <c r="C1992" i="7" l="1"/>
  <c r="D1991" i="7"/>
  <c r="C1993" i="7" l="1"/>
  <c r="D1992" i="7"/>
  <c r="C1994" i="7" l="1"/>
  <c r="D1993" i="7"/>
  <c r="C1995" i="7" l="1"/>
  <c r="D1994" i="7"/>
  <c r="D1995" i="7" l="1"/>
  <c r="C1996" i="7"/>
  <c r="C1997" i="7" l="1"/>
  <c r="D1996" i="7"/>
  <c r="C1998" i="7" l="1"/>
  <c r="D1997" i="7"/>
  <c r="C1999" i="7" l="1"/>
  <c r="D1998" i="7"/>
  <c r="C2000" i="7" l="1"/>
  <c r="D1999" i="7"/>
  <c r="D2000" i="7" l="1"/>
  <c r="C2001" i="7"/>
  <c r="C2002" i="7" l="1"/>
  <c r="D2001" i="7"/>
  <c r="C2003" i="7" l="1"/>
  <c r="D2002" i="7"/>
  <c r="C2004" i="7" l="1"/>
  <c r="D2003" i="7"/>
  <c r="D2004" i="7" l="1"/>
  <c r="C2005" i="7"/>
  <c r="C2006" i="7" l="1"/>
  <c r="D2005" i="7"/>
  <c r="C2007" i="7" l="1"/>
  <c r="D2006" i="7"/>
  <c r="C2008" i="7" l="1"/>
  <c r="D2007" i="7"/>
  <c r="C2009" i="7" l="1"/>
  <c r="D2008" i="7"/>
  <c r="C2010" i="7" l="1"/>
  <c r="D2009" i="7"/>
  <c r="C2011" i="7" l="1"/>
  <c r="D2010" i="7"/>
  <c r="D2011" i="7" l="1"/>
  <c r="C2012" i="7"/>
  <c r="C2013" i="7" l="1"/>
  <c r="D2012" i="7"/>
  <c r="C2014" i="7" l="1"/>
  <c r="D2013" i="7"/>
  <c r="C2015" i="7" l="1"/>
  <c r="D2014" i="7"/>
  <c r="C2016" i="7" l="1"/>
  <c r="D2015" i="7"/>
  <c r="D2016" i="7" l="1"/>
  <c r="C2017" i="7"/>
  <c r="C2018" i="7" l="1"/>
  <c r="D2017" i="7"/>
  <c r="C2019" i="7" l="1"/>
  <c r="D2018" i="7"/>
  <c r="C2020" i="7" l="1"/>
  <c r="D2019" i="7"/>
  <c r="D2020" i="7" l="1"/>
  <c r="C2021" i="7"/>
  <c r="C2022" i="7" l="1"/>
  <c r="D2021" i="7"/>
  <c r="C2023" i="7" l="1"/>
  <c r="D2022" i="7"/>
  <c r="C2024" i="7" l="1"/>
  <c r="D2023" i="7"/>
  <c r="C2025" i="7" l="1"/>
  <c r="D2024" i="7"/>
  <c r="C2026" i="7" l="1"/>
  <c r="D2025" i="7"/>
  <c r="C2027" i="7" l="1"/>
  <c r="D2026" i="7"/>
  <c r="D2027" i="7" l="1"/>
  <c r="C2028" i="7"/>
  <c r="C2029" i="7" l="1"/>
  <c r="D2028" i="7"/>
  <c r="C2030" i="7" l="1"/>
  <c r="D2029" i="7"/>
  <c r="C2031" i="7" l="1"/>
  <c r="D2030" i="7"/>
  <c r="C2032" i="7" l="1"/>
  <c r="D2031" i="7"/>
  <c r="D2032" i="7" l="1"/>
  <c r="C2033" i="7"/>
  <c r="C2034" i="7" l="1"/>
  <c r="D2033" i="7"/>
  <c r="C2035" i="7" l="1"/>
  <c r="D2034" i="7"/>
  <c r="C2036" i="7" l="1"/>
  <c r="D2035" i="7"/>
  <c r="C2037" i="7" l="1"/>
  <c r="D2036" i="7"/>
  <c r="C2038" i="7" l="1"/>
  <c r="D2037" i="7"/>
  <c r="C2039" i="7" l="1"/>
  <c r="D2038" i="7"/>
  <c r="C2040" i="7" l="1"/>
  <c r="D2039" i="7"/>
  <c r="C2041" i="7" l="1"/>
  <c r="D2040" i="7"/>
  <c r="C2042" i="7" l="1"/>
  <c r="D2041" i="7"/>
  <c r="C2043" i="7" l="1"/>
  <c r="D2042" i="7"/>
  <c r="D2043" i="7" l="1"/>
  <c r="C2044" i="7"/>
  <c r="C2045" i="7" l="1"/>
  <c r="D2044" i="7"/>
  <c r="C2046" i="7" l="1"/>
  <c r="D2045" i="7"/>
  <c r="C2047" i="7" l="1"/>
  <c r="D2046" i="7"/>
  <c r="C2048" i="7" l="1"/>
  <c r="D2047" i="7"/>
  <c r="D2048" i="7" l="1"/>
  <c r="C2049" i="7"/>
  <c r="C2050" i="7" l="1"/>
  <c r="D2049" i="7"/>
  <c r="C2051" i="7" l="1"/>
  <c r="D2050" i="7"/>
  <c r="C2052" i="7" l="1"/>
  <c r="D2051" i="7"/>
  <c r="C2053" i="7" l="1"/>
  <c r="D2052" i="7"/>
  <c r="C2054" i="7" l="1"/>
  <c r="D2053" i="7"/>
  <c r="C2055" i="7" l="1"/>
  <c r="D2054" i="7"/>
  <c r="C2056" i="7" l="1"/>
  <c r="D2055" i="7"/>
  <c r="C2057" i="7" l="1"/>
  <c r="D2056" i="7"/>
  <c r="C2058" i="7" l="1"/>
  <c r="D2057" i="7"/>
  <c r="C2059" i="7" l="1"/>
  <c r="D2058" i="7"/>
  <c r="D2059" i="7" l="1"/>
  <c r="C2060" i="7"/>
  <c r="C2061" i="7" l="1"/>
  <c r="D2060" i="7"/>
  <c r="C2062" i="7" l="1"/>
  <c r="D2061" i="7"/>
  <c r="C2063" i="7" l="1"/>
  <c r="D2062" i="7"/>
  <c r="C2064" i="7" l="1"/>
  <c r="D2063" i="7"/>
  <c r="D2064" i="7" l="1"/>
  <c r="C2065" i="7"/>
  <c r="C2066" i="7" l="1"/>
  <c r="D2065" i="7"/>
  <c r="C2067" i="7" l="1"/>
  <c r="D2066" i="7"/>
  <c r="C2068" i="7" l="1"/>
  <c r="D2067" i="7"/>
  <c r="C2069" i="7" l="1"/>
  <c r="D2068" i="7"/>
  <c r="C2070" i="7" l="1"/>
  <c r="D2069" i="7"/>
  <c r="C2071" i="7" l="1"/>
  <c r="D2070" i="7"/>
  <c r="C2072" i="7" l="1"/>
  <c r="D2071" i="7"/>
  <c r="C2073" i="7" l="1"/>
  <c r="D2072" i="7"/>
  <c r="C2074" i="7" l="1"/>
  <c r="D2073" i="7"/>
  <c r="C2075" i="7" l="1"/>
  <c r="D2074" i="7"/>
  <c r="D2075" i="7" l="1"/>
  <c r="C2076" i="7"/>
  <c r="C2077" i="7" l="1"/>
  <c r="D2076" i="7"/>
  <c r="C2078" i="7" l="1"/>
  <c r="D2077" i="7"/>
  <c r="C2079" i="7" l="1"/>
  <c r="D2078" i="7"/>
  <c r="C2080" i="7" l="1"/>
  <c r="D2079" i="7"/>
  <c r="D2080" i="7" l="1"/>
  <c r="C2081" i="7"/>
  <c r="C2082" i="7" l="1"/>
  <c r="D2081" i="7"/>
  <c r="C2083" i="7" l="1"/>
  <c r="D2082" i="7"/>
  <c r="C2084" i="7" l="1"/>
  <c r="D2083" i="7"/>
  <c r="C2085" i="7" l="1"/>
  <c r="D2084" i="7"/>
  <c r="C2086" i="7" l="1"/>
  <c r="D2085" i="7"/>
  <c r="C2087" i="7" l="1"/>
  <c r="D2086" i="7"/>
  <c r="C2088" i="7" l="1"/>
  <c r="D2087" i="7"/>
  <c r="C2089" i="7" l="1"/>
  <c r="D2088" i="7"/>
  <c r="C2090" i="7" l="1"/>
  <c r="D2089" i="7"/>
  <c r="C2091" i="7" l="1"/>
  <c r="D2090" i="7"/>
  <c r="D2091" i="7" l="1"/>
  <c r="C2092" i="7"/>
  <c r="C2093" i="7" l="1"/>
  <c r="D2092" i="7"/>
  <c r="C2094" i="7" l="1"/>
  <c r="D2093" i="7"/>
  <c r="C2095" i="7" l="1"/>
  <c r="D2094" i="7"/>
  <c r="C2096" i="7" l="1"/>
  <c r="D2095" i="7"/>
  <c r="D2096" i="7" l="1"/>
  <c r="C2097" i="7"/>
  <c r="C2098" i="7" l="1"/>
  <c r="D2097" i="7"/>
  <c r="C2099" i="7" l="1"/>
  <c r="D2098" i="7"/>
  <c r="C2100" i="7" l="1"/>
  <c r="D2099" i="7"/>
  <c r="C2101" i="7" l="1"/>
  <c r="D2100" i="7"/>
  <c r="C2102" i="7" l="1"/>
  <c r="D2101" i="7"/>
  <c r="C2103" i="7" l="1"/>
  <c r="D2102" i="7"/>
  <c r="C2104" i="7" l="1"/>
  <c r="D2103" i="7"/>
  <c r="C2105" i="7" l="1"/>
  <c r="D2104" i="7"/>
  <c r="C2106" i="7" l="1"/>
  <c r="D2105" i="7"/>
  <c r="C2107" i="7" l="1"/>
  <c r="D2106" i="7"/>
  <c r="D2107" i="7" l="1"/>
  <c r="C2108" i="7"/>
  <c r="C2109" i="7" l="1"/>
  <c r="D2108" i="7"/>
  <c r="C2110" i="7" l="1"/>
  <c r="D2109" i="7"/>
  <c r="C2111" i="7" l="1"/>
  <c r="D2110" i="7"/>
  <c r="C2112" i="7" l="1"/>
  <c r="D2111" i="7"/>
  <c r="D2112" i="7" l="1"/>
  <c r="C2113" i="7"/>
  <c r="C2114" i="7" l="1"/>
  <c r="D2113" i="7"/>
  <c r="C2115" i="7" l="1"/>
  <c r="D2114" i="7"/>
  <c r="C2116" i="7" l="1"/>
  <c r="D2115" i="7"/>
  <c r="C2117" i="7" l="1"/>
  <c r="D2116" i="7"/>
  <c r="C2118" i="7" l="1"/>
  <c r="D2117" i="7"/>
  <c r="C2119" i="7" l="1"/>
  <c r="D2118" i="7"/>
  <c r="C2120" i="7" l="1"/>
  <c r="D2119" i="7"/>
  <c r="C2121" i="7" l="1"/>
  <c r="D2120" i="7"/>
  <c r="C2122" i="7" l="1"/>
  <c r="D2121" i="7"/>
  <c r="C2123" i="7" l="1"/>
  <c r="D2122" i="7"/>
  <c r="D2123" i="7" l="1"/>
  <c r="C2124" i="7"/>
  <c r="C2125" i="7" l="1"/>
  <c r="D2124" i="7"/>
  <c r="C2126" i="7" l="1"/>
  <c r="D2125" i="7"/>
  <c r="C2127" i="7" l="1"/>
  <c r="D2126" i="7"/>
  <c r="C2128" i="7" l="1"/>
  <c r="D2127" i="7"/>
  <c r="D2128" i="7" l="1"/>
  <c r="C2129" i="7"/>
  <c r="C2130" i="7" l="1"/>
  <c r="D2129" i="7"/>
  <c r="C2131" i="7" l="1"/>
  <c r="D2130" i="7"/>
  <c r="C2132" i="7" l="1"/>
  <c r="D2131" i="7"/>
  <c r="C2133" i="7" l="1"/>
  <c r="D2132" i="7"/>
  <c r="C2134" i="7" l="1"/>
  <c r="D2133" i="7"/>
  <c r="C2135" i="7" l="1"/>
  <c r="D2134" i="7"/>
  <c r="C2136" i="7" l="1"/>
  <c r="D2135" i="7"/>
  <c r="C2137" i="7" l="1"/>
  <c r="D2136" i="7"/>
  <c r="C2138" i="7" l="1"/>
  <c r="D2137" i="7"/>
  <c r="C2139" i="7" l="1"/>
  <c r="D2138" i="7"/>
  <c r="D2139" i="7" l="1"/>
  <c r="C2140" i="7"/>
  <c r="C2141" i="7" l="1"/>
  <c r="D2140" i="7"/>
  <c r="C2142" i="7" l="1"/>
  <c r="D2141" i="7"/>
  <c r="C2143" i="7" l="1"/>
  <c r="D2142" i="7"/>
  <c r="C2144" i="7" l="1"/>
  <c r="D2143" i="7"/>
  <c r="D2144" i="7" l="1"/>
  <c r="C2145" i="7"/>
  <c r="C2146" i="7" l="1"/>
  <c r="D2145" i="7"/>
  <c r="C2147" i="7" l="1"/>
  <c r="D2146" i="7"/>
  <c r="C2148" i="7" l="1"/>
  <c r="D2147" i="7"/>
  <c r="C2149" i="7" l="1"/>
  <c r="D2148" i="7"/>
  <c r="C2150" i="7" l="1"/>
  <c r="D2149" i="7"/>
  <c r="C2151" i="7" l="1"/>
  <c r="D2150" i="7"/>
  <c r="C2152" i="7" l="1"/>
  <c r="D2151" i="7"/>
  <c r="C2153" i="7" l="1"/>
  <c r="D2152" i="7"/>
  <c r="C2154" i="7" l="1"/>
  <c r="D2153" i="7"/>
  <c r="C2155" i="7" l="1"/>
  <c r="D2154" i="7"/>
  <c r="D2155" i="7" l="1"/>
  <c r="C2156" i="7"/>
  <c r="C2157" i="7" l="1"/>
  <c r="D2156" i="7"/>
  <c r="C2158" i="7" l="1"/>
  <c r="D2157" i="7"/>
  <c r="C2159" i="7" l="1"/>
  <c r="D2158" i="7"/>
  <c r="C2160" i="7" l="1"/>
  <c r="D2159" i="7"/>
  <c r="D2160" i="7" l="1"/>
  <c r="C2161" i="7"/>
  <c r="C2162" i="7" l="1"/>
  <c r="D2161" i="7"/>
  <c r="C2163" i="7" l="1"/>
  <c r="D2162" i="7"/>
  <c r="C2164" i="7" l="1"/>
  <c r="D2163" i="7"/>
  <c r="C2165" i="7" l="1"/>
  <c r="D2164" i="7"/>
  <c r="C2166" i="7" l="1"/>
  <c r="D2165" i="7"/>
  <c r="C2167" i="7" l="1"/>
  <c r="D2166" i="7"/>
  <c r="C2168" i="7" l="1"/>
  <c r="D2167" i="7"/>
  <c r="C2169" i="7" l="1"/>
  <c r="D2168" i="7"/>
  <c r="C2170" i="7" l="1"/>
  <c r="D2169" i="7"/>
  <c r="C2171" i="7" l="1"/>
  <c r="D2170" i="7"/>
  <c r="D2171" i="7" l="1"/>
  <c r="C2172" i="7"/>
  <c r="C2173" i="7" l="1"/>
  <c r="D2172" i="7"/>
  <c r="C2174" i="7" l="1"/>
  <c r="D2173" i="7"/>
  <c r="C2175" i="7" l="1"/>
  <c r="D2174" i="7"/>
  <c r="C2176" i="7" l="1"/>
  <c r="D2175" i="7"/>
  <c r="D2176" i="7" l="1"/>
  <c r="C2177" i="7"/>
  <c r="C2178" i="7" l="1"/>
  <c r="D2177" i="7"/>
  <c r="C2179" i="7" l="1"/>
  <c r="D2178" i="7"/>
  <c r="C2180" i="7" l="1"/>
  <c r="D2179" i="7"/>
  <c r="C2181" i="7" l="1"/>
  <c r="D2180" i="7"/>
  <c r="C2182" i="7" l="1"/>
  <c r="D2181" i="7"/>
  <c r="C2183" i="7" l="1"/>
  <c r="D2182" i="7"/>
  <c r="C2184" i="7" l="1"/>
  <c r="D2183" i="7"/>
  <c r="C2185" i="7" l="1"/>
  <c r="D2184" i="7"/>
  <c r="C2186" i="7" l="1"/>
  <c r="D2185" i="7"/>
  <c r="C2187" i="7" l="1"/>
  <c r="D2186" i="7"/>
  <c r="D2187" i="7" l="1"/>
  <c r="C2188" i="7"/>
  <c r="C2189" i="7" l="1"/>
  <c r="D2188" i="7"/>
  <c r="C2190" i="7" l="1"/>
  <c r="D2189" i="7"/>
  <c r="C2191" i="7" l="1"/>
  <c r="D2190" i="7"/>
  <c r="C2192" i="7" l="1"/>
  <c r="D2191" i="7"/>
  <c r="D2192" i="7" l="1"/>
  <c r="C2193" i="7"/>
  <c r="C2194" i="7" l="1"/>
  <c r="D2193" i="7"/>
  <c r="C2195" i="7" l="1"/>
  <c r="D2194" i="7"/>
  <c r="C2196" i="7" l="1"/>
  <c r="D2195" i="7"/>
  <c r="C2197" i="7" l="1"/>
  <c r="D2196" i="7"/>
  <c r="C2198" i="7" l="1"/>
  <c r="D2197" i="7"/>
  <c r="C2199" i="7" l="1"/>
  <c r="D2198" i="7"/>
  <c r="C2200" i="7" l="1"/>
  <c r="D2199" i="7"/>
  <c r="C2201" i="7" l="1"/>
  <c r="D2200" i="7"/>
  <c r="C2202" i="7" l="1"/>
  <c r="D2201" i="7"/>
  <c r="C2203" i="7" l="1"/>
  <c r="D2202" i="7"/>
  <c r="D2203" i="7" l="1"/>
  <c r="C2204" i="7"/>
  <c r="C2205" i="7" l="1"/>
  <c r="D2204" i="7"/>
  <c r="C2206" i="7" l="1"/>
  <c r="D2205" i="7"/>
  <c r="C2207" i="7" l="1"/>
  <c r="D2206" i="7"/>
  <c r="C2208" i="7" l="1"/>
  <c r="D2207" i="7"/>
  <c r="D2208" i="7" l="1"/>
  <c r="C2209" i="7"/>
  <c r="C2210" i="7" l="1"/>
  <c r="D2209" i="7"/>
  <c r="C2211" i="7" l="1"/>
  <c r="D2210" i="7"/>
  <c r="C2212" i="7" l="1"/>
  <c r="D2211" i="7"/>
  <c r="C2213" i="7" l="1"/>
  <c r="D2212" i="7"/>
  <c r="C2214" i="7" l="1"/>
  <c r="D2213" i="7"/>
  <c r="C2215" i="7" l="1"/>
  <c r="D2214" i="7"/>
  <c r="C2216" i="7" l="1"/>
  <c r="D2215" i="7"/>
  <c r="C2217" i="7" l="1"/>
  <c r="D2216" i="7"/>
  <c r="C2218" i="7" l="1"/>
  <c r="D2217" i="7"/>
  <c r="C2219" i="7" l="1"/>
  <c r="D2218" i="7"/>
  <c r="D2219" i="7" l="1"/>
  <c r="C2220" i="7"/>
  <c r="C2221" i="7" l="1"/>
  <c r="D2220" i="7"/>
  <c r="C2222" i="7" l="1"/>
  <c r="D2221" i="7"/>
  <c r="C2223" i="7" l="1"/>
  <c r="D2222" i="7"/>
  <c r="C2224" i="7" l="1"/>
  <c r="D2223" i="7"/>
  <c r="D2224" i="7" l="1"/>
  <c r="C2225" i="7"/>
  <c r="C2226" i="7" l="1"/>
  <c r="D2225" i="7"/>
  <c r="C2227" i="7" l="1"/>
  <c r="D2226" i="7"/>
  <c r="C2228" i="7" l="1"/>
  <c r="D2227" i="7"/>
  <c r="C2229" i="7" l="1"/>
  <c r="D2228" i="7"/>
  <c r="C2230" i="7" l="1"/>
  <c r="D2229" i="7"/>
  <c r="C2231" i="7" l="1"/>
  <c r="D2230" i="7"/>
  <c r="C2232" i="7" l="1"/>
  <c r="D2231" i="7"/>
  <c r="C2233" i="7" l="1"/>
  <c r="D2232" i="7"/>
  <c r="C2234" i="7" l="1"/>
  <c r="D2233" i="7"/>
  <c r="C2235" i="7" l="1"/>
  <c r="D2234" i="7"/>
  <c r="D2235" i="7" l="1"/>
  <c r="C2236" i="7"/>
  <c r="C2237" i="7" l="1"/>
  <c r="D2236" i="7"/>
  <c r="C2238" i="7" l="1"/>
  <c r="D2237" i="7"/>
  <c r="C2239" i="7" l="1"/>
  <c r="D2238" i="7"/>
  <c r="C2240" i="7" l="1"/>
  <c r="D2239" i="7"/>
  <c r="D2240" i="7" l="1"/>
  <c r="C2241" i="7"/>
  <c r="C2242" i="7" l="1"/>
  <c r="D2241" i="7"/>
  <c r="C2243" i="7" l="1"/>
  <c r="D2242" i="7"/>
  <c r="C2244" i="7" l="1"/>
  <c r="D2243" i="7"/>
  <c r="C2245" i="7" l="1"/>
  <c r="D2244" i="7"/>
  <c r="C2246" i="7" l="1"/>
  <c r="D2245" i="7"/>
  <c r="C2247" i="7" l="1"/>
  <c r="D2246" i="7"/>
  <c r="C2248" i="7" l="1"/>
  <c r="D2247" i="7"/>
  <c r="C2249" i="7" l="1"/>
  <c r="D2248" i="7"/>
  <c r="C2250" i="7" l="1"/>
  <c r="D2249" i="7"/>
  <c r="C2251" i="7" l="1"/>
  <c r="D2250" i="7"/>
  <c r="D2251" i="7" l="1"/>
  <c r="C2252" i="7"/>
  <c r="C2253" i="7" l="1"/>
  <c r="D2252" i="7"/>
  <c r="C2254" i="7" l="1"/>
  <c r="D2253" i="7"/>
  <c r="C2255" i="7" l="1"/>
  <c r="D2254" i="7"/>
  <c r="C2256" i="7" l="1"/>
  <c r="D2255" i="7"/>
  <c r="D2256" i="7" l="1"/>
  <c r="C2257" i="7"/>
  <c r="C2258" i="7" l="1"/>
  <c r="D2257" i="7"/>
  <c r="C2259" i="7" l="1"/>
  <c r="D2258" i="7"/>
  <c r="C2260" i="7" l="1"/>
  <c r="D2259" i="7"/>
  <c r="C2261" i="7" l="1"/>
  <c r="D2260" i="7"/>
  <c r="C2262" i="7" l="1"/>
  <c r="D2261" i="7"/>
  <c r="C2263" i="7" l="1"/>
  <c r="D2262" i="7"/>
  <c r="C2264" i="7" l="1"/>
  <c r="D2263" i="7"/>
  <c r="C2265" i="7" l="1"/>
  <c r="D2264" i="7"/>
  <c r="C2266" i="7" l="1"/>
  <c r="D2265" i="7"/>
  <c r="C2267" i="7" l="1"/>
  <c r="D2266" i="7"/>
  <c r="D2267" i="7" l="1"/>
  <c r="C2268" i="7"/>
  <c r="C2269" i="7" l="1"/>
  <c r="D2268" i="7"/>
  <c r="C2270" i="7" l="1"/>
  <c r="D2269" i="7"/>
  <c r="C2271" i="7" l="1"/>
  <c r="D2270" i="7"/>
  <c r="C2272" i="7" l="1"/>
  <c r="D2271" i="7"/>
  <c r="D2272" i="7" l="1"/>
  <c r="C2273" i="7"/>
  <c r="C2274" i="7" l="1"/>
  <c r="D2273" i="7"/>
  <c r="C2275" i="7" l="1"/>
  <c r="D2274" i="7"/>
  <c r="C2276" i="7" l="1"/>
  <c r="D2275" i="7"/>
  <c r="C2277" i="7" l="1"/>
  <c r="D2276" i="7"/>
  <c r="C2278" i="7" l="1"/>
  <c r="D2277" i="7"/>
  <c r="C2279" i="7" l="1"/>
  <c r="D2278" i="7"/>
  <c r="C2280" i="7" l="1"/>
  <c r="D2279" i="7"/>
  <c r="C2281" i="7" l="1"/>
  <c r="D2280" i="7"/>
  <c r="C2282" i="7" l="1"/>
  <c r="D2281" i="7"/>
  <c r="C2283" i="7" l="1"/>
  <c r="D2282" i="7"/>
  <c r="D2283" i="7" l="1"/>
  <c r="C2284" i="7"/>
  <c r="C2285" i="7" l="1"/>
  <c r="D2284" i="7"/>
  <c r="C2286" i="7" l="1"/>
  <c r="D2285" i="7"/>
  <c r="C2287" i="7" l="1"/>
  <c r="D2286" i="7"/>
  <c r="C2288" i="7" l="1"/>
  <c r="D2287" i="7"/>
  <c r="D2288" i="7" l="1"/>
  <c r="C2289" i="7"/>
  <c r="C2290" i="7" l="1"/>
  <c r="D2289" i="7"/>
  <c r="C2291" i="7" l="1"/>
  <c r="D2290" i="7"/>
  <c r="C2292" i="7" l="1"/>
  <c r="D2291" i="7"/>
  <c r="C2293" i="7" l="1"/>
  <c r="D2292" i="7"/>
  <c r="C2294" i="7" l="1"/>
  <c r="D2293" i="7"/>
  <c r="C2295" i="7" l="1"/>
  <c r="D2294" i="7"/>
  <c r="C2296" i="7" l="1"/>
  <c r="D2295" i="7"/>
  <c r="C2297" i="7" l="1"/>
  <c r="D2296" i="7"/>
  <c r="C2298" i="7" l="1"/>
  <c r="D2297" i="7"/>
  <c r="C2299" i="7" l="1"/>
  <c r="D2298" i="7"/>
  <c r="D2299" i="7" l="1"/>
  <c r="C2300" i="7"/>
  <c r="C2301" i="7" l="1"/>
  <c r="D2300" i="7"/>
  <c r="C2302" i="7" l="1"/>
  <c r="D2301" i="7"/>
  <c r="C2303" i="7" l="1"/>
  <c r="D2302" i="7"/>
  <c r="C2304" i="7" l="1"/>
  <c r="D2303" i="7"/>
  <c r="D2304" i="7" l="1"/>
  <c r="C2305" i="7"/>
  <c r="C2306" i="7" l="1"/>
  <c r="D2305" i="7"/>
  <c r="C2307" i="7" l="1"/>
  <c r="D2306" i="7"/>
  <c r="C2308" i="7" l="1"/>
  <c r="D2307" i="7"/>
  <c r="C2309" i="7" l="1"/>
  <c r="D2308" i="7"/>
  <c r="C2310" i="7" l="1"/>
  <c r="D2309" i="7"/>
  <c r="C2311" i="7" l="1"/>
  <c r="D2310" i="7"/>
  <c r="C2312" i="7" l="1"/>
  <c r="D2311" i="7"/>
  <c r="C2313" i="7" l="1"/>
  <c r="D2312" i="7"/>
  <c r="C2314" i="7" l="1"/>
  <c r="D2313" i="7"/>
  <c r="C2315" i="7" l="1"/>
  <c r="D2314" i="7"/>
  <c r="D2315" i="7" l="1"/>
  <c r="C2316" i="7"/>
  <c r="C2317" i="7" l="1"/>
  <c r="D2316" i="7"/>
  <c r="C2318" i="7" l="1"/>
  <c r="D2317" i="7"/>
  <c r="C2319" i="7" l="1"/>
  <c r="D2318" i="7"/>
  <c r="C2320" i="7" l="1"/>
  <c r="D2319" i="7"/>
  <c r="D2320" i="7" l="1"/>
  <c r="C2321" i="7"/>
  <c r="C2322" i="7" l="1"/>
  <c r="D2321" i="7"/>
  <c r="C2323" i="7" l="1"/>
  <c r="D2322" i="7"/>
  <c r="C2324" i="7" l="1"/>
  <c r="D2323" i="7"/>
  <c r="C2325" i="7" l="1"/>
  <c r="D2324" i="7"/>
  <c r="C2326" i="7" l="1"/>
  <c r="D2325" i="7"/>
  <c r="C2327" i="7" l="1"/>
  <c r="D2326" i="7"/>
  <c r="C2328" i="7" l="1"/>
  <c r="D2327" i="7"/>
  <c r="C2329" i="7" l="1"/>
  <c r="D2328" i="7"/>
  <c r="C2330" i="7" l="1"/>
  <c r="D2329" i="7"/>
  <c r="C2331" i="7" l="1"/>
  <c r="D2330" i="7"/>
  <c r="D2331" i="7" l="1"/>
  <c r="C2332" i="7"/>
  <c r="C2333" i="7" l="1"/>
  <c r="D2332" i="7"/>
  <c r="C2334" i="7" l="1"/>
  <c r="D2333" i="7"/>
  <c r="C2335" i="7" l="1"/>
  <c r="D2334" i="7"/>
  <c r="C2336" i="7" l="1"/>
  <c r="D2335" i="7"/>
  <c r="D2336" i="7" l="1"/>
  <c r="C2337" i="7"/>
  <c r="C2338" i="7" l="1"/>
  <c r="D2337" i="7"/>
  <c r="C2339" i="7" l="1"/>
  <c r="D2338" i="7"/>
  <c r="C2340" i="7" l="1"/>
  <c r="D2339" i="7"/>
  <c r="C2341" i="7" l="1"/>
  <c r="D2340" i="7"/>
  <c r="C2342" i="7" l="1"/>
  <c r="D2341" i="7"/>
  <c r="C2343" i="7" l="1"/>
  <c r="D2342" i="7"/>
  <c r="C2344" i="7" l="1"/>
  <c r="D2343" i="7"/>
  <c r="C2345" i="7" l="1"/>
  <c r="D2344" i="7"/>
  <c r="C2346" i="7" l="1"/>
  <c r="D2345" i="7"/>
  <c r="C2347" i="7" l="1"/>
  <c r="D2346" i="7"/>
  <c r="D2347" i="7" l="1"/>
  <c r="C2348" i="7"/>
  <c r="C2349" i="7" l="1"/>
  <c r="D2348" i="7"/>
  <c r="C2350" i="7" l="1"/>
  <c r="D2349" i="7"/>
  <c r="C2351" i="7" l="1"/>
  <c r="D2350" i="7"/>
  <c r="C2352" i="7" l="1"/>
  <c r="D2351" i="7"/>
  <c r="D2352" i="7" l="1"/>
  <c r="C2353" i="7"/>
  <c r="C2354" i="7" l="1"/>
  <c r="D2353" i="7"/>
  <c r="C2355" i="7" l="1"/>
  <c r="D2354" i="7"/>
  <c r="C2356" i="7" l="1"/>
  <c r="D2355" i="7"/>
  <c r="C2357" i="7" l="1"/>
  <c r="D2356" i="7"/>
  <c r="C2358" i="7" l="1"/>
  <c r="D2357" i="7"/>
  <c r="C2359" i="7" l="1"/>
  <c r="D2358" i="7"/>
  <c r="C2360" i="7" l="1"/>
  <c r="D2359" i="7"/>
  <c r="C2361" i="7" l="1"/>
  <c r="D2360" i="7"/>
  <c r="C2362" i="7" l="1"/>
  <c r="D2361" i="7"/>
  <c r="C2363" i="7" l="1"/>
  <c r="D2362" i="7"/>
  <c r="D2363" i="7" l="1"/>
  <c r="C2364" i="7"/>
  <c r="C2365" i="7" l="1"/>
  <c r="D2364" i="7"/>
  <c r="C2366" i="7" l="1"/>
  <c r="D2365" i="7"/>
  <c r="C2367" i="7" l="1"/>
  <c r="D2366" i="7"/>
  <c r="C2368" i="7" l="1"/>
  <c r="D2367" i="7"/>
  <c r="D2368" i="7" l="1"/>
  <c r="C2369" i="7"/>
  <c r="C2370" i="7" l="1"/>
  <c r="D2369" i="7"/>
  <c r="C2371" i="7" l="1"/>
  <c r="D2370" i="7"/>
  <c r="C2372" i="7" l="1"/>
  <c r="D2371" i="7"/>
  <c r="C2373" i="7" l="1"/>
  <c r="D2372" i="7"/>
  <c r="C2374" i="7" l="1"/>
  <c r="D2373" i="7"/>
  <c r="C2375" i="7" l="1"/>
  <c r="D2374" i="7"/>
  <c r="C2376" i="7" l="1"/>
  <c r="D2375" i="7"/>
  <c r="C2377" i="7" l="1"/>
  <c r="D2376" i="7"/>
  <c r="C2378" i="7" l="1"/>
  <c r="D2377" i="7"/>
  <c r="C2379" i="7" l="1"/>
  <c r="D2379" i="7" s="1"/>
  <c r="B32" i="1" s="1"/>
  <c r="D2378" i="7"/>
</calcChain>
</file>

<file path=xl/sharedStrings.xml><?xml version="1.0" encoding="utf-8"?>
<sst xmlns="http://schemas.openxmlformats.org/spreadsheetml/2006/main" count="16936" uniqueCount="151">
  <si>
    <t>Naina Kangan and Wool Store - Verified Summary (7 Feb 2024 to 31 Jan 2025)</t>
  </si>
  <si>
    <t>All figures are live formulas on the Data sheet (2,378 sales transactions). Blue cells on yellow are inputs/assumptions.</t>
  </si>
  <si>
    <t>Overall</t>
  </si>
  <si>
    <t>Value</t>
  </si>
  <si>
    <t>Note</t>
  </si>
  <si>
    <t>Sales transactions</t>
  </si>
  <si>
    <t>Zero-revenue "Holiday" rows excluded (see Notes)</t>
  </si>
  <si>
    <t>Closed (zero-sale) days</t>
  </si>
  <si>
    <t>Input: rows tagged Holiday in the source sheet; see data/closed_days.csv</t>
  </si>
  <si>
    <t>Total revenue (Rs)</t>
  </si>
  <si>
    <t>Gross profit (Rs)</t>
  </si>
  <si>
    <t>Gross margin</t>
  </si>
  <si>
    <t>Average revenue per transaction (Rs)</t>
  </si>
  <si>
    <t>Earlier reports showed 503.05 because they divided by 2,424 rows incl. closed days</t>
  </si>
  <si>
    <t>Median transaction (Rs)</t>
  </si>
  <si>
    <t>Largest transaction (Rs)</t>
  </si>
  <si>
    <t>Category</t>
  </si>
  <si>
    <t>Transactions</t>
  </si>
  <si>
    <t>Revenue (Rs)</t>
  </si>
  <si>
    <t>Revenue share</t>
  </si>
  <si>
    <t>Units sold*</t>
  </si>
  <si>
    <t>Bangles</t>
  </si>
  <si>
    <t>Wool</t>
  </si>
  <si>
    <t>Total</t>
  </si>
  <si>
    <t>*Units are not comparable across categories (boxes vs yarn/pounds vs pieces); compare revenue instead.</t>
  </si>
  <si>
    <t>Customer type</t>
  </si>
  <si>
    <t>Avg per transaction (Rs)</t>
  </si>
  <si>
    <t>B2B</t>
  </si>
  <si>
    <t>B2C</t>
  </si>
  <si>
    <t>Payment mode</t>
  </si>
  <si>
    <t>Share of transactions</t>
  </si>
  <si>
    <t>Share of revenue</t>
  </si>
  <si>
    <t>Cash</t>
  </si>
  <si>
    <t>Online</t>
  </si>
  <si>
    <t>Revenue concentration</t>
  </si>
  <si>
    <t>Revenue share of top 10% of transactions</t>
  </si>
  <si>
    <t>Top 238 transactions</t>
  </si>
  <si>
    <t>Revenue share of top 20% of transactions</t>
  </si>
  <si>
    <t>Top 476 transactions</t>
  </si>
  <si>
    <t>Share of transactions needed to reach 80% of revenue</t>
  </si>
  <si>
    <t>Not a classic 80/20 pattern</t>
  </si>
  <si>
    <t>Transactions of Rs 1,000 or more</t>
  </si>
  <si>
    <t>Their share of total revenue</t>
  </si>
  <si>
    <t>Bin from (Rs)</t>
  </si>
  <si>
    <t>Bin to (Rs)</t>
  </si>
  <si>
    <t>Label</t>
  </si>
  <si>
    <t>Month</t>
  </si>
  <si>
    <t>Season</t>
  </si>
  <si>
    <t>Bangles revenue</t>
  </si>
  <si>
    <t>Wool revenue</t>
  </si>
  <si>
    <t>Total revenue</t>
  </si>
  <si>
    <t>Gross profit</t>
  </si>
  <si>
    <t>Avg revenue / transaction</t>
  </si>
  <si>
    <t>Seasonal index</t>
  </si>
  <si>
    <t>February</t>
  </si>
  <si>
    <t>Winter</t>
  </si>
  <si>
    <t>March</t>
  </si>
  <si>
    <t>Spring</t>
  </si>
  <si>
    <t>April</t>
  </si>
  <si>
    <t>May</t>
  </si>
  <si>
    <t>Summer</t>
  </si>
  <si>
    <t>June</t>
  </si>
  <si>
    <t>July</t>
  </si>
  <si>
    <t>Monsoon</t>
  </si>
  <si>
    <t>August</t>
  </si>
  <si>
    <t>September</t>
  </si>
  <si>
    <t>October</t>
  </si>
  <si>
    <t>Autumn/Festive</t>
  </si>
  <si>
    <t>November</t>
  </si>
  <si>
    <t>December</t>
  </si>
  <si>
    <t>January</t>
  </si>
  <si>
    <t>Seasonal index = month revenue / average monthly revenue (1.00 = average month). Use it to time purchasing: &gt;1.5 = peak, &lt;0.6 = lean.</t>
  </si>
  <si>
    <t>Caution: one year of data only, so the index describes this year, not a validated forecast. Collect a second year before relying on it.</t>
  </si>
  <si>
    <t>Months in season</t>
  </si>
  <si>
    <t>Revenue</t>
  </si>
  <si>
    <t>Revenue per month</t>
  </si>
  <si>
    <t>Share of annual revenue</t>
  </si>
  <si>
    <t>Wool share of season revenue</t>
  </si>
  <si>
    <t>Season mapping used in the source data: Winter = Nov-Feb, Spring = Mar-Apr, Summer = May-Jun, Monsoon = Jul-Sep, Autumn/Festive = Oct.</t>
  </si>
  <si>
    <t>Product performance and ABC classification (by revenue)</t>
  </si>
  <si>
    <t>ABC: A cutoff (cumulative revenue share)</t>
  </si>
  <si>
    <t>ABC: B cutoff (cumulative revenue share)</t>
  </si>
  <si>
    <t>Product type</t>
  </si>
  <si>
    <t>Unit</t>
  </si>
  <si>
    <t>Quantity</t>
  </si>
  <si>
    <t>Gross profit share</t>
  </si>
  <si>
    <t>Cumulative revenue share</t>
  </si>
  <si>
    <t>ABC class</t>
  </si>
  <si>
    <t>Bangles Box</t>
  </si>
  <si>
    <t>Box</t>
  </si>
  <si>
    <t>Wool Ball(q2)</t>
  </si>
  <si>
    <t>Yarn</t>
  </si>
  <si>
    <t>Wool Ball(q1)</t>
  </si>
  <si>
    <t>Bangles Set</t>
  </si>
  <si>
    <t>Fancy Bangles Box</t>
  </si>
  <si>
    <t>Bangles Box (Plus size)</t>
  </si>
  <si>
    <t>Wool Ball Packet</t>
  </si>
  <si>
    <t>Packet</t>
  </si>
  <si>
    <t>Metal Bangles</t>
  </si>
  <si>
    <t>Baby Soft Wool</t>
  </si>
  <si>
    <t>Jar</t>
  </si>
  <si>
    <t>Button</t>
  </si>
  <si>
    <t>Pieces</t>
  </si>
  <si>
    <t>Knitting Needle (Pair)</t>
  </si>
  <si>
    <t>Revenue share and gross-profit share differ: e.g. Bangles Box = ~50.7% of revenue but ~53.7% of gross profit. Quote them separately.</t>
  </si>
  <si>
    <t>ABC-XYZ inventory classification</t>
  </si>
  <si>
    <t>XYZ: X if CV &lt;=</t>
  </si>
  <si>
    <t>XYZ: Y if CV &lt;= (else Z)</t>
  </si>
  <si>
    <t>ABC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</si>
  <si>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</si>
  <si>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</si>
  <si>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</si>
  <si>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</si>
  <si>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</si>
  <si>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</si>
  <si>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</si>
  <si>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</si>
  <si>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</si>
  <si>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</si>
  <si>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</si>
  <si>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Mean monthly qty</t>
  </si>
  <si>
    <t>Std dev</t>
  </si>
  <si>
    <t>CV</t>
  </si>
  <si>
    <t>XYZ</t>
  </si>
  <si>
    <t>Class</t>
  </si>
  <si>
    <t>Suggested stocking policy</t>
  </si>
  <si>
    <t>CV = standard deviation / mean of monthly units (12 months, Feb 2024 - Jan 2025). Lower CV = steadier demand.</t>
  </si>
  <si>
    <t>Finding: no product has stable (X) demand; CV values near the 1.0 cutoff (e.g. 0.94-1.02) are borderline, so treat Y/Z as a spectrum rather than a hard line.</t>
  </si>
  <si>
    <t>Txn ID</t>
  </si>
  <si>
    <t>Date</t>
  </si>
  <si>
    <t>Product Category</t>
  </si>
  <si>
    <t>Product Type</t>
  </si>
  <si>
    <t>Unit Type</t>
  </si>
  <si>
    <t>Price per Unit</t>
  </si>
  <si>
    <t>Cost per Unit</t>
  </si>
  <si>
    <t>Total Cost</t>
  </si>
  <si>
    <t>Gross Profit</t>
  </si>
  <si>
    <t>Profit Margin %</t>
  </si>
  <si>
    <t>Customer Type</t>
  </si>
  <si>
    <t>Payment Mode</t>
  </si>
  <si>
    <t>Rank</t>
  </si>
  <si>
    <t>Cumulative (Rs)</t>
  </si>
  <si>
    <t>Cumulative share</t>
  </si>
  <si>
    <t>Sales</t>
  </si>
  <si>
    <t>Cost Price</t>
  </si>
  <si>
    <t>Selling Price</t>
  </si>
  <si>
    <t>Metal Bangles(Box)</t>
  </si>
  <si>
    <t>Bangles Set(Box)</t>
  </si>
  <si>
    <t>Knitting Needle(Pair)</t>
  </si>
  <si>
    <t>Button(Pieces)</t>
  </si>
  <si>
    <t>Total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</si>
</sst>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%"/>
    <numFmt numFmtId="166" formatCode="#,##0.0"/>
    <numFmt numFmtId="167" formatCode="dd\-mmm\-yyyy"/>
    <numFmt numFmtId="168" formatCode="0.0"/>
    <numFmt numFmtId="169" formatCode="dd\-mm\-yyyy"/>
    <numFmt numFmtId="170" formatCode="[$-4009]dddd&quot;, &quot;mmmm&quot; &quot;dd&quot;, &quot;yyyy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  <fill>
      <patternFill patternType="solid">
        <fgColor rgb="FFC1F0C8"/>
        <bgColor rgb="FFC1F0C8"/>
      </patternFill>
    </fill>
    <fill>
      <patternFill patternType="solid">
        <fgColor rgb="FFA6C9EC"/>
        <bgColor rgb="FFA6C9EC"/>
      </patternFill>
    </fill>
    <fill>
      <patternFill patternType="solid">
        <fgColor rgb="FFF7C7AC"/>
        <bgColor rgb="FFF7C7AC"/>
      </patternFill>
    </fill>
    <fill>
      <patternFill patternType="solid">
        <fgColor rgb="FF83CCEB"/>
        <bgColor rgb="FF83CCEB"/>
      </patternFill>
    </fill>
    <fill>
      <patternFill patternType="solid">
        <fgColor rgb="FF83E28E"/>
        <bgColor rgb="FF83E28E"/>
      </patternFill>
    </fill>
    <fill>
      <patternFill patternType="solid">
        <fgColor rgb="FFFFC000"/>
        <bgColor rgb="FFFFC000"/>
      </patternFill>
    </fill>
    <fill>
      <patternFill patternType="solid">
        <fgColor rgb="FF47D359"/>
        <bgColor rgb="FF47D359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3" fontId="5" fillId="3" borderId="1" xfId="0" applyNumberFormat="1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4" fontId="4" fillId="0" borderId="1" xfId="0" applyNumberFormat="1" applyFont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4" fontId="6" fillId="4" borderId="1" xfId="0" applyNumberFormat="1" applyFont="1" applyFill="1" applyBorder="1"/>
    <xf numFmtId="0" fontId="7" fillId="0" borderId="0" xfId="0" applyFont="1"/>
    <xf numFmtId="2" fontId="4" fillId="0" borderId="1" xfId="0" applyNumberFormat="1" applyFont="1" applyBorder="1"/>
    <xf numFmtId="0" fontId="4" fillId="4" borderId="1" xfId="0" applyFont="1" applyFill="1" applyBorder="1"/>
    <xf numFmtId="2" fontId="6" fillId="4" borderId="1" xfId="0" applyNumberFormat="1" applyFont="1" applyFill="1" applyBorder="1"/>
    <xf numFmtId="0" fontId="5" fillId="3" borderId="1" xfId="0" applyFont="1" applyFill="1" applyBorder="1"/>
    <xf numFmtId="1" fontId="6" fillId="4" borderId="1" xfId="0" applyNumberFormat="1" applyFont="1" applyFill="1" applyBorder="1"/>
    <xf numFmtId="0" fontId="8" fillId="0" borderId="0" xfId="0" applyFont="1"/>
    <xf numFmtId="165" fontId="5" fillId="3" borderId="1" xfId="0" applyNumberFormat="1" applyFont="1" applyFill="1" applyBorder="1"/>
    <xf numFmtId="2" fontId="5" fillId="3" borderId="1" xfId="0" applyNumberFormat="1" applyFont="1" applyFill="1" applyBorder="1"/>
    <xf numFmtId="166" fontId="4" fillId="0" borderId="1" xfId="0" applyNumberFormat="1" applyFont="1" applyBorder="1"/>
    <xf numFmtId="0" fontId="9" fillId="0" borderId="0" xfId="0" applyFont="1"/>
    <xf numFmtId="167" fontId="9" fillId="0" borderId="0" xfId="0" applyNumberFormat="1" applyFont="1"/>
    <xf numFmtId="168" fontId="9" fillId="0" borderId="0" xfId="0" applyNumberFormat="1" applyFont="1"/>
    <xf numFmtId="165" fontId="9" fillId="0" borderId="0" xfId="0" applyNumberFormat="1" applyFont="1"/>
    <xf numFmtId="0" fontId="10" fillId="5" borderId="2" xfId="0" applyFont="1" applyFill="1" applyBorder="1"/>
    <xf numFmtId="0" fontId="10" fillId="6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7" borderId="2" xfId="0" applyFont="1" applyFill="1" applyBorder="1"/>
    <xf numFmtId="0" fontId="10" fillId="9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10" borderId="2" xfId="0" applyFont="1" applyFill="1" applyBorder="1"/>
    <xf numFmtId="0" fontId="10" fillId="11" borderId="2" xfId="0" applyFont="1" applyFill="1" applyBorder="1"/>
    <xf numFmtId="169" fontId="0" fillId="12" borderId="2" xfId="0" applyNumberFormat="1" applyFill="1" applyBorder="1"/>
    <xf numFmtId="170" fontId="0" fillId="12" borderId="2" xfId="0" applyNumberFormat="1" applyFill="1" applyBorder="1"/>
    <xf numFmtId="0" fontId="0" fillId="13" borderId="2" xfId="0" applyFill="1" applyBorder="1"/>
    <xf numFmtId="0" fontId="0" fillId="14" borderId="2" xfId="0" applyFill="1" applyBorder="1"/>
    <xf numFmtId="0" fontId="0" fillId="5" borderId="2" xfId="0" applyFill="1" applyBorder="1"/>
    <xf numFmtId="0" fontId="10" fillId="1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by category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Monthly!$C$1</c:f>
              <c:strCache>
                <c:ptCount val="1"/>
                <c:pt idx="0">
                  <c:v>Bangles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January</c:v>
                </c:pt>
              </c:strCache>
            </c:strRef>
          </c:cat>
          <c:val>
            <c:numRef>
              <c:f>Monthly!$C$2:$C$13</c:f>
              <c:numCache>
                <c:formatCode>#,##0;\(#,##0\);\-</c:formatCode>
                <c:ptCount val="12"/>
                <c:pt idx="0">
                  <c:v>22940</c:v>
                </c:pt>
                <c:pt idx="1">
                  <c:v>33240</c:v>
                </c:pt>
                <c:pt idx="2">
                  <c:v>59295</c:v>
                </c:pt>
                <c:pt idx="3">
                  <c:v>56535</c:v>
                </c:pt>
                <c:pt idx="4">
                  <c:v>61415</c:v>
                </c:pt>
                <c:pt idx="5">
                  <c:v>208060</c:v>
                </c:pt>
                <c:pt idx="6">
                  <c:v>86650</c:v>
                </c:pt>
                <c:pt idx="7">
                  <c:v>19780</c:v>
                </c:pt>
                <c:pt idx="8">
                  <c:v>291225</c:v>
                </c:pt>
                <c:pt idx="9">
                  <c:v>17370</c:v>
                </c:pt>
                <c:pt idx="10">
                  <c:v>16630</c:v>
                </c:pt>
                <c:pt idx="11">
                  <c:v>24480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3-4467-BEE8-0ED4FB9AD347}"/>
            </c:ext>
          </c:extLst>
        </c:ser>
        <c:ser>
          <c:idx val="1"/>
          <c:order val="1"/>
          <c:tx>
            <c:strRef>
              <c:f>Monthly!$D$1</c:f>
              <c:strCache>
                <c:ptCount val="1"/>
                <c:pt idx="0">
                  <c:v>Wool 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Monthly!$A$2:$A$13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January</c:v>
                </c:pt>
              </c:strCache>
            </c:strRef>
          </c:cat>
          <c:val>
            <c:numRef>
              <c:f>Monthly!$D$2:$D$13</c:f>
              <c:numCache>
                <c:formatCode>#,##0;\(#,##0\);\-</c:formatCode>
                <c:ptCount val="12"/>
                <c:pt idx="0">
                  <c:v>60456</c:v>
                </c:pt>
                <c:pt idx="1">
                  <c:v>57798</c:v>
                </c:pt>
                <c:pt idx="2">
                  <c:v>14460</c:v>
                </c:pt>
                <c:pt idx="3">
                  <c:v>880</c:v>
                </c:pt>
                <c:pt idx="4">
                  <c:v>1000</c:v>
                </c:pt>
                <c:pt idx="5">
                  <c:v>1510</c:v>
                </c:pt>
                <c:pt idx="6">
                  <c:v>300</c:v>
                </c:pt>
                <c:pt idx="7">
                  <c:v>5210</c:v>
                </c:pt>
                <c:pt idx="8">
                  <c:v>28672</c:v>
                </c:pt>
                <c:pt idx="9">
                  <c:v>37708</c:v>
                </c:pt>
                <c:pt idx="10">
                  <c:v>55102</c:v>
                </c:pt>
                <c:pt idx="11">
                  <c:v>58680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3-4467-BEE8-0ED4FB9AD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488840"/>
        <c:axId val="58011186"/>
      </c:barChart>
      <c:catAx>
        <c:axId val="8248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011186"/>
        <c:crosses val="autoZero"/>
        <c:auto val="1"/>
        <c:lblAlgn val="ctr"/>
        <c:lblOffset val="100"/>
        <c:noMultiLvlLbl val="0"/>
      </c:catAx>
      <c:valAx>
        <c:axId val="58011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88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Gross profit by product type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Products!$F$5</c:f>
              <c:strCache>
                <c:ptCount val="1"/>
                <c:pt idx="0">
                  <c:v>Gross profit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Products!$A$6:$A$16</c:f>
              <c:strCache>
                <c:ptCount val="11"/>
                <c:pt idx="0">
                  <c:v>Bangles Box</c:v>
                </c:pt>
                <c:pt idx="1">
                  <c:v>Wool Ball(q2)</c:v>
                </c:pt>
                <c:pt idx="2">
                  <c:v>Wool Ball(q1)</c:v>
                </c:pt>
                <c:pt idx="3">
                  <c:v>Bangles Set</c:v>
                </c:pt>
                <c:pt idx="4">
                  <c:v>Fancy Bangles Box</c:v>
                </c:pt>
                <c:pt idx="5">
                  <c:v>Bangles Box (Plus size)</c:v>
                </c:pt>
                <c:pt idx="6">
                  <c:v>Wool Ball Packet</c:v>
                </c:pt>
                <c:pt idx="7">
                  <c:v>Metal Bangles</c:v>
                </c:pt>
                <c:pt idx="8">
                  <c:v>Baby Soft Wool</c:v>
                </c:pt>
                <c:pt idx="9">
                  <c:v>Button</c:v>
                </c:pt>
                <c:pt idx="10">
                  <c:v>Knitting Needle (Pair)</c:v>
                </c:pt>
              </c:strCache>
            </c:strRef>
          </c:cat>
          <c:val>
            <c:numRef>
              <c:f>Products!$F$6:$F$16</c:f>
              <c:numCache>
                <c:formatCode>#,##0;\(#,##0\);\-</c:formatCode>
                <c:ptCount val="11"/>
                <c:pt idx="0">
                  <c:v>142650</c:v>
                </c:pt>
                <c:pt idx="1">
                  <c:v>20020</c:v>
                </c:pt>
                <c:pt idx="2">
                  <c:v>16560</c:v>
                </c:pt>
                <c:pt idx="3">
                  <c:v>28630</c:v>
                </c:pt>
                <c:pt idx="4">
                  <c:v>10600</c:v>
                </c:pt>
                <c:pt idx="5">
                  <c:v>23200</c:v>
                </c:pt>
                <c:pt idx="6">
                  <c:v>5670</c:v>
                </c:pt>
                <c:pt idx="7">
                  <c:v>11840</c:v>
                </c:pt>
                <c:pt idx="8">
                  <c:v>3110</c:v>
                </c:pt>
                <c:pt idx="9">
                  <c:v>1792</c:v>
                </c:pt>
                <c:pt idx="10">
                  <c:v>1490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3-4B37-9112-E15DB0C77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35561"/>
        <c:axId val="56295674"/>
      </c:barChart>
      <c:catAx>
        <c:axId val="459355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95674"/>
        <c:crosses val="autoZero"/>
        <c:auto val="1"/>
        <c:lblAlgn val="ctr"/>
        <c:lblOffset val="100"/>
        <c:noMultiLvlLbl val="0"/>
      </c:catAx>
      <c:valAx>
        <c:axId val="562956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35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Pareto: cumulative revenue share by transaction rank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Pareto!$D$1</c:f>
              <c:strCache>
                <c:ptCount val="1"/>
                <c:pt idx="0">
                  <c:v>Cumulative share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Pareto!$D$2:$D$2379</c:f>
              <c:numCache>
                <c:formatCode>0.0%</c:formatCode>
                <c:ptCount val="2378"/>
                <c:pt idx="0">
                  <c:v>2.6652539453959172E-3</c:v>
                </c:pt>
                <c:pt idx="1">
                  <c:v>5.2238977329759975E-3</c:v>
                </c:pt>
                <c:pt idx="2">
                  <c:v>7.684132144110691E-3</c:v>
                </c:pt>
                <c:pt idx="3">
                  <c:v>9.8163353004274249E-3</c:v>
                </c:pt>
                <c:pt idx="4">
                  <c:v>1.1948538456744158E-2</c:v>
                </c:pt>
                <c:pt idx="5">
                  <c:v>1.4080741613060893E-2</c:v>
                </c:pt>
                <c:pt idx="6">
                  <c:v>1.6130936955673136E-2</c:v>
                </c:pt>
                <c:pt idx="7">
                  <c:v>1.8049919796358196E-2</c:v>
                </c:pt>
                <c:pt idx="8">
                  <c:v>1.9968902637043259E-2</c:v>
                </c:pt>
                <c:pt idx="9">
                  <c:v>2.1887885477728318E-2</c:v>
                </c:pt>
                <c:pt idx="10">
                  <c:v>2.3733061286079337E-2</c:v>
                </c:pt>
                <c:pt idx="11">
                  <c:v>2.5545433968948563E-2</c:v>
                </c:pt>
                <c:pt idx="12">
                  <c:v>2.7357806651817786E-2</c:v>
                </c:pt>
                <c:pt idx="13">
                  <c:v>2.9170179334687008E-2</c:v>
                </c:pt>
                <c:pt idx="14">
                  <c:v>3.0982552017556234E-2</c:v>
                </c:pt>
                <c:pt idx="15">
                  <c:v>3.2794924700425457E-2</c:v>
                </c:pt>
                <c:pt idx="16">
                  <c:v>3.4517088788219741E-2</c:v>
                </c:pt>
                <c:pt idx="17">
                  <c:v>3.622285131327313E-2</c:v>
                </c:pt>
                <c:pt idx="18">
                  <c:v>3.7928613838326512E-2</c:v>
                </c:pt>
                <c:pt idx="19">
                  <c:v>3.9634376363379901E-2</c:v>
                </c:pt>
                <c:pt idx="20">
                  <c:v>4.1340138888433291E-2</c:v>
                </c:pt>
                <c:pt idx="21">
                  <c:v>4.304590141348668E-2</c:v>
                </c:pt>
                <c:pt idx="22">
                  <c:v>4.4751663938540062E-2</c:v>
                </c:pt>
                <c:pt idx="23">
                  <c:v>4.6457426463593451E-2</c:v>
                </c:pt>
                <c:pt idx="24">
                  <c:v>4.8163188988646841E-2</c:v>
                </c:pt>
                <c:pt idx="25">
                  <c:v>4.9868951513700223E-2</c:v>
                </c:pt>
                <c:pt idx="26">
                  <c:v>5.1574714038753612E-2</c:v>
                </c:pt>
                <c:pt idx="27">
                  <c:v>5.3280476563807001E-2</c:v>
                </c:pt>
                <c:pt idx="28">
                  <c:v>5.4986239088860384E-2</c:v>
                </c:pt>
                <c:pt idx="29">
                  <c:v>5.6692001613913773E-2</c:v>
                </c:pt>
                <c:pt idx="30">
                  <c:v>5.8397764138967162E-2</c:v>
                </c:pt>
                <c:pt idx="31">
                  <c:v>6.0103526664020551E-2</c:v>
                </c:pt>
                <c:pt idx="32">
                  <c:v>6.1809289189073933E-2</c:v>
                </c:pt>
                <c:pt idx="33">
                  <c:v>6.3515051714127316E-2</c:v>
                </c:pt>
                <c:pt idx="34">
                  <c:v>6.5220814239180705E-2</c:v>
                </c:pt>
                <c:pt idx="35">
                  <c:v>6.6860970513270501E-2</c:v>
                </c:pt>
                <c:pt idx="36">
                  <c:v>6.8501126787360297E-2</c:v>
                </c:pt>
                <c:pt idx="37">
                  <c:v>7.0141283061450094E-2</c:v>
                </c:pt>
                <c:pt idx="38">
                  <c:v>7.178143933553989E-2</c:v>
                </c:pt>
                <c:pt idx="39">
                  <c:v>7.3380591702777442E-2</c:v>
                </c:pt>
                <c:pt idx="40">
                  <c:v>7.4979744070014995E-2</c:v>
                </c:pt>
                <c:pt idx="41">
                  <c:v>7.6578896437252547E-2</c:v>
                </c:pt>
                <c:pt idx="42">
                  <c:v>7.8178048804490086E-2</c:v>
                </c:pt>
                <c:pt idx="43">
                  <c:v>7.9777201171727638E-2</c:v>
                </c:pt>
                <c:pt idx="44">
                  <c:v>8.137635353896519E-2</c:v>
                </c:pt>
                <c:pt idx="45">
                  <c:v>8.2975505906202743E-2</c:v>
                </c:pt>
                <c:pt idx="46">
                  <c:v>8.4574658273440295E-2</c:v>
                </c:pt>
                <c:pt idx="47">
                  <c:v>8.6173810640677848E-2</c:v>
                </c:pt>
                <c:pt idx="48">
                  <c:v>8.77729630079154E-2</c:v>
                </c:pt>
                <c:pt idx="49">
                  <c:v>8.9372115375152938E-2</c:v>
                </c:pt>
                <c:pt idx="50">
                  <c:v>9.0971267742390491E-2</c:v>
                </c:pt>
                <c:pt idx="51">
                  <c:v>9.2570420109628043E-2</c:v>
                </c:pt>
                <c:pt idx="52">
                  <c:v>9.4169572476865596E-2</c:v>
                </c:pt>
                <c:pt idx="53">
                  <c:v>9.5768724844103148E-2</c:v>
                </c:pt>
                <c:pt idx="54">
                  <c:v>9.73678772113407E-2</c:v>
                </c:pt>
                <c:pt idx="55">
                  <c:v>9.8967029578578253E-2</c:v>
                </c:pt>
                <c:pt idx="56">
                  <c:v>0.10056618194581579</c:v>
                </c:pt>
                <c:pt idx="57">
                  <c:v>0.10205872415523751</c:v>
                </c:pt>
                <c:pt idx="58">
                  <c:v>0.10355126636465922</c:v>
                </c:pt>
                <c:pt idx="59">
                  <c:v>0.10504380857408094</c:v>
                </c:pt>
                <c:pt idx="60">
                  <c:v>0.10653635078350265</c:v>
                </c:pt>
                <c:pt idx="61">
                  <c:v>0.10802889299292437</c:v>
                </c:pt>
                <c:pt idx="62">
                  <c:v>0.10952143520234608</c:v>
                </c:pt>
                <c:pt idx="63">
                  <c:v>0.11101397741176779</c:v>
                </c:pt>
                <c:pt idx="64">
                  <c:v>0.1125065196211895</c:v>
                </c:pt>
                <c:pt idx="65">
                  <c:v>0.11399906183061122</c:v>
                </c:pt>
                <c:pt idx="66">
                  <c:v>0.11549160404003293</c:v>
                </c:pt>
                <c:pt idx="67">
                  <c:v>0.11698414624945465</c:v>
                </c:pt>
                <c:pt idx="68">
                  <c:v>0.11847668845887636</c:v>
                </c:pt>
                <c:pt idx="69">
                  <c:v>0.11996923066829808</c:v>
                </c:pt>
                <c:pt idx="70">
                  <c:v>0.1214617728777198</c:v>
                </c:pt>
                <c:pt idx="71">
                  <c:v>0.1229543150871415</c:v>
                </c:pt>
                <c:pt idx="72">
                  <c:v>0.12444685729656321</c:v>
                </c:pt>
                <c:pt idx="73">
                  <c:v>0.12593939950598493</c:v>
                </c:pt>
                <c:pt idx="74">
                  <c:v>0.12743194171540664</c:v>
                </c:pt>
                <c:pt idx="75">
                  <c:v>0.12886707845523521</c:v>
                </c:pt>
                <c:pt idx="76">
                  <c:v>0.1303022151950638</c:v>
                </c:pt>
                <c:pt idx="77">
                  <c:v>0.13168814724666966</c:v>
                </c:pt>
                <c:pt idx="78">
                  <c:v>0.13307407929827553</c:v>
                </c:pt>
                <c:pt idx="79">
                  <c:v>0.13446001134988142</c:v>
                </c:pt>
                <c:pt idx="80">
                  <c:v>0.13584594340148728</c:v>
                </c:pt>
                <c:pt idx="81">
                  <c:v>0.13723187545309318</c:v>
                </c:pt>
                <c:pt idx="82">
                  <c:v>0.13861780750469904</c:v>
                </c:pt>
                <c:pt idx="83">
                  <c:v>0.13997093643082312</c:v>
                </c:pt>
                <c:pt idx="84">
                  <c:v>0.14125025832461316</c:v>
                </c:pt>
                <c:pt idx="85">
                  <c:v>0.1425295802184032</c:v>
                </c:pt>
                <c:pt idx="86">
                  <c:v>0.14380890211219324</c:v>
                </c:pt>
                <c:pt idx="87">
                  <c:v>0.14508822400598329</c:v>
                </c:pt>
                <c:pt idx="88">
                  <c:v>0.14636754589977333</c:v>
                </c:pt>
                <c:pt idx="89">
                  <c:v>0.14764686779356337</c:v>
                </c:pt>
                <c:pt idx="90">
                  <c:v>0.14892618968735341</c:v>
                </c:pt>
                <c:pt idx="91">
                  <c:v>0.15020551158114345</c:v>
                </c:pt>
                <c:pt idx="92">
                  <c:v>0.15148483347493349</c:v>
                </c:pt>
                <c:pt idx="93">
                  <c:v>0.15276415536872354</c:v>
                </c:pt>
                <c:pt idx="94">
                  <c:v>0.15404347726251358</c:v>
                </c:pt>
                <c:pt idx="95">
                  <c:v>0.15527359446808092</c:v>
                </c:pt>
                <c:pt idx="96">
                  <c:v>0.15650371167364827</c:v>
                </c:pt>
                <c:pt idx="97">
                  <c:v>0.15773382887921561</c:v>
                </c:pt>
                <c:pt idx="98">
                  <c:v>0.15896394608478295</c:v>
                </c:pt>
                <c:pt idx="99">
                  <c:v>0.16013665782075717</c:v>
                </c:pt>
                <c:pt idx="100">
                  <c:v>0.16130936955673136</c:v>
                </c:pt>
                <c:pt idx="101">
                  <c:v>0.16248208129270558</c:v>
                </c:pt>
                <c:pt idx="102">
                  <c:v>0.16365479302867977</c:v>
                </c:pt>
                <c:pt idx="103">
                  <c:v>0.16476189851369039</c:v>
                </c:pt>
                <c:pt idx="104">
                  <c:v>0.16582800009184875</c:v>
                </c:pt>
                <c:pt idx="105">
                  <c:v>0.16689410167000712</c:v>
                </c:pt>
                <c:pt idx="106">
                  <c:v>0.16796020324816549</c:v>
                </c:pt>
                <c:pt idx="107">
                  <c:v>0.16902630482632386</c:v>
                </c:pt>
                <c:pt idx="108">
                  <c:v>0.17009240640448223</c:v>
                </c:pt>
                <c:pt idx="109">
                  <c:v>0.1711585079826406</c:v>
                </c:pt>
                <c:pt idx="110">
                  <c:v>0.17222460956079896</c:v>
                </c:pt>
                <c:pt idx="111">
                  <c:v>0.17329071113895733</c:v>
                </c:pt>
                <c:pt idx="112">
                  <c:v>0.1743568127171157</c:v>
                </c:pt>
                <c:pt idx="113">
                  <c:v>0.17542291429527404</c:v>
                </c:pt>
                <c:pt idx="114">
                  <c:v>0.17648901587343241</c:v>
                </c:pt>
                <c:pt idx="115">
                  <c:v>0.17755511745159078</c:v>
                </c:pt>
                <c:pt idx="116">
                  <c:v>0.17862121902974915</c:v>
                </c:pt>
                <c:pt idx="117">
                  <c:v>0.17968732060790751</c:v>
                </c:pt>
                <c:pt idx="118">
                  <c:v>0.18075342218606588</c:v>
                </c:pt>
                <c:pt idx="119">
                  <c:v>0.18181952376422425</c:v>
                </c:pt>
                <c:pt idx="120">
                  <c:v>0.18288562534238262</c:v>
                </c:pt>
                <c:pt idx="121">
                  <c:v>0.18395172692054099</c:v>
                </c:pt>
                <c:pt idx="122">
                  <c:v>0.18501782849869935</c:v>
                </c:pt>
                <c:pt idx="123">
                  <c:v>0.18608393007685772</c:v>
                </c:pt>
                <c:pt idx="124">
                  <c:v>0.18715003165501609</c:v>
                </c:pt>
                <c:pt idx="125">
                  <c:v>0.18821613323317446</c:v>
                </c:pt>
                <c:pt idx="126">
                  <c:v>0.18928223481133283</c:v>
                </c:pt>
                <c:pt idx="127">
                  <c:v>0.1903483363894912</c:v>
                </c:pt>
                <c:pt idx="128">
                  <c:v>0.19141443796764956</c:v>
                </c:pt>
                <c:pt idx="129">
                  <c:v>0.19248053954580793</c:v>
                </c:pt>
                <c:pt idx="130">
                  <c:v>0.1935466411239663</c:v>
                </c:pt>
                <c:pt idx="131">
                  <c:v>0.19461274270212467</c:v>
                </c:pt>
                <c:pt idx="132">
                  <c:v>0.19567884428028304</c:v>
                </c:pt>
                <c:pt idx="133">
                  <c:v>0.19670394195158913</c:v>
                </c:pt>
                <c:pt idx="134">
                  <c:v>0.19772903962289526</c:v>
                </c:pt>
                <c:pt idx="135">
                  <c:v>0.19875413729420138</c:v>
                </c:pt>
                <c:pt idx="136">
                  <c:v>0.19977923496550751</c:v>
                </c:pt>
                <c:pt idx="137">
                  <c:v>0.20080433263681363</c:v>
                </c:pt>
                <c:pt idx="138">
                  <c:v>0.20182943030811976</c:v>
                </c:pt>
                <c:pt idx="139">
                  <c:v>0.20285452797942588</c:v>
                </c:pt>
                <c:pt idx="140">
                  <c:v>0.203879625650732</c:v>
                </c:pt>
                <c:pt idx="141">
                  <c:v>0.20490472332203813</c:v>
                </c:pt>
                <c:pt idx="142">
                  <c:v>0.20592982099334425</c:v>
                </c:pt>
                <c:pt idx="143">
                  <c:v>0.20688931241368677</c:v>
                </c:pt>
                <c:pt idx="144">
                  <c:v>0.20784880383402932</c:v>
                </c:pt>
                <c:pt idx="145">
                  <c:v>0.20880829525437183</c:v>
                </c:pt>
                <c:pt idx="146">
                  <c:v>0.20976778667471438</c:v>
                </c:pt>
                <c:pt idx="147">
                  <c:v>0.2107272780950569</c:v>
                </c:pt>
                <c:pt idx="148">
                  <c:v>0.21168676951539941</c:v>
                </c:pt>
                <c:pt idx="149">
                  <c:v>0.21264626093574196</c:v>
                </c:pt>
                <c:pt idx="150">
                  <c:v>0.21360575235608448</c:v>
                </c:pt>
                <c:pt idx="151">
                  <c:v>0.21456524377642702</c:v>
                </c:pt>
                <c:pt idx="152">
                  <c:v>0.21552473519676954</c:v>
                </c:pt>
                <c:pt idx="153">
                  <c:v>0.21648422661711209</c:v>
                </c:pt>
                <c:pt idx="154">
                  <c:v>0.2174437180374546</c:v>
                </c:pt>
                <c:pt idx="155">
                  <c:v>0.21840320945779715</c:v>
                </c:pt>
                <c:pt idx="156">
                  <c:v>0.21936270087813967</c:v>
                </c:pt>
                <c:pt idx="157">
                  <c:v>0.22032219229848221</c:v>
                </c:pt>
                <c:pt idx="158">
                  <c:v>0.22128168371882473</c:v>
                </c:pt>
                <c:pt idx="159">
                  <c:v>0.22224117513916725</c:v>
                </c:pt>
                <c:pt idx="160">
                  <c:v>0.22320066655950979</c:v>
                </c:pt>
                <c:pt idx="161">
                  <c:v>0.22416015797985231</c:v>
                </c:pt>
                <c:pt idx="162">
                  <c:v>0.22507864549334261</c:v>
                </c:pt>
                <c:pt idx="163">
                  <c:v>0.22599713300683288</c:v>
                </c:pt>
                <c:pt idx="164">
                  <c:v>0.22691562052032319</c:v>
                </c:pt>
                <c:pt idx="165">
                  <c:v>0.22783410803381346</c:v>
                </c:pt>
                <c:pt idx="166">
                  <c:v>0.22875259554730376</c:v>
                </c:pt>
                <c:pt idx="167">
                  <c:v>0.22961367759120088</c:v>
                </c:pt>
                <c:pt idx="168">
                  <c:v>0.23047475963509803</c:v>
                </c:pt>
                <c:pt idx="169">
                  <c:v>0.23133584167899518</c:v>
                </c:pt>
                <c:pt idx="170">
                  <c:v>0.23219692372289233</c:v>
                </c:pt>
                <c:pt idx="171">
                  <c:v>0.23305800576678945</c:v>
                </c:pt>
                <c:pt idx="172">
                  <c:v>0.23391088702931614</c:v>
                </c:pt>
                <c:pt idx="173">
                  <c:v>0.23476376829184284</c:v>
                </c:pt>
                <c:pt idx="174">
                  <c:v>0.23561664955436953</c:v>
                </c:pt>
                <c:pt idx="175">
                  <c:v>0.23646953081689623</c:v>
                </c:pt>
                <c:pt idx="176">
                  <c:v>0.23732241207942292</c:v>
                </c:pt>
                <c:pt idx="177">
                  <c:v>0.23817529334194962</c:v>
                </c:pt>
                <c:pt idx="178">
                  <c:v>0.23902817460447631</c:v>
                </c:pt>
                <c:pt idx="179">
                  <c:v>0.23988105586700301</c:v>
                </c:pt>
                <c:pt idx="180">
                  <c:v>0.2407339371295297</c:v>
                </c:pt>
                <c:pt idx="181">
                  <c:v>0.2415868183920564</c:v>
                </c:pt>
                <c:pt idx="182">
                  <c:v>0.24243969965458309</c:v>
                </c:pt>
                <c:pt idx="183">
                  <c:v>0.24329258091710979</c:v>
                </c:pt>
                <c:pt idx="184">
                  <c:v>0.24414546217963648</c:v>
                </c:pt>
                <c:pt idx="185">
                  <c:v>0.24499834344216317</c:v>
                </c:pt>
                <c:pt idx="186">
                  <c:v>0.24585122470468987</c:v>
                </c:pt>
                <c:pt idx="187">
                  <c:v>0.24670410596721656</c:v>
                </c:pt>
                <c:pt idx="188">
                  <c:v>0.24755698722974326</c:v>
                </c:pt>
                <c:pt idx="189">
                  <c:v>0.24840986849226995</c:v>
                </c:pt>
                <c:pt idx="190">
                  <c:v>0.24926274975479665</c:v>
                </c:pt>
                <c:pt idx="191">
                  <c:v>0.25011563101732331</c:v>
                </c:pt>
                <c:pt idx="192">
                  <c:v>0.25096851227985001</c:v>
                </c:pt>
                <c:pt idx="193">
                  <c:v>0.2518213935423767</c:v>
                </c:pt>
                <c:pt idx="194">
                  <c:v>0.2526742748049034</c:v>
                </c:pt>
                <c:pt idx="195">
                  <c:v>0.25352715606743009</c:v>
                </c:pt>
                <c:pt idx="196">
                  <c:v>0.25438003732995679</c:v>
                </c:pt>
                <c:pt idx="197">
                  <c:v>0.25523291859248348</c:v>
                </c:pt>
                <c:pt idx="198">
                  <c:v>0.25608579985501018</c:v>
                </c:pt>
                <c:pt idx="199">
                  <c:v>0.25693868111753687</c:v>
                </c:pt>
                <c:pt idx="200">
                  <c:v>0.25779156238006357</c:v>
                </c:pt>
                <c:pt idx="201">
                  <c:v>0.25864444364259026</c:v>
                </c:pt>
                <c:pt idx="202">
                  <c:v>0.25949732490511696</c:v>
                </c:pt>
                <c:pt idx="203">
                  <c:v>0.26035020616764365</c:v>
                </c:pt>
                <c:pt idx="204">
                  <c:v>0.26120308743017034</c:v>
                </c:pt>
                <c:pt idx="205">
                  <c:v>0.26205596869269704</c:v>
                </c:pt>
                <c:pt idx="206">
                  <c:v>0.26290884995522373</c:v>
                </c:pt>
                <c:pt idx="207">
                  <c:v>0.26376173121775043</c:v>
                </c:pt>
                <c:pt idx="208">
                  <c:v>0.26461461248027712</c:v>
                </c:pt>
                <c:pt idx="209">
                  <c:v>0.265434690617322</c:v>
                </c:pt>
                <c:pt idx="210">
                  <c:v>0.26625476875436693</c:v>
                </c:pt>
                <c:pt idx="211">
                  <c:v>0.26707484689141181</c:v>
                </c:pt>
                <c:pt idx="212">
                  <c:v>0.26789492502845669</c:v>
                </c:pt>
                <c:pt idx="213">
                  <c:v>0.26871500316550162</c:v>
                </c:pt>
                <c:pt idx="214">
                  <c:v>0.2695350813025465</c:v>
                </c:pt>
                <c:pt idx="215">
                  <c:v>0.27035515943959143</c:v>
                </c:pt>
                <c:pt idx="216">
                  <c:v>0.27117523757663631</c:v>
                </c:pt>
                <c:pt idx="217">
                  <c:v>0.27199531571368118</c:v>
                </c:pt>
                <c:pt idx="218">
                  <c:v>0.27281539385072612</c:v>
                </c:pt>
                <c:pt idx="219">
                  <c:v>0.273635471987771</c:v>
                </c:pt>
                <c:pt idx="220">
                  <c:v>0.27445555012481587</c:v>
                </c:pt>
                <c:pt idx="221">
                  <c:v>0.27527562826186081</c:v>
                </c:pt>
                <c:pt idx="222">
                  <c:v>0.27609570639890568</c:v>
                </c:pt>
                <c:pt idx="223">
                  <c:v>0.27691578453595056</c:v>
                </c:pt>
                <c:pt idx="224">
                  <c:v>0.27771946111025458</c:v>
                </c:pt>
                <c:pt idx="225">
                  <c:v>0.27852313768455861</c:v>
                </c:pt>
                <c:pt idx="226">
                  <c:v>0.27932681425886258</c:v>
                </c:pt>
                <c:pt idx="227">
                  <c:v>0.2801304908331666</c:v>
                </c:pt>
                <c:pt idx="228">
                  <c:v>0.28093416740747057</c:v>
                </c:pt>
                <c:pt idx="229">
                  <c:v>0.28173784398177459</c:v>
                </c:pt>
                <c:pt idx="230">
                  <c:v>0.28254152055607856</c:v>
                </c:pt>
                <c:pt idx="231">
                  <c:v>0.28334519713038259</c:v>
                </c:pt>
                <c:pt idx="232">
                  <c:v>0.28414887370468656</c:v>
                </c:pt>
                <c:pt idx="233">
                  <c:v>0.28489514480939743</c:v>
                </c:pt>
                <c:pt idx="234">
                  <c:v>0.2856414159141083</c:v>
                </c:pt>
                <c:pt idx="235">
                  <c:v>0.28638768701881917</c:v>
                </c:pt>
                <c:pt idx="236">
                  <c:v>0.28713395812352999</c:v>
                </c:pt>
                <c:pt idx="237">
                  <c:v>0.28788022922824086</c:v>
                </c:pt>
                <c:pt idx="238">
                  <c:v>0.28862650033295173</c:v>
                </c:pt>
                <c:pt idx="239">
                  <c:v>0.2893727714376626</c:v>
                </c:pt>
                <c:pt idx="240">
                  <c:v>0.29011904254237342</c:v>
                </c:pt>
                <c:pt idx="241">
                  <c:v>0.29086531364708429</c:v>
                </c:pt>
                <c:pt idx="242">
                  <c:v>0.29161158475179516</c:v>
                </c:pt>
                <c:pt idx="243">
                  <c:v>0.29235785585650603</c:v>
                </c:pt>
                <c:pt idx="244">
                  <c:v>0.29310412696121685</c:v>
                </c:pt>
                <c:pt idx="245">
                  <c:v>0.29385039806592772</c:v>
                </c:pt>
                <c:pt idx="246">
                  <c:v>0.29459666917063859</c:v>
                </c:pt>
                <c:pt idx="247">
                  <c:v>0.29534294027534941</c:v>
                </c:pt>
                <c:pt idx="248">
                  <c:v>0.29608921138006028</c:v>
                </c:pt>
                <c:pt idx="249">
                  <c:v>0.29683548248477115</c:v>
                </c:pt>
                <c:pt idx="250">
                  <c:v>0.29758175358948202</c:v>
                </c:pt>
                <c:pt idx="251">
                  <c:v>0.29832802469419284</c:v>
                </c:pt>
                <c:pt idx="252">
                  <c:v>0.29907429579890371</c:v>
                </c:pt>
                <c:pt idx="253">
                  <c:v>0.29982056690361458</c:v>
                </c:pt>
                <c:pt idx="254">
                  <c:v>0.30056683800832545</c:v>
                </c:pt>
                <c:pt idx="255">
                  <c:v>0.30131310911303627</c:v>
                </c:pt>
                <c:pt idx="256">
                  <c:v>0.30205938021774714</c:v>
                </c:pt>
                <c:pt idx="257">
                  <c:v>0.30280565132245801</c:v>
                </c:pt>
                <c:pt idx="258">
                  <c:v>0.30355192242716889</c:v>
                </c:pt>
                <c:pt idx="259">
                  <c:v>0.3042981935318797</c:v>
                </c:pt>
                <c:pt idx="260">
                  <c:v>0.30504446463659057</c:v>
                </c:pt>
                <c:pt idx="261">
                  <c:v>0.30579073574130144</c:v>
                </c:pt>
                <c:pt idx="262">
                  <c:v>0.30653700684601226</c:v>
                </c:pt>
                <c:pt idx="263">
                  <c:v>0.30728327795072313</c:v>
                </c:pt>
                <c:pt idx="264">
                  <c:v>0.308029549055434</c:v>
                </c:pt>
                <c:pt idx="265">
                  <c:v>0.30877582016014488</c:v>
                </c:pt>
                <c:pt idx="266">
                  <c:v>0.30952209126485569</c:v>
                </c:pt>
                <c:pt idx="267">
                  <c:v>0.31026836236956656</c:v>
                </c:pt>
                <c:pt idx="268">
                  <c:v>0.31101463347427744</c:v>
                </c:pt>
                <c:pt idx="269">
                  <c:v>0.31176090457898831</c:v>
                </c:pt>
                <c:pt idx="270">
                  <c:v>0.31250717568369912</c:v>
                </c:pt>
                <c:pt idx="271">
                  <c:v>0.31325344678840999</c:v>
                </c:pt>
                <c:pt idx="272">
                  <c:v>0.31399971789312087</c:v>
                </c:pt>
                <c:pt idx="273">
                  <c:v>0.31474598899783174</c:v>
                </c:pt>
                <c:pt idx="274">
                  <c:v>0.31549226010254255</c:v>
                </c:pt>
                <c:pt idx="275">
                  <c:v>0.31623853120725343</c:v>
                </c:pt>
                <c:pt idx="276">
                  <c:v>0.3169848023119643</c:v>
                </c:pt>
                <c:pt idx="277">
                  <c:v>0.31773107341667511</c:v>
                </c:pt>
                <c:pt idx="278">
                  <c:v>0.31847734452138599</c:v>
                </c:pt>
                <c:pt idx="279">
                  <c:v>0.31922361562609686</c:v>
                </c:pt>
                <c:pt idx="280">
                  <c:v>0.31996988673080773</c:v>
                </c:pt>
                <c:pt idx="281">
                  <c:v>0.32071615783551854</c:v>
                </c:pt>
                <c:pt idx="282">
                  <c:v>0.32146242894022942</c:v>
                </c:pt>
                <c:pt idx="283">
                  <c:v>0.32220870004494029</c:v>
                </c:pt>
                <c:pt idx="284">
                  <c:v>0.32295497114965116</c:v>
                </c:pt>
                <c:pt idx="285">
                  <c:v>0.32370124225436198</c:v>
                </c:pt>
                <c:pt idx="286">
                  <c:v>0.32443931257770242</c:v>
                </c:pt>
                <c:pt idx="287">
                  <c:v>0.32517738290104281</c:v>
                </c:pt>
                <c:pt idx="288">
                  <c:v>0.3259154532243832</c:v>
                </c:pt>
                <c:pt idx="289">
                  <c:v>0.32665352354772365</c:v>
                </c:pt>
                <c:pt idx="290">
                  <c:v>0.32739159387106403</c:v>
                </c:pt>
                <c:pt idx="291">
                  <c:v>0.32812966419440442</c:v>
                </c:pt>
                <c:pt idx="292">
                  <c:v>0.32886773451774487</c:v>
                </c:pt>
                <c:pt idx="293">
                  <c:v>0.32960580484108526</c:v>
                </c:pt>
                <c:pt idx="294">
                  <c:v>0.33034387516442565</c:v>
                </c:pt>
                <c:pt idx="295">
                  <c:v>0.33103274079954337</c:v>
                </c:pt>
                <c:pt idx="296">
                  <c:v>0.33172160643466109</c:v>
                </c:pt>
                <c:pt idx="297">
                  <c:v>0.33241047206977881</c:v>
                </c:pt>
                <c:pt idx="298">
                  <c:v>0.33309933770489653</c:v>
                </c:pt>
                <c:pt idx="299">
                  <c:v>0.33378820334001424</c:v>
                </c:pt>
                <c:pt idx="300">
                  <c:v>0.33447706897513196</c:v>
                </c:pt>
                <c:pt idx="301">
                  <c:v>0.33516593461024968</c:v>
                </c:pt>
                <c:pt idx="302">
                  <c:v>0.3358548002453674</c:v>
                </c:pt>
                <c:pt idx="303">
                  <c:v>0.33654366588048507</c:v>
                </c:pt>
                <c:pt idx="304">
                  <c:v>0.33723253151560278</c:v>
                </c:pt>
                <c:pt idx="305">
                  <c:v>0.3379213971507205</c:v>
                </c:pt>
                <c:pt idx="306">
                  <c:v>0.33861026278583822</c:v>
                </c:pt>
                <c:pt idx="307">
                  <c:v>0.33929912842095594</c:v>
                </c:pt>
                <c:pt idx="308">
                  <c:v>0.33998799405607366</c:v>
                </c:pt>
                <c:pt idx="309">
                  <c:v>0.34067685969119138</c:v>
                </c:pt>
                <c:pt idx="310">
                  <c:v>0.3413657253263091</c:v>
                </c:pt>
                <c:pt idx="311">
                  <c:v>0.34205459096142682</c:v>
                </c:pt>
                <c:pt idx="312">
                  <c:v>0.34274345659654454</c:v>
                </c:pt>
                <c:pt idx="313">
                  <c:v>0.34343232223166226</c:v>
                </c:pt>
                <c:pt idx="314">
                  <c:v>0.34412118786677992</c:v>
                </c:pt>
                <c:pt idx="315">
                  <c:v>0.34481005350189764</c:v>
                </c:pt>
                <c:pt idx="316">
                  <c:v>0.34549891913701536</c:v>
                </c:pt>
                <c:pt idx="317">
                  <c:v>0.34613858008391041</c:v>
                </c:pt>
                <c:pt idx="318">
                  <c:v>0.3467782410308054</c:v>
                </c:pt>
                <c:pt idx="319">
                  <c:v>0.34741790197770045</c:v>
                </c:pt>
                <c:pt idx="320">
                  <c:v>0.34805756292459544</c:v>
                </c:pt>
                <c:pt idx="321">
                  <c:v>0.34869722387149049</c:v>
                </c:pt>
                <c:pt idx="322">
                  <c:v>0.34933688481838548</c:v>
                </c:pt>
                <c:pt idx="323">
                  <c:v>0.34997654576528053</c:v>
                </c:pt>
                <c:pt idx="324">
                  <c:v>0.35061620671217553</c:v>
                </c:pt>
                <c:pt idx="325">
                  <c:v>0.35125586765907058</c:v>
                </c:pt>
                <c:pt idx="326">
                  <c:v>0.35189552860596557</c:v>
                </c:pt>
                <c:pt idx="327">
                  <c:v>0.35253518955286062</c:v>
                </c:pt>
                <c:pt idx="328">
                  <c:v>0.35317485049975561</c:v>
                </c:pt>
                <c:pt idx="329">
                  <c:v>0.35381451144665066</c:v>
                </c:pt>
                <c:pt idx="330">
                  <c:v>0.35445417239354565</c:v>
                </c:pt>
                <c:pt idx="331">
                  <c:v>0.3550938333404407</c:v>
                </c:pt>
                <c:pt idx="332">
                  <c:v>0.35573349428733569</c:v>
                </c:pt>
                <c:pt idx="333">
                  <c:v>0.35637315523423074</c:v>
                </c:pt>
                <c:pt idx="334">
                  <c:v>0.35701281618112574</c:v>
                </c:pt>
                <c:pt idx="335">
                  <c:v>0.35765247712802078</c:v>
                </c:pt>
                <c:pt idx="336">
                  <c:v>0.35829213807491578</c:v>
                </c:pt>
                <c:pt idx="337">
                  <c:v>0.35893179902181077</c:v>
                </c:pt>
                <c:pt idx="338">
                  <c:v>0.35957145996870582</c:v>
                </c:pt>
                <c:pt idx="339">
                  <c:v>0.36021112091560081</c:v>
                </c:pt>
                <c:pt idx="340">
                  <c:v>0.36085078186249586</c:v>
                </c:pt>
                <c:pt idx="341">
                  <c:v>0.36149044280939086</c:v>
                </c:pt>
                <c:pt idx="342">
                  <c:v>0.3621301037562859</c:v>
                </c:pt>
                <c:pt idx="343">
                  <c:v>0.3627697647031809</c:v>
                </c:pt>
                <c:pt idx="344">
                  <c:v>0.36340942565007595</c:v>
                </c:pt>
                <c:pt idx="345">
                  <c:v>0.36404908659697094</c:v>
                </c:pt>
                <c:pt idx="346">
                  <c:v>0.36468874754386599</c:v>
                </c:pt>
                <c:pt idx="347">
                  <c:v>0.36532840849076098</c:v>
                </c:pt>
                <c:pt idx="348">
                  <c:v>0.36596806943765603</c:v>
                </c:pt>
                <c:pt idx="349">
                  <c:v>0.36660773038455102</c:v>
                </c:pt>
                <c:pt idx="350">
                  <c:v>0.36724739133144607</c:v>
                </c:pt>
                <c:pt idx="351">
                  <c:v>0.36788705227834106</c:v>
                </c:pt>
                <c:pt idx="352">
                  <c:v>0.36852671322523611</c:v>
                </c:pt>
                <c:pt idx="353">
                  <c:v>0.36916637417213111</c:v>
                </c:pt>
                <c:pt idx="354">
                  <c:v>0.36980603511902616</c:v>
                </c:pt>
                <c:pt idx="355">
                  <c:v>0.37044569606592115</c:v>
                </c:pt>
                <c:pt idx="356">
                  <c:v>0.3710853570128162</c:v>
                </c:pt>
                <c:pt idx="357">
                  <c:v>0.37172501795971119</c:v>
                </c:pt>
                <c:pt idx="358">
                  <c:v>0.37236467890660624</c:v>
                </c:pt>
                <c:pt idx="359">
                  <c:v>0.37300433985350123</c:v>
                </c:pt>
                <c:pt idx="360">
                  <c:v>0.37364400080039628</c:v>
                </c:pt>
                <c:pt idx="361">
                  <c:v>0.37428366174729127</c:v>
                </c:pt>
                <c:pt idx="362">
                  <c:v>0.37492332269418632</c:v>
                </c:pt>
                <c:pt idx="363">
                  <c:v>0.37556298364108132</c:v>
                </c:pt>
                <c:pt idx="364">
                  <c:v>0.37620264458797636</c:v>
                </c:pt>
                <c:pt idx="365">
                  <c:v>0.37684230553487136</c:v>
                </c:pt>
                <c:pt idx="366">
                  <c:v>0.37748196648176641</c:v>
                </c:pt>
                <c:pt idx="367">
                  <c:v>0.3781216274286614</c:v>
                </c:pt>
                <c:pt idx="368">
                  <c:v>0.37876128837555645</c:v>
                </c:pt>
                <c:pt idx="369">
                  <c:v>0.37940094932245144</c:v>
                </c:pt>
                <c:pt idx="370">
                  <c:v>0.38004061026934649</c:v>
                </c:pt>
                <c:pt idx="371">
                  <c:v>0.38068027121624148</c:v>
                </c:pt>
                <c:pt idx="372">
                  <c:v>0.38131993216313648</c:v>
                </c:pt>
                <c:pt idx="373">
                  <c:v>0.38195959311003153</c:v>
                </c:pt>
                <c:pt idx="374">
                  <c:v>0.38259925405692652</c:v>
                </c:pt>
                <c:pt idx="375">
                  <c:v>0.38323891500382157</c:v>
                </c:pt>
                <c:pt idx="376">
                  <c:v>0.38387857595071656</c:v>
                </c:pt>
                <c:pt idx="377">
                  <c:v>0.38451823689761161</c:v>
                </c:pt>
                <c:pt idx="378">
                  <c:v>0.3851578978445066</c:v>
                </c:pt>
                <c:pt idx="379">
                  <c:v>0.38579755879140165</c:v>
                </c:pt>
                <c:pt idx="380">
                  <c:v>0.38643721973829664</c:v>
                </c:pt>
                <c:pt idx="381">
                  <c:v>0.38707688068519169</c:v>
                </c:pt>
                <c:pt idx="382">
                  <c:v>0.38771654163208669</c:v>
                </c:pt>
                <c:pt idx="383">
                  <c:v>0.38835620257898174</c:v>
                </c:pt>
                <c:pt idx="384">
                  <c:v>0.38899586352587673</c:v>
                </c:pt>
                <c:pt idx="385">
                  <c:v>0.38963552447277178</c:v>
                </c:pt>
                <c:pt idx="386">
                  <c:v>0.39027518541966677</c:v>
                </c:pt>
                <c:pt idx="387">
                  <c:v>0.39091484636656182</c:v>
                </c:pt>
                <c:pt idx="388">
                  <c:v>0.39155450731345681</c:v>
                </c:pt>
                <c:pt idx="389">
                  <c:v>0.39219416826035186</c:v>
                </c:pt>
                <c:pt idx="390">
                  <c:v>0.39283382920724685</c:v>
                </c:pt>
                <c:pt idx="391">
                  <c:v>0.3934734901541419</c:v>
                </c:pt>
                <c:pt idx="392">
                  <c:v>0.3941131511010369</c:v>
                </c:pt>
                <c:pt idx="393">
                  <c:v>0.39475281204793194</c:v>
                </c:pt>
                <c:pt idx="394">
                  <c:v>0.39539247299482694</c:v>
                </c:pt>
                <c:pt idx="395">
                  <c:v>0.39603213394172199</c:v>
                </c:pt>
                <c:pt idx="396">
                  <c:v>0.39667179488861698</c:v>
                </c:pt>
                <c:pt idx="397">
                  <c:v>0.39731145583551203</c:v>
                </c:pt>
                <c:pt idx="398">
                  <c:v>0.39795111678240702</c:v>
                </c:pt>
                <c:pt idx="399">
                  <c:v>0.39859077772930207</c:v>
                </c:pt>
                <c:pt idx="400">
                  <c:v>0.39923043867619706</c:v>
                </c:pt>
                <c:pt idx="401">
                  <c:v>0.39987009962309211</c:v>
                </c:pt>
                <c:pt idx="402">
                  <c:v>0.40050976056998711</c:v>
                </c:pt>
                <c:pt idx="403">
                  <c:v>0.40114942151688215</c:v>
                </c:pt>
                <c:pt idx="404">
                  <c:v>0.40178908246377715</c:v>
                </c:pt>
                <c:pt idx="405">
                  <c:v>0.4024287434106722</c:v>
                </c:pt>
                <c:pt idx="406">
                  <c:v>0.40306840435756719</c:v>
                </c:pt>
                <c:pt idx="407">
                  <c:v>0.40370806530446218</c:v>
                </c:pt>
                <c:pt idx="408">
                  <c:v>0.40434772625135723</c:v>
                </c:pt>
                <c:pt idx="409">
                  <c:v>0.40498738719825222</c:v>
                </c:pt>
                <c:pt idx="410">
                  <c:v>0.40562704814514727</c:v>
                </c:pt>
                <c:pt idx="411">
                  <c:v>0.40626670909204227</c:v>
                </c:pt>
                <c:pt idx="412">
                  <c:v>0.40690637003893732</c:v>
                </c:pt>
                <c:pt idx="413">
                  <c:v>0.40754603098583231</c:v>
                </c:pt>
                <c:pt idx="414">
                  <c:v>0.40818569193272736</c:v>
                </c:pt>
                <c:pt idx="415">
                  <c:v>0.40882535287962235</c:v>
                </c:pt>
                <c:pt idx="416">
                  <c:v>0.4094650138265174</c:v>
                </c:pt>
                <c:pt idx="417">
                  <c:v>0.41010467477341239</c:v>
                </c:pt>
                <c:pt idx="418">
                  <c:v>0.41074433572030744</c:v>
                </c:pt>
                <c:pt idx="419">
                  <c:v>0.41138399666720243</c:v>
                </c:pt>
                <c:pt idx="420">
                  <c:v>0.41202365761409748</c:v>
                </c:pt>
                <c:pt idx="421">
                  <c:v>0.41266331856099248</c:v>
                </c:pt>
                <c:pt idx="422">
                  <c:v>0.41330297950788752</c:v>
                </c:pt>
                <c:pt idx="423">
                  <c:v>0.41394264045478252</c:v>
                </c:pt>
                <c:pt idx="424">
                  <c:v>0.41458230140167757</c:v>
                </c:pt>
                <c:pt idx="425">
                  <c:v>0.41522196234857256</c:v>
                </c:pt>
                <c:pt idx="426">
                  <c:v>0.41586162329546761</c:v>
                </c:pt>
                <c:pt idx="427">
                  <c:v>0.4165012842423626</c:v>
                </c:pt>
                <c:pt idx="428">
                  <c:v>0.41714094518925765</c:v>
                </c:pt>
                <c:pt idx="429">
                  <c:v>0.41778060613615264</c:v>
                </c:pt>
                <c:pt idx="430">
                  <c:v>0.41842026708304769</c:v>
                </c:pt>
                <c:pt idx="431">
                  <c:v>0.41905992802994269</c:v>
                </c:pt>
                <c:pt idx="432">
                  <c:v>0.41968318741409683</c:v>
                </c:pt>
                <c:pt idx="433">
                  <c:v>0.42029824601688048</c:v>
                </c:pt>
                <c:pt idx="434">
                  <c:v>0.42091330461966414</c:v>
                </c:pt>
                <c:pt idx="435">
                  <c:v>0.42152836322244785</c:v>
                </c:pt>
                <c:pt idx="436">
                  <c:v>0.42214342182523151</c:v>
                </c:pt>
                <c:pt idx="437">
                  <c:v>0.42275848042801517</c:v>
                </c:pt>
                <c:pt idx="438">
                  <c:v>0.42337353903079883</c:v>
                </c:pt>
                <c:pt idx="439">
                  <c:v>0.42398859763358254</c:v>
                </c:pt>
                <c:pt idx="440">
                  <c:v>0.4246036562363662</c:v>
                </c:pt>
                <c:pt idx="441">
                  <c:v>0.42521871483914986</c:v>
                </c:pt>
                <c:pt idx="442">
                  <c:v>0.42583377344193357</c:v>
                </c:pt>
                <c:pt idx="443">
                  <c:v>0.42644883204471723</c:v>
                </c:pt>
                <c:pt idx="444">
                  <c:v>0.42706389064750089</c:v>
                </c:pt>
                <c:pt idx="445">
                  <c:v>0.42767894925028455</c:v>
                </c:pt>
                <c:pt idx="446">
                  <c:v>0.42829400785306826</c:v>
                </c:pt>
                <c:pt idx="447">
                  <c:v>0.42890906645585192</c:v>
                </c:pt>
                <c:pt idx="448">
                  <c:v>0.42952412505863558</c:v>
                </c:pt>
                <c:pt idx="449">
                  <c:v>0.43013918366141923</c:v>
                </c:pt>
                <c:pt idx="450">
                  <c:v>0.43075424226420295</c:v>
                </c:pt>
                <c:pt idx="451">
                  <c:v>0.4313693008669866</c:v>
                </c:pt>
                <c:pt idx="452">
                  <c:v>0.43198435946977026</c:v>
                </c:pt>
                <c:pt idx="453">
                  <c:v>0.43259941807255398</c:v>
                </c:pt>
                <c:pt idx="454">
                  <c:v>0.43321447667533763</c:v>
                </c:pt>
                <c:pt idx="455">
                  <c:v>0.43382953527812129</c:v>
                </c:pt>
                <c:pt idx="456">
                  <c:v>0.43444459388090495</c:v>
                </c:pt>
                <c:pt idx="457">
                  <c:v>0.43505965248368866</c:v>
                </c:pt>
                <c:pt idx="458">
                  <c:v>0.43567471108647232</c:v>
                </c:pt>
                <c:pt idx="459">
                  <c:v>0.43628976968925598</c:v>
                </c:pt>
                <c:pt idx="460">
                  <c:v>0.43690482829203969</c:v>
                </c:pt>
                <c:pt idx="461">
                  <c:v>0.43751988689482335</c:v>
                </c:pt>
                <c:pt idx="462">
                  <c:v>0.43813494549760701</c:v>
                </c:pt>
                <c:pt idx="463">
                  <c:v>0.43875000410039067</c:v>
                </c:pt>
                <c:pt idx="464">
                  <c:v>0.43936506270317438</c:v>
                </c:pt>
                <c:pt idx="465">
                  <c:v>0.43998012130595804</c:v>
                </c:pt>
                <c:pt idx="466">
                  <c:v>0.4405951799087417</c:v>
                </c:pt>
                <c:pt idx="467">
                  <c:v>0.44121023851152535</c:v>
                </c:pt>
                <c:pt idx="468">
                  <c:v>0.44182529711430907</c:v>
                </c:pt>
                <c:pt idx="469">
                  <c:v>0.44244035571709273</c:v>
                </c:pt>
                <c:pt idx="470">
                  <c:v>0.44305541431987638</c:v>
                </c:pt>
                <c:pt idx="471">
                  <c:v>0.4436704729226601</c:v>
                </c:pt>
                <c:pt idx="472">
                  <c:v>0.44428553152544376</c:v>
                </c:pt>
                <c:pt idx="473">
                  <c:v>0.44490059012822741</c:v>
                </c:pt>
                <c:pt idx="474">
                  <c:v>0.44551564873101107</c:v>
                </c:pt>
                <c:pt idx="475">
                  <c:v>0.44613070733379478</c:v>
                </c:pt>
                <c:pt idx="476">
                  <c:v>0.44674576593657844</c:v>
                </c:pt>
                <c:pt idx="477">
                  <c:v>0.4473608245393621</c:v>
                </c:pt>
                <c:pt idx="478">
                  <c:v>0.44797588314214576</c:v>
                </c:pt>
                <c:pt idx="479">
                  <c:v>0.44859094174492947</c:v>
                </c:pt>
                <c:pt idx="480">
                  <c:v>0.44920600034771313</c:v>
                </c:pt>
                <c:pt idx="481">
                  <c:v>0.44982105895049679</c:v>
                </c:pt>
                <c:pt idx="482">
                  <c:v>0.4504361175532805</c:v>
                </c:pt>
                <c:pt idx="483">
                  <c:v>0.45105117615606416</c:v>
                </c:pt>
                <c:pt idx="484">
                  <c:v>0.45166623475884782</c:v>
                </c:pt>
                <c:pt idx="485">
                  <c:v>0.45228129336163148</c:v>
                </c:pt>
                <c:pt idx="486">
                  <c:v>0.45289635196441519</c:v>
                </c:pt>
                <c:pt idx="487">
                  <c:v>0.45348680822308751</c:v>
                </c:pt>
                <c:pt idx="488">
                  <c:v>0.45407726448175983</c:v>
                </c:pt>
                <c:pt idx="489">
                  <c:v>0.45466772074043216</c:v>
                </c:pt>
                <c:pt idx="490">
                  <c:v>0.45525817699910448</c:v>
                </c:pt>
                <c:pt idx="491">
                  <c:v>0.4558486332577768</c:v>
                </c:pt>
                <c:pt idx="492">
                  <c:v>0.45643908951644913</c:v>
                </c:pt>
                <c:pt idx="493">
                  <c:v>0.45702954577512145</c:v>
                </c:pt>
                <c:pt idx="494">
                  <c:v>0.45762000203379377</c:v>
                </c:pt>
                <c:pt idx="495">
                  <c:v>0.45821045829246609</c:v>
                </c:pt>
                <c:pt idx="496">
                  <c:v>0.45880091455113842</c:v>
                </c:pt>
                <c:pt idx="497">
                  <c:v>0.45939137080981074</c:v>
                </c:pt>
                <c:pt idx="498">
                  <c:v>0.45996542550574221</c:v>
                </c:pt>
                <c:pt idx="499">
                  <c:v>0.46053948020167362</c:v>
                </c:pt>
                <c:pt idx="500">
                  <c:v>0.46111353489760504</c:v>
                </c:pt>
                <c:pt idx="501">
                  <c:v>0.46168758959353645</c:v>
                </c:pt>
                <c:pt idx="502">
                  <c:v>0.46226164428946792</c:v>
                </c:pt>
                <c:pt idx="503">
                  <c:v>0.46283569898539934</c:v>
                </c:pt>
                <c:pt idx="504">
                  <c:v>0.46340975368133075</c:v>
                </c:pt>
                <c:pt idx="505">
                  <c:v>0.46398380837726216</c:v>
                </c:pt>
                <c:pt idx="506">
                  <c:v>0.46455786307319363</c:v>
                </c:pt>
                <c:pt idx="507">
                  <c:v>0.46513191776912505</c:v>
                </c:pt>
                <c:pt idx="508">
                  <c:v>0.46570597246505646</c:v>
                </c:pt>
                <c:pt idx="509">
                  <c:v>0.46628002716098788</c:v>
                </c:pt>
                <c:pt idx="510">
                  <c:v>0.46685408185691935</c:v>
                </c:pt>
                <c:pt idx="511">
                  <c:v>0.46742813655285076</c:v>
                </c:pt>
                <c:pt idx="512">
                  <c:v>0.46800219124878217</c:v>
                </c:pt>
                <c:pt idx="513">
                  <c:v>0.46857624594471359</c:v>
                </c:pt>
                <c:pt idx="514">
                  <c:v>0.46915030064064506</c:v>
                </c:pt>
                <c:pt idx="515">
                  <c:v>0.46972435533657647</c:v>
                </c:pt>
                <c:pt idx="516">
                  <c:v>0.47029841003250789</c:v>
                </c:pt>
                <c:pt idx="517">
                  <c:v>0.4708724647284393</c:v>
                </c:pt>
                <c:pt idx="518">
                  <c:v>0.47144651942437077</c:v>
                </c:pt>
                <c:pt idx="519">
                  <c:v>0.47202057412030218</c:v>
                </c:pt>
                <c:pt idx="520">
                  <c:v>0.4725946288162336</c:v>
                </c:pt>
                <c:pt idx="521">
                  <c:v>0.47316868351216501</c:v>
                </c:pt>
                <c:pt idx="522">
                  <c:v>0.47374273820809648</c:v>
                </c:pt>
                <c:pt idx="523">
                  <c:v>0.4743167929040279</c:v>
                </c:pt>
                <c:pt idx="524">
                  <c:v>0.47489084759995931</c:v>
                </c:pt>
                <c:pt idx="525">
                  <c:v>0.47546490229589078</c:v>
                </c:pt>
                <c:pt idx="526">
                  <c:v>0.47603895699182219</c:v>
                </c:pt>
                <c:pt idx="527">
                  <c:v>0.47661301168775361</c:v>
                </c:pt>
                <c:pt idx="528">
                  <c:v>0.47718706638368502</c:v>
                </c:pt>
                <c:pt idx="529">
                  <c:v>0.47776112107961649</c:v>
                </c:pt>
                <c:pt idx="530">
                  <c:v>0.47833517577554791</c:v>
                </c:pt>
                <c:pt idx="531">
                  <c:v>0.47890923047147932</c:v>
                </c:pt>
                <c:pt idx="532">
                  <c:v>0.47948328516741073</c:v>
                </c:pt>
                <c:pt idx="533">
                  <c:v>0.4800573398633422</c:v>
                </c:pt>
                <c:pt idx="534">
                  <c:v>0.48063139455927362</c:v>
                </c:pt>
                <c:pt idx="535">
                  <c:v>0.48120544925520503</c:v>
                </c:pt>
                <c:pt idx="536">
                  <c:v>0.48177950395113645</c:v>
                </c:pt>
                <c:pt idx="537">
                  <c:v>0.48232485591227131</c:v>
                </c:pt>
                <c:pt idx="538">
                  <c:v>0.48287020787340618</c:v>
                </c:pt>
                <c:pt idx="539">
                  <c:v>0.48341145944385583</c:v>
                </c:pt>
                <c:pt idx="540">
                  <c:v>0.483944510232935</c:v>
                </c:pt>
                <c:pt idx="541">
                  <c:v>0.48447756102201417</c:v>
                </c:pt>
                <c:pt idx="542">
                  <c:v>0.48501061181109334</c:v>
                </c:pt>
                <c:pt idx="543">
                  <c:v>0.48554366260017257</c:v>
                </c:pt>
                <c:pt idx="544">
                  <c:v>0.48607671338925174</c:v>
                </c:pt>
                <c:pt idx="545">
                  <c:v>0.48660976417833091</c:v>
                </c:pt>
                <c:pt idx="546">
                  <c:v>0.48714281496741008</c:v>
                </c:pt>
                <c:pt idx="547">
                  <c:v>0.4876758657564893</c:v>
                </c:pt>
                <c:pt idx="548">
                  <c:v>0.48820891654556847</c:v>
                </c:pt>
                <c:pt idx="549">
                  <c:v>0.48874196733464764</c:v>
                </c:pt>
                <c:pt idx="550">
                  <c:v>0.48927501812372681</c:v>
                </c:pt>
                <c:pt idx="551">
                  <c:v>0.48980806891280604</c:v>
                </c:pt>
                <c:pt idx="552">
                  <c:v>0.49034111970188521</c:v>
                </c:pt>
                <c:pt idx="553">
                  <c:v>0.49087417049096438</c:v>
                </c:pt>
                <c:pt idx="554">
                  <c:v>0.49140722128004355</c:v>
                </c:pt>
                <c:pt idx="555">
                  <c:v>0.49194027206912272</c:v>
                </c:pt>
                <c:pt idx="556">
                  <c:v>0.49247332285820195</c:v>
                </c:pt>
                <c:pt idx="557">
                  <c:v>0.49300637364728112</c:v>
                </c:pt>
                <c:pt idx="558">
                  <c:v>0.49353942443636029</c:v>
                </c:pt>
                <c:pt idx="559">
                  <c:v>0.49407247522543946</c:v>
                </c:pt>
                <c:pt idx="560">
                  <c:v>0.49460552601451868</c:v>
                </c:pt>
                <c:pt idx="561">
                  <c:v>0.49513857680359785</c:v>
                </c:pt>
                <c:pt idx="562">
                  <c:v>0.49567162759267702</c:v>
                </c:pt>
                <c:pt idx="563">
                  <c:v>0.49620467838175619</c:v>
                </c:pt>
                <c:pt idx="564">
                  <c:v>0.49673772917083542</c:v>
                </c:pt>
                <c:pt idx="565">
                  <c:v>0.49727077995991459</c:v>
                </c:pt>
                <c:pt idx="566">
                  <c:v>0.49780383074899376</c:v>
                </c:pt>
                <c:pt idx="567">
                  <c:v>0.49833688153807293</c:v>
                </c:pt>
                <c:pt idx="568">
                  <c:v>0.49886993232715215</c:v>
                </c:pt>
                <c:pt idx="569">
                  <c:v>0.49940298311623132</c:v>
                </c:pt>
                <c:pt idx="570">
                  <c:v>0.4999360339053105</c:v>
                </c:pt>
                <c:pt idx="571">
                  <c:v>0.50046908469438967</c:v>
                </c:pt>
                <c:pt idx="572">
                  <c:v>0.50100213548346884</c:v>
                </c:pt>
                <c:pt idx="573">
                  <c:v>0.50153518627254801</c:v>
                </c:pt>
                <c:pt idx="574">
                  <c:v>0.50206823706162729</c:v>
                </c:pt>
                <c:pt idx="575">
                  <c:v>0.50260128785070646</c:v>
                </c:pt>
                <c:pt idx="576">
                  <c:v>0.50313433863978563</c:v>
                </c:pt>
                <c:pt idx="577">
                  <c:v>0.5036673894288648</c:v>
                </c:pt>
                <c:pt idx="578">
                  <c:v>0.50420044021794397</c:v>
                </c:pt>
                <c:pt idx="579">
                  <c:v>0.50473349100702314</c:v>
                </c:pt>
                <c:pt idx="580">
                  <c:v>0.50526654179610231</c:v>
                </c:pt>
                <c:pt idx="581">
                  <c:v>0.50579959258518148</c:v>
                </c:pt>
                <c:pt idx="582">
                  <c:v>0.50633264337426065</c:v>
                </c:pt>
                <c:pt idx="583">
                  <c:v>0.50686569416333993</c:v>
                </c:pt>
                <c:pt idx="584">
                  <c:v>0.5073987449524191</c:v>
                </c:pt>
                <c:pt idx="585">
                  <c:v>0.50793179574149827</c:v>
                </c:pt>
                <c:pt idx="586">
                  <c:v>0.50846484653057744</c:v>
                </c:pt>
                <c:pt idx="587">
                  <c:v>0.50899789731965661</c:v>
                </c:pt>
                <c:pt idx="588">
                  <c:v>0.50953094810873578</c:v>
                </c:pt>
                <c:pt idx="589">
                  <c:v>0.51006399889781495</c:v>
                </c:pt>
                <c:pt idx="590">
                  <c:v>0.51059704968689412</c:v>
                </c:pt>
                <c:pt idx="591">
                  <c:v>0.5111301004759734</c:v>
                </c:pt>
                <c:pt idx="592">
                  <c:v>0.51166315126505257</c:v>
                </c:pt>
                <c:pt idx="593">
                  <c:v>0.51219620205413174</c:v>
                </c:pt>
                <c:pt idx="594">
                  <c:v>0.51272925284321091</c:v>
                </c:pt>
                <c:pt idx="595">
                  <c:v>0.51326230363229008</c:v>
                </c:pt>
                <c:pt idx="596">
                  <c:v>0.51379535442136925</c:v>
                </c:pt>
                <c:pt idx="597">
                  <c:v>0.51432840521044842</c:v>
                </c:pt>
                <c:pt idx="598">
                  <c:v>0.5148614559995276</c:v>
                </c:pt>
                <c:pt idx="599">
                  <c:v>0.51539450678860677</c:v>
                </c:pt>
                <c:pt idx="600">
                  <c:v>0.51592755757768605</c:v>
                </c:pt>
                <c:pt idx="601">
                  <c:v>0.51646060836676522</c:v>
                </c:pt>
                <c:pt idx="602">
                  <c:v>0.51699365915584439</c:v>
                </c:pt>
                <c:pt idx="603">
                  <c:v>0.51752670994492356</c:v>
                </c:pt>
                <c:pt idx="604">
                  <c:v>0.51805976073400273</c:v>
                </c:pt>
                <c:pt idx="605">
                  <c:v>0.5185928115230819</c:v>
                </c:pt>
                <c:pt idx="606">
                  <c:v>0.51912586231216107</c:v>
                </c:pt>
                <c:pt idx="607">
                  <c:v>0.51965891310124024</c:v>
                </c:pt>
                <c:pt idx="608">
                  <c:v>0.52019196389031952</c:v>
                </c:pt>
                <c:pt idx="609">
                  <c:v>0.52072501467939869</c:v>
                </c:pt>
                <c:pt idx="610">
                  <c:v>0.52125806546847786</c:v>
                </c:pt>
                <c:pt idx="611">
                  <c:v>0.52179111625755703</c:v>
                </c:pt>
                <c:pt idx="612">
                  <c:v>0.5223241670466362</c:v>
                </c:pt>
                <c:pt idx="613">
                  <c:v>0.52285721783571537</c:v>
                </c:pt>
                <c:pt idx="614">
                  <c:v>0.52339026862479454</c:v>
                </c:pt>
                <c:pt idx="615">
                  <c:v>0.52392331941387371</c:v>
                </c:pt>
                <c:pt idx="616">
                  <c:v>0.52445637020295299</c:v>
                </c:pt>
                <c:pt idx="617">
                  <c:v>0.52498942099203216</c:v>
                </c:pt>
                <c:pt idx="618">
                  <c:v>0.52552247178111133</c:v>
                </c:pt>
                <c:pt idx="619">
                  <c:v>0.5260555225701905</c:v>
                </c:pt>
                <c:pt idx="620">
                  <c:v>0.52658857335926967</c:v>
                </c:pt>
                <c:pt idx="621">
                  <c:v>0.52712162414834884</c:v>
                </c:pt>
                <c:pt idx="622">
                  <c:v>0.52765467493742801</c:v>
                </c:pt>
                <c:pt idx="623">
                  <c:v>0.52818772572650718</c:v>
                </c:pt>
                <c:pt idx="624">
                  <c:v>0.52872077651558635</c:v>
                </c:pt>
                <c:pt idx="625">
                  <c:v>0.52925382730466564</c:v>
                </c:pt>
                <c:pt idx="626">
                  <c:v>0.52978687809374481</c:v>
                </c:pt>
                <c:pt idx="627">
                  <c:v>0.53031992888282398</c:v>
                </c:pt>
                <c:pt idx="628">
                  <c:v>0.53085297967190315</c:v>
                </c:pt>
                <c:pt idx="629">
                  <c:v>0.53138603046098232</c:v>
                </c:pt>
                <c:pt idx="630">
                  <c:v>0.53191908125006149</c:v>
                </c:pt>
                <c:pt idx="631">
                  <c:v>0.53245213203914066</c:v>
                </c:pt>
                <c:pt idx="632">
                  <c:v>0.53298518282821983</c:v>
                </c:pt>
                <c:pt idx="633">
                  <c:v>0.53351823361729911</c:v>
                </c:pt>
                <c:pt idx="634">
                  <c:v>0.53405128440637828</c:v>
                </c:pt>
                <c:pt idx="635">
                  <c:v>0.53458433519545745</c:v>
                </c:pt>
                <c:pt idx="636">
                  <c:v>0.53511738598453662</c:v>
                </c:pt>
                <c:pt idx="637">
                  <c:v>0.53565043677361579</c:v>
                </c:pt>
                <c:pt idx="638">
                  <c:v>0.53618348756269496</c:v>
                </c:pt>
                <c:pt idx="639">
                  <c:v>0.53671653835177413</c:v>
                </c:pt>
                <c:pt idx="640">
                  <c:v>0.5372495891408533</c:v>
                </c:pt>
                <c:pt idx="641">
                  <c:v>0.53778263992993247</c:v>
                </c:pt>
                <c:pt idx="642">
                  <c:v>0.53831569071901175</c:v>
                </c:pt>
                <c:pt idx="643">
                  <c:v>0.53884874150809092</c:v>
                </c:pt>
                <c:pt idx="644">
                  <c:v>0.53938179229717009</c:v>
                </c:pt>
                <c:pt idx="645">
                  <c:v>0.53991484308624926</c:v>
                </c:pt>
                <c:pt idx="646">
                  <c:v>0.54044789387532843</c:v>
                </c:pt>
                <c:pt idx="647">
                  <c:v>0.5409809446644076</c:v>
                </c:pt>
                <c:pt idx="648">
                  <c:v>0.54151399545348677</c:v>
                </c:pt>
                <c:pt idx="649">
                  <c:v>0.54204704624256594</c:v>
                </c:pt>
                <c:pt idx="650">
                  <c:v>0.54258009703164523</c:v>
                </c:pt>
                <c:pt idx="651">
                  <c:v>0.5431131478207244</c:v>
                </c:pt>
                <c:pt idx="652">
                  <c:v>0.54364619860980357</c:v>
                </c:pt>
                <c:pt idx="653">
                  <c:v>0.54417924939888274</c:v>
                </c:pt>
                <c:pt idx="654">
                  <c:v>0.54471230018796191</c:v>
                </c:pt>
                <c:pt idx="655">
                  <c:v>0.54524535097704108</c:v>
                </c:pt>
                <c:pt idx="656">
                  <c:v>0.54577840176612025</c:v>
                </c:pt>
                <c:pt idx="657">
                  <c:v>0.54631145255519942</c:v>
                </c:pt>
                <c:pt idx="658">
                  <c:v>0.54684450334427859</c:v>
                </c:pt>
                <c:pt idx="659">
                  <c:v>0.54737755413335787</c:v>
                </c:pt>
                <c:pt idx="660">
                  <c:v>0.54791060492243704</c:v>
                </c:pt>
                <c:pt idx="661">
                  <c:v>0.54844365571151621</c:v>
                </c:pt>
                <c:pt idx="662">
                  <c:v>0.54897670650059538</c:v>
                </c:pt>
                <c:pt idx="663">
                  <c:v>0.54950975728967455</c:v>
                </c:pt>
                <c:pt idx="664">
                  <c:v>0.55004280807875372</c:v>
                </c:pt>
                <c:pt idx="665">
                  <c:v>0.55057585886783289</c:v>
                </c:pt>
                <c:pt idx="666">
                  <c:v>0.55110890965691206</c:v>
                </c:pt>
                <c:pt idx="667">
                  <c:v>0.55164196044599134</c:v>
                </c:pt>
                <c:pt idx="668">
                  <c:v>0.55217501123507051</c:v>
                </c:pt>
                <c:pt idx="669">
                  <c:v>0.55270806202414968</c:v>
                </c:pt>
                <c:pt idx="670">
                  <c:v>0.55324111281322885</c:v>
                </c:pt>
                <c:pt idx="671">
                  <c:v>0.55377416360230802</c:v>
                </c:pt>
                <c:pt idx="672">
                  <c:v>0.55430721439138719</c:v>
                </c:pt>
                <c:pt idx="673">
                  <c:v>0.55484026518046636</c:v>
                </c:pt>
                <c:pt idx="674">
                  <c:v>0.55537331596954553</c:v>
                </c:pt>
                <c:pt idx="675">
                  <c:v>0.55590636675862481</c:v>
                </c:pt>
                <c:pt idx="676">
                  <c:v>0.55643941754770399</c:v>
                </c:pt>
                <c:pt idx="677">
                  <c:v>0.55697246833678316</c:v>
                </c:pt>
                <c:pt idx="678">
                  <c:v>0.55750551912586233</c:v>
                </c:pt>
                <c:pt idx="679">
                  <c:v>0.5580385699149415</c:v>
                </c:pt>
                <c:pt idx="680">
                  <c:v>0.55857162070402067</c:v>
                </c:pt>
                <c:pt idx="681">
                  <c:v>0.55910467149309984</c:v>
                </c:pt>
                <c:pt idx="682">
                  <c:v>0.55963772228217901</c:v>
                </c:pt>
                <c:pt idx="683">
                  <c:v>0.56017077307125818</c:v>
                </c:pt>
                <c:pt idx="684">
                  <c:v>0.56070382386033746</c:v>
                </c:pt>
                <c:pt idx="685">
                  <c:v>0.56123687464941663</c:v>
                </c:pt>
                <c:pt idx="686">
                  <c:v>0.5617699254384958</c:v>
                </c:pt>
                <c:pt idx="687">
                  <c:v>0.56230297622757497</c:v>
                </c:pt>
                <c:pt idx="688">
                  <c:v>0.56283602701665414</c:v>
                </c:pt>
                <c:pt idx="689">
                  <c:v>0.56336907780573331</c:v>
                </c:pt>
                <c:pt idx="690">
                  <c:v>0.56390212859481248</c:v>
                </c:pt>
                <c:pt idx="691">
                  <c:v>0.5644187778211508</c:v>
                </c:pt>
                <c:pt idx="692">
                  <c:v>0.56493542704748911</c:v>
                </c:pt>
                <c:pt idx="693">
                  <c:v>0.56545207627382732</c:v>
                </c:pt>
                <c:pt idx="694">
                  <c:v>0.56596872550016564</c:v>
                </c:pt>
                <c:pt idx="695">
                  <c:v>0.56648537472650395</c:v>
                </c:pt>
                <c:pt idx="696">
                  <c:v>0.56697742160873088</c:v>
                </c:pt>
                <c:pt idx="697">
                  <c:v>0.56746946849095781</c:v>
                </c:pt>
                <c:pt idx="698">
                  <c:v>0.56796151537318473</c:v>
                </c:pt>
                <c:pt idx="699">
                  <c:v>0.56845356225541166</c:v>
                </c:pt>
                <c:pt idx="700">
                  <c:v>0.56894560913763859</c:v>
                </c:pt>
                <c:pt idx="701">
                  <c:v>0.56943765601986562</c:v>
                </c:pt>
                <c:pt idx="702">
                  <c:v>0.56992970290209255</c:v>
                </c:pt>
                <c:pt idx="703">
                  <c:v>0.57042174978431948</c:v>
                </c:pt>
                <c:pt idx="704">
                  <c:v>0.5709137966665464</c:v>
                </c:pt>
                <c:pt idx="705">
                  <c:v>0.57140584354877333</c:v>
                </c:pt>
                <c:pt idx="706">
                  <c:v>0.57189789043100026</c:v>
                </c:pt>
                <c:pt idx="707">
                  <c:v>0.57238993731322718</c:v>
                </c:pt>
                <c:pt idx="708">
                  <c:v>0.57288198419545411</c:v>
                </c:pt>
                <c:pt idx="709">
                  <c:v>0.57337403107768103</c:v>
                </c:pt>
                <c:pt idx="710">
                  <c:v>0.57386607795990807</c:v>
                </c:pt>
                <c:pt idx="711">
                  <c:v>0.574358124842135</c:v>
                </c:pt>
                <c:pt idx="712">
                  <c:v>0.57485017172436192</c:v>
                </c:pt>
                <c:pt idx="713">
                  <c:v>0.57534221860658885</c:v>
                </c:pt>
                <c:pt idx="714">
                  <c:v>0.57583426548881578</c:v>
                </c:pt>
                <c:pt idx="715">
                  <c:v>0.5763263123710427</c:v>
                </c:pt>
                <c:pt idx="716">
                  <c:v>0.57681835925326963</c:v>
                </c:pt>
                <c:pt idx="717">
                  <c:v>0.57731040613549656</c:v>
                </c:pt>
                <c:pt idx="718">
                  <c:v>0.57780245301772348</c:v>
                </c:pt>
                <c:pt idx="719">
                  <c:v>0.57829449989995052</c:v>
                </c:pt>
                <c:pt idx="720">
                  <c:v>0.57878654678217745</c:v>
                </c:pt>
                <c:pt idx="721">
                  <c:v>0.57927859366440437</c:v>
                </c:pt>
                <c:pt idx="722">
                  <c:v>0.5797706405466313</c:v>
                </c:pt>
                <c:pt idx="723">
                  <c:v>0.58026268742885823</c:v>
                </c:pt>
                <c:pt idx="724">
                  <c:v>0.58075473431108515</c:v>
                </c:pt>
                <c:pt idx="725">
                  <c:v>0.58124678119331208</c:v>
                </c:pt>
                <c:pt idx="726">
                  <c:v>0.58173882807553901</c:v>
                </c:pt>
                <c:pt idx="727">
                  <c:v>0.58223087495776593</c:v>
                </c:pt>
                <c:pt idx="728">
                  <c:v>0.58272292183999297</c:v>
                </c:pt>
                <c:pt idx="729">
                  <c:v>0.5832149687222199</c:v>
                </c:pt>
                <c:pt idx="730">
                  <c:v>0.58370701560444682</c:v>
                </c:pt>
                <c:pt idx="731">
                  <c:v>0.58419906248667375</c:v>
                </c:pt>
                <c:pt idx="732">
                  <c:v>0.58469110936890067</c:v>
                </c:pt>
                <c:pt idx="733">
                  <c:v>0.5851831562511276</c:v>
                </c:pt>
                <c:pt idx="734">
                  <c:v>0.58567520313335453</c:v>
                </c:pt>
                <c:pt idx="735">
                  <c:v>0.58616725001558145</c:v>
                </c:pt>
                <c:pt idx="736">
                  <c:v>0.58665929689780838</c:v>
                </c:pt>
                <c:pt idx="737">
                  <c:v>0.58715134378003531</c:v>
                </c:pt>
                <c:pt idx="738">
                  <c:v>0.58764339066226234</c:v>
                </c:pt>
                <c:pt idx="739">
                  <c:v>0.58813543754448927</c:v>
                </c:pt>
                <c:pt idx="740">
                  <c:v>0.5886274844267162</c:v>
                </c:pt>
                <c:pt idx="741">
                  <c:v>0.58911953130894312</c:v>
                </c:pt>
                <c:pt idx="742">
                  <c:v>0.58961157819117005</c:v>
                </c:pt>
                <c:pt idx="743">
                  <c:v>0.59010362507339698</c:v>
                </c:pt>
                <c:pt idx="744">
                  <c:v>0.59058337078356826</c:v>
                </c:pt>
                <c:pt idx="745">
                  <c:v>0.59106311649373955</c:v>
                </c:pt>
                <c:pt idx="746">
                  <c:v>0.59154286220391084</c:v>
                </c:pt>
                <c:pt idx="747">
                  <c:v>0.59202260791408201</c:v>
                </c:pt>
                <c:pt idx="748">
                  <c:v>0.5925023536242533</c:v>
                </c:pt>
                <c:pt idx="749">
                  <c:v>0.59296979816236894</c:v>
                </c:pt>
                <c:pt idx="750">
                  <c:v>0.59343724270048448</c:v>
                </c:pt>
                <c:pt idx="751">
                  <c:v>0.5938964864572297</c:v>
                </c:pt>
                <c:pt idx="752">
                  <c:v>0.59435573021397481</c:v>
                </c:pt>
                <c:pt idx="753">
                  <c:v>0.59481497397071992</c:v>
                </c:pt>
                <c:pt idx="754">
                  <c:v>0.59527421772746503</c:v>
                </c:pt>
                <c:pt idx="755">
                  <c:v>0.59573346148421025</c:v>
                </c:pt>
                <c:pt idx="756">
                  <c:v>0.59619270524095536</c:v>
                </c:pt>
                <c:pt idx="757">
                  <c:v>0.59665194899770047</c:v>
                </c:pt>
                <c:pt idx="758">
                  <c:v>0.59711119275444569</c:v>
                </c:pt>
                <c:pt idx="759">
                  <c:v>0.59757043651119079</c:v>
                </c:pt>
                <c:pt idx="760">
                  <c:v>0.5980296802679359</c:v>
                </c:pt>
                <c:pt idx="761">
                  <c:v>0.59848892402468112</c:v>
                </c:pt>
                <c:pt idx="762">
                  <c:v>0.59894816778142623</c:v>
                </c:pt>
                <c:pt idx="763">
                  <c:v>0.59940741153817134</c:v>
                </c:pt>
                <c:pt idx="764">
                  <c:v>0.59986665529491645</c:v>
                </c:pt>
                <c:pt idx="765">
                  <c:v>0.60032589905166167</c:v>
                </c:pt>
                <c:pt idx="766">
                  <c:v>0.60078514280840678</c:v>
                </c:pt>
                <c:pt idx="767">
                  <c:v>0.60124438656515189</c:v>
                </c:pt>
                <c:pt idx="768">
                  <c:v>0.60170363032189711</c:v>
                </c:pt>
                <c:pt idx="769">
                  <c:v>0.60216287407864222</c:v>
                </c:pt>
                <c:pt idx="770">
                  <c:v>0.60262211783538733</c:v>
                </c:pt>
                <c:pt idx="771">
                  <c:v>0.60308136159213255</c:v>
                </c:pt>
                <c:pt idx="772">
                  <c:v>0.60354060534887766</c:v>
                </c:pt>
                <c:pt idx="773">
                  <c:v>0.60399984910562277</c:v>
                </c:pt>
                <c:pt idx="774">
                  <c:v>0.60445909286236787</c:v>
                </c:pt>
                <c:pt idx="775">
                  <c:v>0.6049183366191131</c:v>
                </c:pt>
                <c:pt idx="776">
                  <c:v>0.6053775803758582</c:v>
                </c:pt>
                <c:pt idx="777">
                  <c:v>0.60583682413260331</c:v>
                </c:pt>
                <c:pt idx="778">
                  <c:v>0.60629606788934853</c:v>
                </c:pt>
                <c:pt idx="779">
                  <c:v>0.60675531164609364</c:v>
                </c:pt>
                <c:pt idx="780">
                  <c:v>0.60721455540283875</c:v>
                </c:pt>
                <c:pt idx="781">
                  <c:v>0.60767379915958397</c:v>
                </c:pt>
                <c:pt idx="782">
                  <c:v>0.60813304291632908</c:v>
                </c:pt>
                <c:pt idx="783">
                  <c:v>0.60859228667307419</c:v>
                </c:pt>
                <c:pt idx="784">
                  <c:v>0.6090515304298193</c:v>
                </c:pt>
                <c:pt idx="785">
                  <c:v>0.60951077418656452</c:v>
                </c:pt>
                <c:pt idx="786">
                  <c:v>0.60997001794330963</c:v>
                </c:pt>
                <c:pt idx="787">
                  <c:v>0.61042926170005474</c:v>
                </c:pt>
                <c:pt idx="788">
                  <c:v>0.61088850545679996</c:v>
                </c:pt>
                <c:pt idx="789">
                  <c:v>0.61134774921354507</c:v>
                </c:pt>
                <c:pt idx="790">
                  <c:v>0.61180699297029018</c:v>
                </c:pt>
                <c:pt idx="791">
                  <c:v>0.6122662367270354</c:v>
                </c:pt>
                <c:pt idx="792">
                  <c:v>0.6127254804837805</c:v>
                </c:pt>
                <c:pt idx="793">
                  <c:v>0.61318472424052561</c:v>
                </c:pt>
                <c:pt idx="794">
                  <c:v>0.61364396799727083</c:v>
                </c:pt>
                <c:pt idx="795">
                  <c:v>0.61410321175401594</c:v>
                </c:pt>
                <c:pt idx="796">
                  <c:v>0.61456245551076105</c:v>
                </c:pt>
                <c:pt idx="797">
                  <c:v>0.61502169926750616</c:v>
                </c:pt>
                <c:pt idx="798">
                  <c:v>0.61548094302425138</c:v>
                </c:pt>
                <c:pt idx="799">
                  <c:v>0.61594018678099649</c:v>
                </c:pt>
                <c:pt idx="800">
                  <c:v>0.6163994305377416</c:v>
                </c:pt>
                <c:pt idx="801">
                  <c:v>0.61685867429448682</c:v>
                </c:pt>
                <c:pt idx="802">
                  <c:v>0.61731791805123193</c:v>
                </c:pt>
                <c:pt idx="803">
                  <c:v>0.61777716180797704</c:v>
                </c:pt>
                <c:pt idx="804">
                  <c:v>0.61823640556472226</c:v>
                </c:pt>
                <c:pt idx="805">
                  <c:v>0.61869564932146737</c:v>
                </c:pt>
                <c:pt idx="806">
                  <c:v>0.61915489307821248</c:v>
                </c:pt>
                <c:pt idx="807">
                  <c:v>0.61961413683495759</c:v>
                </c:pt>
                <c:pt idx="808">
                  <c:v>0.62007338059170281</c:v>
                </c:pt>
                <c:pt idx="809">
                  <c:v>0.62053262434844791</c:v>
                </c:pt>
                <c:pt idx="810">
                  <c:v>0.62099186810519302</c:v>
                </c:pt>
                <c:pt idx="811">
                  <c:v>0.62145111186193824</c:v>
                </c:pt>
                <c:pt idx="812">
                  <c:v>0.62191035561868335</c:v>
                </c:pt>
                <c:pt idx="813">
                  <c:v>0.62236959937542846</c:v>
                </c:pt>
                <c:pt idx="814">
                  <c:v>0.62282884313217368</c:v>
                </c:pt>
                <c:pt idx="815">
                  <c:v>0.62328808688891879</c:v>
                </c:pt>
                <c:pt idx="816">
                  <c:v>0.6237473306456639</c:v>
                </c:pt>
                <c:pt idx="817">
                  <c:v>0.62420657440240901</c:v>
                </c:pt>
                <c:pt idx="818">
                  <c:v>0.62466581815915423</c:v>
                </c:pt>
                <c:pt idx="819">
                  <c:v>0.62512506191589934</c:v>
                </c:pt>
                <c:pt idx="820">
                  <c:v>0.62558430567264445</c:v>
                </c:pt>
                <c:pt idx="821">
                  <c:v>0.62604354942938967</c:v>
                </c:pt>
                <c:pt idx="822">
                  <c:v>0.62650279318613478</c:v>
                </c:pt>
                <c:pt idx="823">
                  <c:v>0.62696203694287989</c:v>
                </c:pt>
                <c:pt idx="824">
                  <c:v>0.62742128069962511</c:v>
                </c:pt>
                <c:pt idx="825">
                  <c:v>0.62788052445637021</c:v>
                </c:pt>
                <c:pt idx="826">
                  <c:v>0.62833976821311532</c:v>
                </c:pt>
                <c:pt idx="827">
                  <c:v>0.62879901196986043</c:v>
                </c:pt>
                <c:pt idx="828">
                  <c:v>0.62925825572660565</c:v>
                </c:pt>
                <c:pt idx="829">
                  <c:v>0.62971749948335076</c:v>
                </c:pt>
                <c:pt idx="830">
                  <c:v>0.63017674324009587</c:v>
                </c:pt>
                <c:pt idx="831">
                  <c:v>0.63063598699684109</c:v>
                </c:pt>
                <c:pt idx="832">
                  <c:v>0.6310952307535862</c:v>
                </c:pt>
                <c:pt idx="833">
                  <c:v>0.63153807294759046</c:v>
                </c:pt>
                <c:pt idx="834">
                  <c:v>0.63198091514159471</c:v>
                </c:pt>
                <c:pt idx="835">
                  <c:v>0.63242375733559897</c:v>
                </c:pt>
                <c:pt idx="836">
                  <c:v>0.63286659952960322</c:v>
                </c:pt>
                <c:pt idx="837">
                  <c:v>0.63330944172360748</c:v>
                </c:pt>
                <c:pt idx="838">
                  <c:v>0.63375228391761163</c:v>
                </c:pt>
                <c:pt idx="839">
                  <c:v>0.63419512611161588</c:v>
                </c:pt>
                <c:pt idx="840">
                  <c:v>0.63462156674287928</c:v>
                </c:pt>
                <c:pt idx="841">
                  <c:v>0.63504800737414258</c:v>
                </c:pt>
                <c:pt idx="842">
                  <c:v>0.63547444800540598</c:v>
                </c:pt>
                <c:pt idx="843">
                  <c:v>0.63590088863666927</c:v>
                </c:pt>
                <c:pt idx="844">
                  <c:v>0.63632732926793267</c:v>
                </c:pt>
                <c:pt idx="845">
                  <c:v>0.63675376989919596</c:v>
                </c:pt>
                <c:pt idx="846">
                  <c:v>0.63718021053045937</c:v>
                </c:pt>
                <c:pt idx="847">
                  <c:v>0.63760665116172266</c:v>
                </c:pt>
                <c:pt idx="848">
                  <c:v>0.63803309179298606</c:v>
                </c:pt>
                <c:pt idx="849">
                  <c:v>0.63845953242424935</c:v>
                </c:pt>
                <c:pt idx="850">
                  <c:v>0.63888597305551276</c:v>
                </c:pt>
                <c:pt idx="851">
                  <c:v>0.63931241368677605</c:v>
                </c:pt>
                <c:pt idx="852">
                  <c:v>0.63973885431803945</c:v>
                </c:pt>
                <c:pt idx="853">
                  <c:v>0.64016529494930274</c:v>
                </c:pt>
                <c:pt idx="854">
                  <c:v>0.64059173558056615</c:v>
                </c:pt>
                <c:pt idx="855">
                  <c:v>0.64101817621182944</c:v>
                </c:pt>
                <c:pt idx="856">
                  <c:v>0.64144461684309284</c:v>
                </c:pt>
                <c:pt idx="857">
                  <c:v>0.64187105747435613</c:v>
                </c:pt>
                <c:pt idx="858">
                  <c:v>0.64229749810561954</c:v>
                </c:pt>
                <c:pt idx="859">
                  <c:v>0.64272393873688283</c:v>
                </c:pt>
                <c:pt idx="860">
                  <c:v>0.64315037936814623</c:v>
                </c:pt>
                <c:pt idx="861">
                  <c:v>0.64357681999940952</c:v>
                </c:pt>
                <c:pt idx="862">
                  <c:v>0.64400326063067292</c:v>
                </c:pt>
                <c:pt idx="863">
                  <c:v>0.64442970126193622</c:v>
                </c:pt>
                <c:pt idx="864">
                  <c:v>0.64485614189319962</c:v>
                </c:pt>
                <c:pt idx="865">
                  <c:v>0.64528258252446291</c:v>
                </c:pt>
                <c:pt idx="866">
                  <c:v>0.64570902315572631</c:v>
                </c:pt>
                <c:pt idx="867">
                  <c:v>0.64613546378698961</c:v>
                </c:pt>
                <c:pt idx="868">
                  <c:v>0.64656190441825301</c:v>
                </c:pt>
                <c:pt idx="869">
                  <c:v>0.6469883450495163</c:v>
                </c:pt>
                <c:pt idx="870">
                  <c:v>0.6474147856807797</c:v>
                </c:pt>
                <c:pt idx="871">
                  <c:v>0.64784122631204299</c:v>
                </c:pt>
                <c:pt idx="872">
                  <c:v>0.6482676669433064</c:v>
                </c:pt>
                <c:pt idx="873">
                  <c:v>0.64869410757456969</c:v>
                </c:pt>
                <c:pt idx="874">
                  <c:v>0.64912054820583309</c:v>
                </c:pt>
                <c:pt idx="875">
                  <c:v>0.64954698883709638</c:v>
                </c:pt>
                <c:pt idx="876">
                  <c:v>0.64997342946835979</c:v>
                </c:pt>
                <c:pt idx="877">
                  <c:v>0.65039987009962308</c:v>
                </c:pt>
                <c:pt idx="878">
                  <c:v>0.65082631073088648</c:v>
                </c:pt>
                <c:pt idx="879">
                  <c:v>0.65125275136214977</c:v>
                </c:pt>
                <c:pt idx="880">
                  <c:v>0.65167919199341318</c:v>
                </c:pt>
                <c:pt idx="881">
                  <c:v>0.65210563262467647</c:v>
                </c:pt>
                <c:pt idx="882">
                  <c:v>0.65253207325593987</c:v>
                </c:pt>
                <c:pt idx="883">
                  <c:v>0.65295851388720316</c:v>
                </c:pt>
                <c:pt idx="884">
                  <c:v>0.65338495451846657</c:v>
                </c:pt>
                <c:pt idx="885">
                  <c:v>0.65381139514972986</c:v>
                </c:pt>
                <c:pt idx="886">
                  <c:v>0.65423783578099326</c:v>
                </c:pt>
                <c:pt idx="887">
                  <c:v>0.65466427641225655</c:v>
                </c:pt>
                <c:pt idx="888">
                  <c:v>0.65509071704351995</c:v>
                </c:pt>
                <c:pt idx="889">
                  <c:v>0.65551715767478325</c:v>
                </c:pt>
                <c:pt idx="890">
                  <c:v>0.65594359830604665</c:v>
                </c:pt>
                <c:pt idx="891">
                  <c:v>0.65637003893730994</c:v>
                </c:pt>
                <c:pt idx="892">
                  <c:v>0.65679647956857334</c:v>
                </c:pt>
                <c:pt idx="893">
                  <c:v>0.65722292019983664</c:v>
                </c:pt>
                <c:pt idx="894">
                  <c:v>0.65764936083110004</c:v>
                </c:pt>
                <c:pt idx="895">
                  <c:v>0.65807580146236333</c:v>
                </c:pt>
                <c:pt idx="896">
                  <c:v>0.65850224209362673</c:v>
                </c:pt>
                <c:pt idx="897">
                  <c:v>0.65892868272489002</c:v>
                </c:pt>
                <c:pt idx="898">
                  <c:v>0.65935512335615343</c:v>
                </c:pt>
                <c:pt idx="899">
                  <c:v>0.65978156398741672</c:v>
                </c:pt>
                <c:pt idx="900">
                  <c:v>0.66020800461868012</c:v>
                </c:pt>
                <c:pt idx="901">
                  <c:v>0.66063444524994341</c:v>
                </c:pt>
                <c:pt idx="902">
                  <c:v>0.66106088588120682</c:v>
                </c:pt>
                <c:pt idx="903">
                  <c:v>0.66148732651247011</c:v>
                </c:pt>
                <c:pt idx="904">
                  <c:v>0.6619137671437334</c:v>
                </c:pt>
                <c:pt idx="905">
                  <c:v>0.6623402077749968</c:v>
                </c:pt>
                <c:pt idx="906">
                  <c:v>0.66276664840626009</c:v>
                </c:pt>
                <c:pt idx="907">
                  <c:v>0.6631930890375235</c:v>
                </c:pt>
                <c:pt idx="908">
                  <c:v>0.66361952966878679</c:v>
                </c:pt>
                <c:pt idx="909">
                  <c:v>0.66404597030005019</c:v>
                </c:pt>
                <c:pt idx="910">
                  <c:v>0.66447241093131348</c:v>
                </c:pt>
                <c:pt idx="911">
                  <c:v>0.66489885156257689</c:v>
                </c:pt>
                <c:pt idx="912">
                  <c:v>0.66532529219384018</c:v>
                </c:pt>
                <c:pt idx="913">
                  <c:v>0.66575173282510358</c:v>
                </c:pt>
                <c:pt idx="914">
                  <c:v>0.66617817345636687</c:v>
                </c:pt>
                <c:pt idx="915">
                  <c:v>0.66660461408763028</c:v>
                </c:pt>
                <c:pt idx="916">
                  <c:v>0.66703105471889357</c:v>
                </c:pt>
                <c:pt idx="917">
                  <c:v>0.66745749535015697</c:v>
                </c:pt>
                <c:pt idx="918">
                  <c:v>0.66788393598142026</c:v>
                </c:pt>
                <c:pt idx="919">
                  <c:v>0.66831037661268367</c:v>
                </c:pt>
                <c:pt idx="920">
                  <c:v>0.66873681724394696</c:v>
                </c:pt>
                <c:pt idx="921">
                  <c:v>0.66916325787521036</c:v>
                </c:pt>
                <c:pt idx="922">
                  <c:v>0.66958969850647365</c:v>
                </c:pt>
                <c:pt idx="923">
                  <c:v>0.67001613913773705</c:v>
                </c:pt>
                <c:pt idx="924">
                  <c:v>0.67044257976900035</c:v>
                </c:pt>
                <c:pt idx="925">
                  <c:v>0.67086902040026375</c:v>
                </c:pt>
                <c:pt idx="926">
                  <c:v>0.67129546103152704</c:v>
                </c:pt>
                <c:pt idx="927">
                  <c:v>0.67172190166279044</c:v>
                </c:pt>
                <c:pt idx="928">
                  <c:v>0.67214834229405374</c:v>
                </c:pt>
                <c:pt idx="929">
                  <c:v>0.67257478292531714</c:v>
                </c:pt>
                <c:pt idx="930">
                  <c:v>0.67300122355658043</c:v>
                </c:pt>
                <c:pt idx="931">
                  <c:v>0.67342766418784383</c:v>
                </c:pt>
                <c:pt idx="932">
                  <c:v>0.67385410481910712</c:v>
                </c:pt>
                <c:pt idx="933">
                  <c:v>0.67428054545037053</c:v>
                </c:pt>
                <c:pt idx="934">
                  <c:v>0.67470698608163382</c:v>
                </c:pt>
                <c:pt idx="935">
                  <c:v>0.67513342671289722</c:v>
                </c:pt>
                <c:pt idx="936">
                  <c:v>0.67555986734416051</c:v>
                </c:pt>
                <c:pt idx="937">
                  <c:v>0.67598630797542392</c:v>
                </c:pt>
                <c:pt idx="938">
                  <c:v>0.67641274860668721</c:v>
                </c:pt>
                <c:pt idx="939">
                  <c:v>0.67683918923795061</c:v>
                </c:pt>
                <c:pt idx="940">
                  <c:v>0.6772656298692139</c:v>
                </c:pt>
                <c:pt idx="941">
                  <c:v>0.67769207050047731</c:v>
                </c:pt>
                <c:pt idx="942">
                  <c:v>0.6781185111317406</c:v>
                </c:pt>
                <c:pt idx="943">
                  <c:v>0.678544951763004</c:v>
                </c:pt>
                <c:pt idx="944">
                  <c:v>0.67897139239426729</c:v>
                </c:pt>
                <c:pt idx="945">
                  <c:v>0.6793978330255307</c:v>
                </c:pt>
                <c:pt idx="946">
                  <c:v>0.67982427365679399</c:v>
                </c:pt>
                <c:pt idx="947">
                  <c:v>0.68025071428805739</c:v>
                </c:pt>
                <c:pt idx="948">
                  <c:v>0.68067715491932068</c:v>
                </c:pt>
                <c:pt idx="949">
                  <c:v>0.68110359555058408</c:v>
                </c:pt>
                <c:pt idx="950">
                  <c:v>0.68153003618184738</c:v>
                </c:pt>
                <c:pt idx="951">
                  <c:v>0.68195647681311078</c:v>
                </c:pt>
                <c:pt idx="952">
                  <c:v>0.68238291744437407</c:v>
                </c:pt>
                <c:pt idx="953">
                  <c:v>0.68280935807563747</c:v>
                </c:pt>
                <c:pt idx="954">
                  <c:v>0.68323579870690077</c:v>
                </c:pt>
                <c:pt idx="955">
                  <c:v>0.68366223933816417</c:v>
                </c:pt>
                <c:pt idx="956">
                  <c:v>0.68408867996942746</c:v>
                </c:pt>
                <c:pt idx="957">
                  <c:v>0.68451512060069086</c:v>
                </c:pt>
                <c:pt idx="958">
                  <c:v>0.68494156123195415</c:v>
                </c:pt>
                <c:pt idx="959">
                  <c:v>0.68536800186321756</c:v>
                </c:pt>
                <c:pt idx="960">
                  <c:v>0.68579444249448085</c:v>
                </c:pt>
                <c:pt idx="961">
                  <c:v>0.68622088312574425</c:v>
                </c:pt>
                <c:pt idx="962">
                  <c:v>0.68664732375700754</c:v>
                </c:pt>
                <c:pt idx="963">
                  <c:v>0.68707376438827095</c:v>
                </c:pt>
                <c:pt idx="964">
                  <c:v>0.68750020501953424</c:v>
                </c:pt>
                <c:pt idx="965">
                  <c:v>0.68792664565079764</c:v>
                </c:pt>
                <c:pt idx="966">
                  <c:v>0.68835308628206093</c:v>
                </c:pt>
                <c:pt idx="967">
                  <c:v>0.68877952691332434</c:v>
                </c:pt>
                <c:pt idx="968">
                  <c:v>0.68920596754458763</c:v>
                </c:pt>
                <c:pt idx="969">
                  <c:v>0.68963240817585103</c:v>
                </c:pt>
                <c:pt idx="970">
                  <c:v>0.69005884880711432</c:v>
                </c:pt>
                <c:pt idx="971">
                  <c:v>0.69048528943837773</c:v>
                </c:pt>
                <c:pt idx="972">
                  <c:v>0.69091173006964102</c:v>
                </c:pt>
                <c:pt idx="973">
                  <c:v>0.69133817070090442</c:v>
                </c:pt>
                <c:pt idx="974">
                  <c:v>0.69176461133216771</c:v>
                </c:pt>
                <c:pt idx="975">
                  <c:v>0.69219105196343111</c:v>
                </c:pt>
                <c:pt idx="976">
                  <c:v>0.69261749259469441</c:v>
                </c:pt>
                <c:pt idx="977">
                  <c:v>0.69304393322595781</c:v>
                </c:pt>
                <c:pt idx="978">
                  <c:v>0.6934703738572211</c:v>
                </c:pt>
                <c:pt idx="979">
                  <c:v>0.6938968144884845</c:v>
                </c:pt>
                <c:pt idx="980">
                  <c:v>0.6943232551197478</c:v>
                </c:pt>
                <c:pt idx="981">
                  <c:v>0.69473329418827023</c:v>
                </c:pt>
                <c:pt idx="982">
                  <c:v>0.69514333325679267</c:v>
                </c:pt>
                <c:pt idx="983">
                  <c:v>0.69555337232531511</c:v>
                </c:pt>
                <c:pt idx="984">
                  <c:v>0.69596341139383755</c:v>
                </c:pt>
                <c:pt idx="985">
                  <c:v>0.6963734504623601</c:v>
                </c:pt>
                <c:pt idx="986">
                  <c:v>0.69678348953088254</c:v>
                </c:pt>
                <c:pt idx="987">
                  <c:v>0.69719352859940498</c:v>
                </c:pt>
                <c:pt idx="988">
                  <c:v>0.69760356766792742</c:v>
                </c:pt>
                <c:pt idx="989">
                  <c:v>0.69801360673644985</c:v>
                </c:pt>
                <c:pt idx="990">
                  <c:v>0.69842364580497229</c:v>
                </c:pt>
                <c:pt idx="991">
                  <c:v>0.69883368487349473</c:v>
                </c:pt>
                <c:pt idx="992">
                  <c:v>0.69924372394201717</c:v>
                </c:pt>
                <c:pt idx="993">
                  <c:v>0.69965376301053961</c:v>
                </c:pt>
                <c:pt idx="994">
                  <c:v>0.70006380207906205</c:v>
                </c:pt>
                <c:pt idx="995">
                  <c:v>0.7004738411475846</c:v>
                </c:pt>
                <c:pt idx="996">
                  <c:v>0.70088388021610704</c:v>
                </c:pt>
                <c:pt idx="997">
                  <c:v>0.70129391928462947</c:v>
                </c:pt>
                <c:pt idx="998">
                  <c:v>0.70170395835315191</c:v>
                </c:pt>
                <c:pt idx="999">
                  <c:v>0.70211399742167435</c:v>
                </c:pt>
                <c:pt idx="1000">
                  <c:v>0.70252403649019679</c:v>
                </c:pt>
                <c:pt idx="1001">
                  <c:v>0.70293407555871923</c:v>
                </c:pt>
                <c:pt idx="1002">
                  <c:v>0.70334411462724167</c:v>
                </c:pt>
                <c:pt idx="1003">
                  <c:v>0.70375415369576411</c:v>
                </c:pt>
                <c:pt idx="1004">
                  <c:v>0.70416419276428655</c:v>
                </c:pt>
                <c:pt idx="1005">
                  <c:v>0.70457423183280898</c:v>
                </c:pt>
                <c:pt idx="1006">
                  <c:v>0.70498427090133153</c:v>
                </c:pt>
                <c:pt idx="1007">
                  <c:v>0.70539430996985397</c:v>
                </c:pt>
                <c:pt idx="1008">
                  <c:v>0.70580434903837641</c:v>
                </c:pt>
                <c:pt idx="1009">
                  <c:v>0.70621438810689885</c:v>
                </c:pt>
                <c:pt idx="1010">
                  <c:v>0.70662442717542129</c:v>
                </c:pt>
                <c:pt idx="1011">
                  <c:v>0.70703446624394373</c:v>
                </c:pt>
                <c:pt idx="1012">
                  <c:v>0.70744450531246617</c:v>
                </c:pt>
                <c:pt idx="1013">
                  <c:v>0.7078545443809886</c:v>
                </c:pt>
                <c:pt idx="1014">
                  <c:v>0.70826458344951104</c:v>
                </c:pt>
                <c:pt idx="1015">
                  <c:v>0.70867462251803348</c:v>
                </c:pt>
                <c:pt idx="1016">
                  <c:v>0.70908466158655592</c:v>
                </c:pt>
                <c:pt idx="1017">
                  <c:v>0.70949470065507847</c:v>
                </c:pt>
                <c:pt idx="1018">
                  <c:v>0.70990473972360091</c:v>
                </c:pt>
                <c:pt idx="1019">
                  <c:v>0.71031477879212335</c:v>
                </c:pt>
                <c:pt idx="1020">
                  <c:v>0.71072481786064579</c:v>
                </c:pt>
                <c:pt idx="1021">
                  <c:v>0.71113485692916822</c:v>
                </c:pt>
                <c:pt idx="1022">
                  <c:v>0.71154489599769066</c:v>
                </c:pt>
                <c:pt idx="1023">
                  <c:v>0.7119549350662131</c:v>
                </c:pt>
                <c:pt idx="1024">
                  <c:v>0.71236497413473554</c:v>
                </c:pt>
                <c:pt idx="1025">
                  <c:v>0.71277501320325798</c:v>
                </c:pt>
                <c:pt idx="1026">
                  <c:v>0.71318505227178042</c:v>
                </c:pt>
                <c:pt idx="1027">
                  <c:v>0.71359509134030286</c:v>
                </c:pt>
                <c:pt idx="1028">
                  <c:v>0.71400513040882541</c:v>
                </c:pt>
                <c:pt idx="1029">
                  <c:v>0.71441516947734784</c:v>
                </c:pt>
                <c:pt idx="1030">
                  <c:v>0.71482520854587028</c:v>
                </c:pt>
                <c:pt idx="1031">
                  <c:v>0.71523524761439272</c:v>
                </c:pt>
                <c:pt idx="1032">
                  <c:v>0.71564528668291516</c:v>
                </c:pt>
                <c:pt idx="1033">
                  <c:v>0.7160553257514376</c:v>
                </c:pt>
                <c:pt idx="1034">
                  <c:v>0.71646536481996004</c:v>
                </c:pt>
                <c:pt idx="1035">
                  <c:v>0.71687540388848248</c:v>
                </c:pt>
                <c:pt idx="1036">
                  <c:v>0.71728544295700492</c:v>
                </c:pt>
                <c:pt idx="1037">
                  <c:v>0.71769548202552735</c:v>
                </c:pt>
                <c:pt idx="1038">
                  <c:v>0.71810552109404979</c:v>
                </c:pt>
                <c:pt idx="1039">
                  <c:v>0.71851556016257234</c:v>
                </c:pt>
                <c:pt idx="1040">
                  <c:v>0.71892559923109478</c:v>
                </c:pt>
                <c:pt idx="1041">
                  <c:v>0.71933563829961722</c:v>
                </c:pt>
                <c:pt idx="1042">
                  <c:v>0.71974567736813966</c:v>
                </c:pt>
                <c:pt idx="1043">
                  <c:v>0.7201557164366621</c:v>
                </c:pt>
                <c:pt idx="1044">
                  <c:v>0.72056575550518454</c:v>
                </c:pt>
                <c:pt idx="1045">
                  <c:v>0.72097579457370697</c:v>
                </c:pt>
                <c:pt idx="1046">
                  <c:v>0.72138583364222941</c:v>
                </c:pt>
                <c:pt idx="1047">
                  <c:v>0.72179587271075185</c:v>
                </c:pt>
                <c:pt idx="1048">
                  <c:v>0.72220591177927429</c:v>
                </c:pt>
                <c:pt idx="1049">
                  <c:v>0.72261595084779673</c:v>
                </c:pt>
                <c:pt idx="1050">
                  <c:v>0.72302598991631928</c:v>
                </c:pt>
                <c:pt idx="1051">
                  <c:v>0.72343602898484172</c:v>
                </c:pt>
                <c:pt idx="1052">
                  <c:v>0.72384606805336416</c:v>
                </c:pt>
                <c:pt idx="1053">
                  <c:v>0.72423970555914563</c:v>
                </c:pt>
                <c:pt idx="1054">
                  <c:v>0.72463334306492722</c:v>
                </c:pt>
                <c:pt idx="1055">
                  <c:v>0.7250269805707088</c:v>
                </c:pt>
                <c:pt idx="1056">
                  <c:v>0.72542061807649028</c:v>
                </c:pt>
                <c:pt idx="1057">
                  <c:v>0.72581425558227186</c:v>
                </c:pt>
                <c:pt idx="1058">
                  <c:v>0.72620789308805345</c:v>
                </c:pt>
                <c:pt idx="1059">
                  <c:v>0.72660153059383503</c:v>
                </c:pt>
                <c:pt idx="1060">
                  <c:v>0.72699516809961651</c:v>
                </c:pt>
                <c:pt idx="1061">
                  <c:v>0.72738880560539809</c:v>
                </c:pt>
                <c:pt idx="1062">
                  <c:v>0.72778244311117968</c:v>
                </c:pt>
                <c:pt idx="1063">
                  <c:v>0.72817608061696115</c:v>
                </c:pt>
                <c:pt idx="1064">
                  <c:v>0.72856971812274274</c:v>
                </c:pt>
                <c:pt idx="1065">
                  <c:v>0.72896335562852432</c:v>
                </c:pt>
                <c:pt idx="1066">
                  <c:v>0.7293569931343058</c:v>
                </c:pt>
                <c:pt idx="1067">
                  <c:v>0.72975063064008738</c:v>
                </c:pt>
                <c:pt idx="1068">
                  <c:v>0.73014426814586897</c:v>
                </c:pt>
                <c:pt idx="1069">
                  <c:v>0.73053790565165044</c:v>
                </c:pt>
                <c:pt idx="1070">
                  <c:v>0.73092744276674682</c:v>
                </c:pt>
                <c:pt idx="1071">
                  <c:v>0.73131697988184319</c:v>
                </c:pt>
                <c:pt idx="1072">
                  <c:v>0.73170651699693945</c:v>
                </c:pt>
                <c:pt idx="1073">
                  <c:v>0.73209605411203582</c:v>
                </c:pt>
                <c:pt idx="1074">
                  <c:v>0.73248559122713208</c:v>
                </c:pt>
                <c:pt idx="1075">
                  <c:v>0.73287512834222845</c:v>
                </c:pt>
                <c:pt idx="1076">
                  <c:v>0.73326466545732483</c:v>
                </c:pt>
                <c:pt idx="1077">
                  <c:v>0.73365420257242109</c:v>
                </c:pt>
                <c:pt idx="1078">
                  <c:v>0.73404373968751746</c:v>
                </c:pt>
                <c:pt idx="1079">
                  <c:v>0.73441277484918766</c:v>
                </c:pt>
                <c:pt idx="1080">
                  <c:v>0.73478181001085785</c:v>
                </c:pt>
                <c:pt idx="1081">
                  <c:v>0.73515084517252804</c:v>
                </c:pt>
                <c:pt idx="1082">
                  <c:v>0.73551988033419824</c:v>
                </c:pt>
                <c:pt idx="1083">
                  <c:v>0.73588891549586843</c:v>
                </c:pt>
                <c:pt idx="1084">
                  <c:v>0.73625795065753863</c:v>
                </c:pt>
                <c:pt idx="1085">
                  <c:v>0.73662698581920882</c:v>
                </c:pt>
                <c:pt idx="1086">
                  <c:v>0.73699602098087902</c:v>
                </c:pt>
                <c:pt idx="1087">
                  <c:v>0.73736505614254921</c:v>
                </c:pt>
                <c:pt idx="1088">
                  <c:v>0.73773409130421952</c:v>
                </c:pt>
                <c:pt idx="1089">
                  <c:v>0.73810312646588971</c:v>
                </c:pt>
                <c:pt idx="1090">
                  <c:v>0.73847216162755991</c:v>
                </c:pt>
                <c:pt idx="1091">
                  <c:v>0.7388411967892301</c:v>
                </c:pt>
                <c:pt idx="1092">
                  <c:v>0.7392102319509003</c:v>
                </c:pt>
                <c:pt idx="1093">
                  <c:v>0.73957926711257049</c:v>
                </c:pt>
                <c:pt idx="1094">
                  <c:v>0.73994830227424069</c:v>
                </c:pt>
                <c:pt idx="1095">
                  <c:v>0.74031733743591088</c:v>
                </c:pt>
                <c:pt idx="1096">
                  <c:v>0.74068637259758108</c:v>
                </c:pt>
                <c:pt idx="1097">
                  <c:v>0.74105540775925127</c:v>
                </c:pt>
                <c:pt idx="1098">
                  <c:v>0.74142444292092147</c:v>
                </c:pt>
                <c:pt idx="1099">
                  <c:v>0.74179347808259166</c:v>
                </c:pt>
                <c:pt idx="1100">
                  <c:v>0.74216251324426197</c:v>
                </c:pt>
                <c:pt idx="1101">
                  <c:v>0.74253154840593216</c:v>
                </c:pt>
                <c:pt idx="1102">
                  <c:v>0.74290058356760236</c:v>
                </c:pt>
                <c:pt idx="1103">
                  <c:v>0.74326961872927255</c:v>
                </c:pt>
                <c:pt idx="1104">
                  <c:v>0.74363865389094275</c:v>
                </c:pt>
                <c:pt idx="1105">
                  <c:v>0.74400768905261294</c:v>
                </c:pt>
                <c:pt idx="1106">
                  <c:v>0.74437672421428314</c:v>
                </c:pt>
                <c:pt idx="1107">
                  <c:v>0.74474575937595333</c:v>
                </c:pt>
                <c:pt idx="1108">
                  <c:v>0.74511479453762353</c:v>
                </c:pt>
                <c:pt idx="1109">
                  <c:v>0.74548382969929372</c:v>
                </c:pt>
                <c:pt idx="1110">
                  <c:v>0.74585286486096392</c:v>
                </c:pt>
                <c:pt idx="1111">
                  <c:v>0.74622190002263411</c:v>
                </c:pt>
                <c:pt idx="1112">
                  <c:v>0.74659093518430431</c:v>
                </c:pt>
                <c:pt idx="1113">
                  <c:v>0.74695997034597461</c:v>
                </c:pt>
                <c:pt idx="1114">
                  <c:v>0.74732900550764481</c:v>
                </c:pt>
                <c:pt idx="1115">
                  <c:v>0.747698040669315</c:v>
                </c:pt>
                <c:pt idx="1116">
                  <c:v>0.7480670758309852</c:v>
                </c:pt>
                <c:pt idx="1117">
                  <c:v>0.74843611099265539</c:v>
                </c:pt>
                <c:pt idx="1118">
                  <c:v>0.74880514615432558</c:v>
                </c:pt>
                <c:pt idx="1119">
                  <c:v>0.74917418131599578</c:v>
                </c:pt>
                <c:pt idx="1120">
                  <c:v>0.74954321647766597</c:v>
                </c:pt>
                <c:pt idx="1121">
                  <c:v>0.74991225163933617</c:v>
                </c:pt>
                <c:pt idx="1122">
                  <c:v>0.75028128680100636</c:v>
                </c:pt>
                <c:pt idx="1123">
                  <c:v>0.75065032196267656</c:v>
                </c:pt>
                <c:pt idx="1124">
                  <c:v>0.75101935712434675</c:v>
                </c:pt>
                <c:pt idx="1125">
                  <c:v>0.75138839228601706</c:v>
                </c:pt>
                <c:pt idx="1126">
                  <c:v>0.75175742744768725</c:v>
                </c:pt>
                <c:pt idx="1127">
                  <c:v>0.75212646260935745</c:v>
                </c:pt>
                <c:pt idx="1128">
                  <c:v>0.75249549777102764</c:v>
                </c:pt>
                <c:pt idx="1129">
                  <c:v>0.75286453293269784</c:v>
                </c:pt>
                <c:pt idx="1130">
                  <c:v>0.75320896575025664</c:v>
                </c:pt>
                <c:pt idx="1131">
                  <c:v>0.75355339856781556</c:v>
                </c:pt>
                <c:pt idx="1132">
                  <c:v>0.75389783138537436</c:v>
                </c:pt>
                <c:pt idx="1133">
                  <c:v>0.75424226420293328</c:v>
                </c:pt>
                <c:pt idx="1134">
                  <c:v>0.75458669702049208</c:v>
                </c:pt>
                <c:pt idx="1135">
                  <c:v>0.754931129838051</c:v>
                </c:pt>
                <c:pt idx="1136">
                  <c:v>0.7552755626556098</c:v>
                </c:pt>
                <c:pt idx="1137">
                  <c:v>0.75561999547316872</c:v>
                </c:pt>
                <c:pt idx="1138">
                  <c:v>0.75596442829072752</c:v>
                </c:pt>
                <c:pt idx="1139">
                  <c:v>0.75630886110828643</c:v>
                </c:pt>
                <c:pt idx="1140">
                  <c:v>0.75665329392584524</c:v>
                </c:pt>
                <c:pt idx="1141">
                  <c:v>0.75699772674340415</c:v>
                </c:pt>
                <c:pt idx="1142">
                  <c:v>0.75734215956096296</c:v>
                </c:pt>
                <c:pt idx="1143">
                  <c:v>0.75768659237852187</c:v>
                </c:pt>
                <c:pt idx="1144">
                  <c:v>0.75803102519608068</c:v>
                </c:pt>
                <c:pt idx="1145">
                  <c:v>0.75837545801363959</c:v>
                </c:pt>
                <c:pt idx="1146">
                  <c:v>0.7587198908311984</c:v>
                </c:pt>
                <c:pt idx="1147">
                  <c:v>0.7590643236487572</c:v>
                </c:pt>
                <c:pt idx="1148">
                  <c:v>0.75940875646631611</c:v>
                </c:pt>
                <c:pt idx="1149">
                  <c:v>0.75975318928387492</c:v>
                </c:pt>
                <c:pt idx="1150">
                  <c:v>0.76009762210143383</c:v>
                </c:pt>
                <c:pt idx="1151">
                  <c:v>0.76044205491899264</c:v>
                </c:pt>
                <c:pt idx="1152">
                  <c:v>0.76078648773655155</c:v>
                </c:pt>
                <c:pt idx="1153">
                  <c:v>0.76113092055411036</c:v>
                </c:pt>
                <c:pt idx="1154">
                  <c:v>0.76147535337166927</c:v>
                </c:pt>
                <c:pt idx="1155">
                  <c:v>0.76181978618922808</c:v>
                </c:pt>
                <c:pt idx="1156">
                  <c:v>0.76216421900678699</c:v>
                </c:pt>
                <c:pt idx="1157">
                  <c:v>0.7625086518243458</c:v>
                </c:pt>
                <c:pt idx="1158">
                  <c:v>0.76285308464190471</c:v>
                </c:pt>
                <c:pt idx="1159">
                  <c:v>0.76319751745946351</c:v>
                </c:pt>
                <c:pt idx="1160">
                  <c:v>0.76354195027702243</c:v>
                </c:pt>
                <c:pt idx="1161">
                  <c:v>0.76388638309458123</c:v>
                </c:pt>
                <c:pt idx="1162">
                  <c:v>0.76423081591214015</c:v>
                </c:pt>
                <c:pt idx="1163">
                  <c:v>0.76457524872969895</c:v>
                </c:pt>
                <c:pt idx="1164">
                  <c:v>0.76491968154725787</c:v>
                </c:pt>
                <c:pt idx="1165">
                  <c:v>0.76526411436481667</c:v>
                </c:pt>
                <c:pt idx="1166">
                  <c:v>0.76560854718237559</c:v>
                </c:pt>
                <c:pt idx="1167">
                  <c:v>0.76595297999993439</c:v>
                </c:pt>
                <c:pt idx="1168">
                  <c:v>0.7662974128174932</c:v>
                </c:pt>
                <c:pt idx="1169">
                  <c:v>0.76664184563505211</c:v>
                </c:pt>
                <c:pt idx="1170">
                  <c:v>0.76698627845261091</c:v>
                </c:pt>
                <c:pt idx="1171">
                  <c:v>0.76733071127016983</c:v>
                </c:pt>
                <c:pt idx="1172">
                  <c:v>0.76767514408772863</c:v>
                </c:pt>
                <c:pt idx="1173">
                  <c:v>0.76801957690528755</c:v>
                </c:pt>
                <c:pt idx="1174">
                  <c:v>0.7683476081601055</c:v>
                </c:pt>
                <c:pt idx="1175">
                  <c:v>0.76867563941492345</c:v>
                </c:pt>
                <c:pt idx="1176">
                  <c:v>0.7690036706697414</c:v>
                </c:pt>
                <c:pt idx="1177">
                  <c:v>0.76933170192455935</c:v>
                </c:pt>
                <c:pt idx="1178">
                  <c:v>0.7696597331793773</c:v>
                </c:pt>
                <c:pt idx="1179">
                  <c:v>0.76998776443419525</c:v>
                </c:pt>
                <c:pt idx="1180">
                  <c:v>0.77031579568901321</c:v>
                </c:pt>
                <c:pt idx="1181">
                  <c:v>0.77064382694383116</c:v>
                </c:pt>
                <c:pt idx="1182">
                  <c:v>0.77097185819864922</c:v>
                </c:pt>
                <c:pt idx="1183">
                  <c:v>0.77129988945346717</c:v>
                </c:pt>
                <c:pt idx="1184">
                  <c:v>0.77162792070828512</c:v>
                </c:pt>
                <c:pt idx="1185">
                  <c:v>0.77195595196310307</c:v>
                </c:pt>
                <c:pt idx="1186">
                  <c:v>0.77228398321792102</c:v>
                </c:pt>
                <c:pt idx="1187">
                  <c:v>0.77261201447273897</c:v>
                </c:pt>
                <c:pt idx="1188">
                  <c:v>0.77294004572755692</c:v>
                </c:pt>
                <c:pt idx="1189">
                  <c:v>0.77326807698237487</c:v>
                </c:pt>
                <c:pt idx="1190">
                  <c:v>0.77359610823719283</c:v>
                </c:pt>
                <c:pt idx="1191">
                  <c:v>0.77392413949201078</c:v>
                </c:pt>
                <c:pt idx="1192">
                  <c:v>0.77425217074682873</c:v>
                </c:pt>
                <c:pt idx="1193">
                  <c:v>0.77458020200164668</c:v>
                </c:pt>
                <c:pt idx="1194">
                  <c:v>0.77490823325646463</c:v>
                </c:pt>
                <c:pt idx="1195">
                  <c:v>0.77523626451128258</c:v>
                </c:pt>
                <c:pt idx="1196">
                  <c:v>0.77556429576610064</c:v>
                </c:pt>
                <c:pt idx="1197">
                  <c:v>0.77588412623954806</c:v>
                </c:pt>
                <c:pt idx="1198">
                  <c:v>0.77620395671299558</c:v>
                </c:pt>
                <c:pt idx="1199">
                  <c:v>0.7765237871864431</c:v>
                </c:pt>
                <c:pt idx="1200">
                  <c:v>0.77684361765989063</c:v>
                </c:pt>
                <c:pt idx="1201">
                  <c:v>0.77716344813333815</c:v>
                </c:pt>
                <c:pt idx="1202">
                  <c:v>0.77748327860678568</c:v>
                </c:pt>
                <c:pt idx="1203">
                  <c:v>0.7778031090802332</c:v>
                </c:pt>
                <c:pt idx="1204">
                  <c:v>0.77812293955368073</c:v>
                </c:pt>
                <c:pt idx="1205">
                  <c:v>0.77844277002712814</c:v>
                </c:pt>
                <c:pt idx="1206">
                  <c:v>0.77876260050057566</c:v>
                </c:pt>
                <c:pt idx="1207">
                  <c:v>0.77908243097402319</c:v>
                </c:pt>
                <c:pt idx="1208">
                  <c:v>0.77940226144747071</c:v>
                </c:pt>
                <c:pt idx="1209">
                  <c:v>0.77972209192091824</c:v>
                </c:pt>
                <c:pt idx="1210">
                  <c:v>0.78004192239436576</c:v>
                </c:pt>
                <c:pt idx="1211">
                  <c:v>0.78036175286781329</c:v>
                </c:pt>
                <c:pt idx="1212">
                  <c:v>0.78068158334126081</c:v>
                </c:pt>
                <c:pt idx="1213">
                  <c:v>0.78100141381470822</c:v>
                </c:pt>
                <c:pt idx="1214">
                  <c:v>0.78132124428815575</c:v>
                </c:pt>
                <c:pt idx="1215">
                  <c:v>0.78164107476160327</c:v>
                </c:pt>
                <c:pt idx="1216">
                  <c:v>0.7819609052350508</c:v>
                </c:pt>
                <c:pt idx="1217">
                  <c:v>0.78228073570849832</c:v>
                </c:pt>
                <c:pt idx="1218">
                  <c:v>0.78260056618194584</c:v>
                </c:pt>
                <c:pt idx="1219">
                  <c:v>0.78292039665539337</c:v>
                </c:pt>
                <c:pt idx="1220">
                  <c:v>0.78324022712884078</c:v>
                </c:pt>
                <c:pt idx="1221">
                  <c:v>0.78356005760228831</c:v>
                </c:pt>
                <c:pt idx="1222">
                  <c:v>0.78387988807573583</c:v>
                </c:pt>
                <c:pt idx="1223">
                  <c:v>0.78419971854918336</c:v>
                </c:pt>
                <c:pt idx="1224">
                  <c:v>0.78451954902263088</c:v>
                </c:pt>
                <c:pt idx="1225">
                  <c:v>0.7848393794960784</c:v>
                </c:pt>
                <c:pt idx="1226">
                  <c:v>0.78515920996952593</c:v>
                </c:pt>
                <c:pt idx="1227">
                  <c:v>0.78547904044297345</c:v>
                </c:pt>
                <c:pt idx="1228">
                  <c:v>0.78579887091642087</c:v>
                </c:pt>
                <c:pt idx="1229">
                  <c:v>0.78611870138986839</c:v>
                </c:pt>
                <c:pt idx="1230">
                  <c:v>0.78643853186331591</c:v>
                </c:pt>
                <c:pt idx="1231">
                  <c:v>0.78675836233676344</c:v>
                </c:pt>
                <c:pt idx="1232">
                  <c:v>0.78707819281021096</c:v>
                </c:pt>
                <c:pt idx="1233">
                  <c:v>0.78739802328365849</c:v>
                </c:pt>
                <c:pt idx="1234">
                  <c:v>0.78771785375710601</c:v>
                </c:pt>
                <c:pt idx="1235">
                  <c:v>0.78803768423055354</c:v>
                </c:pt>
                <c:pt idx="1236">
                  <c:v>0.78835751470400095</c:v>
                </c:pt>
                <c:pt idx="1237">
                  <c:v>0.78867734517744847</c:v>
                </c:pt>
                <c:pt idx="1238">
                  <c:v>0.788997175650896</c:v>
                </c:pt>
                <c:pt idx="1239">
                  <c:v>0.78931700612434352</c:v>
                </c:pt>
                <c:pt idx="1240">
                  <c:v>0.78963683659779105</c:v>
                </c:pt>
                <c:pt idx="1241">
                  <c:v>0.78995666707123857</c:v>
                </c:pt>
                <c:pt idx="1242">
                  <c:v>0.7902764975446861</c:v>
                </c:pt>
                <c:pt idx="1243">
                  <c:v>0.79059632801813362</c:v>
                </c:pt>
                <c:pt idx="1244">
                  <c:v>0.79091615849158103</c:v>
                </c:pt>
                <c:pt idx="1245">
                  <c:v>0.79123598896502856</c:v>
                </c:pt>
                <c:pt idx="1246">
                  <c:v>0.79155581943847608</c:v>
                </c:pt>
                <c:pt idx="1247">
                  <c:v>0.79187564991192361</c:v>
                </c:pt>
                <c:pt idx="1248">
                  <c:v>0.79219548038537113</c:v>
                </c:pt>
                <c:pt idx="1249">
                  <c:v>0.79251531085881866</c:v>
                </c:pt>
                <c:pt idx="1250">
                  <c:v>0.79283514133226618</c:v>
                </c:pt>
                <c:pt idx="1251">
                  <c:v>0.79315497180571359</c:v>
                </c:pt>
                <c:pt idx="1252">
                  <c:v>0.79347480227916112</c:v>
                </c:pt>
                <c:pt idx="1253">
                  <c:v>0.79379463275260864</c:v>
                </c:pt>
                <c:pt idx="1254">
                  <c:v>0.79411446322605617</c:v>
                </c:pt>
                <c:pt idx="1255">
                  <c:v>0.79443429369950369</c:v>
                </c:pt>
                <c:pt idx="1256">
                  <c:v>0.79475412417295122</c:v>
                </c:pt>
                <c:pt idx="1257">
                  <c:v>0.79507395464639874</c:v>
                </c:pt>
                <c:pt idx="1258">
                  <c:v>0.79539378511984626</c:v>
                </c:pt>
                <c:pt idx="1259">
                  <c:v>0.79571361559329368</c:v>
                </c:pt>
                <c:pt idx="1260">
                  <c:v>0.7960334460667412</c:v>
                </c:pt>
                <c:pt idx="1261">
                  <c:v>0.79635327654018873</c:v>
                </c:pt>
                <c:pt idx="1262">
                  <c:v>0.79667310701363625</c:v>
                </c:pt>
                <c:pt idx="1263">
                  <c:v>0.79699293748708377</c:v>
                </c:pt>
                <c:pt idx="1264">
                  <c:v>0.7973127679605313</c:v>
                </c:pt>
                <c:pt idx="1265">
                  <c:v>0.79763259843397882</c:v>
                </c:pt>
                <c:pt idx="1266">
                  <c:v>0.79795242890742635</c:v>
                </c:pt>
                <c:pt idx="1267">
                  <c:v>0.79827225938087376</c:v>
                </c:pt>
                <c:pt idx="1268">
                  <c:v>0.79859208985432129</c:v>
                </c:pt>
                <c:pt idx="1269">
                  <c:v>0.79891192032776881</c:v>
                </c:pt>
                <c:pt idx="1270">
                  <c:v>0.79923175080121633</c:v>
                </c:pt>
                <c:pt idx="1271">
                  <c:v>0.79955158127466386</c:v>
                </c:pt>
                <c:pt idx="1272">
                  <c:v>0.79987141174811138</c:v>
                </c:pt>
                <c:pt idx="1273">
                  <c:v>0.80019124222155891</c:v>
                </c:pt>
                <c:pt idx="1274">
                  <c:v>0.80051107269500643</c:v>
                </c:pt>
                <c:pt idx="1275">
                  <c:v>0.80083090316845384</c:v>
                </c:pt>
                <c:pt idx="1276">
                  <c:v>0.80115073364190137</c:v>
                </c:pt>
                <c:pt idx="1277">
                  <c:v>0.80147056411534889</c:v>
                </c:pt>
                <c:pt idx="1278">
                  <c:v>0.80179039458879642</c:v>
                </c:pt>
                <c:pt idx="1279">
                  <c:v>0.80211022506224394</c:v>
                </c:pt>
                <c:pt idx="1280">
                  <c:v>0.80243005553569147</c:v>
                </c:pt>
                <c:pt idx="1281">
                  <c:v>0.80274988600913899</c:v>
                </c:pt>
                <c:pt idx="1282">
                  <c:v>0.80306971648258652</c:v>
                </c:pt>
                <c:pt idx="1283">
                  <c:v>0.80338954695603393</c:v>
                </c:pt>
                <c:pt idx="1284">
                  <c:v>0.80370937742948145</c:v>
                </c:pt>
                <c:pt idx="1285">
                  <c:v>0.80402920790292898</c:v>
                </c:pt>
                <c:pt idx="1286">
                  <c:v>0.8043490383763765</c:v>
                </c:pt>
                <c:pt idx="1287">
                  <c:v>0.80466886884982403</c:v>
                </c:pt>
                <c:pt idx="1288">
                  <c:v>0.80498869932327155</c:v>
                </c:pt>
                <c:pt idx="1289">
                  <c:v>0.80530852979671907</c:v>
                </c:pt>
                <c:pt idx="1290">
                  <c:v>0.80562836027016649</c:v>
                </c:pt>
                <c:pt idx="1291">
                  <c:v>0.80594819074361401</c:v>
                </c:pt>
                <c:pt idx="1292">
                  <c:v>0.80626802121706154</c:v>
                </c:pt>
                <c:pt idx="1293">
                  <c:v>0.80658785169050906</c:v>
                </c:pt>
                <c:pt idx="1294">
                  <c:v>0.80690768216395659</c:v>
                </c:pt>
                <c:pt idx="1295">
                  <c:v>0.80722751263740411</c:v>
                </c:pt>
                <c:pt idx="1296">
                  <c:v>0.80754734311085163</c:v>
                </c:pt>
                <c:pt idx="1297">
                  <c:v>0.80786717358429916</c:v>
                </c:pt>
                <c:pt idx="1298">
                  <c:v>0.80818700405774657</c:v>
                </c:pt>
                <c:pt idx="1299">
                  <c:v>0.8085068345311941</c:v>
                </c:pt>
                <c:pt idx="1300">
                  <c:v>0.80882666500464162</c:v>
                </c:pt>
                <c:pt idx="1301">
                  <c:v>0.80914649547808914</c:v>
                </c:pt>
                <c:pt idx="1302">
                  <c:v>0.80946632595153667</c:v>
                </c:pt>
                <c:pt idx="1303">
                  <c:v>0.80978615642498419</c:v>
                </c:pt>
                <c:pt idx="1304">
                  <c:v>0.81010598689843172</c:v>
                </c:pt>
                <c:pt idx="1305">
                  <c:v>0.81042581737187924</c:v>
                </c:pt>
                <c:pt idx="1306">
                  <c:v>0.81074564784532666</c:v>
                </c:pt>
                <c:pt idx="1307">
                  <c:v>0.81106547831877418</c:v>
                </c:pt>
                <c:pt idx="1308">
                  <c:v>0.8113853087922217</c:v>
                </c:pt>
                <c:pt idx="1309">
                  <c:v>0.81170513926566923</c:v>
                </c:pt>
                <c:pt idx="1310">
                  <c:v>0.81202496973911675</c:v>
                </c:pt>
                <c:pt idx="1311">
                  <c:v>0.81234480021256428</c:v>
                </c:pt>
                <c:pt idx="1312">
                  <c:v>0.8126646306860118</c:v>
                </c:pt>
                <c:pt idx="1313">
                  <c:v>0.81298446115945933</c:v>
                </c:pt>
                <c:pt idx="1314">
                  <c:v>0.81330429163290674</c:v>
                </c:pt>
                <c:pt idx="1315">
                  <c:v>0.81362412210635426</c:v>
                </c:pt>
                <c:pt idx="1316">
                  <c:v>0.81394395257980179</c:v>
                </c:pt>
                <c:pt idx="1317">
                  <c:v>0.81426378305324931</c:v>
                </c:pt>
                <c:pt idx="1318">
                  <c:v>0.81458361352669684</c:v>
                </c:pt>
                <c:pt idx="1319">
                  <c:v>0.81490344400014436</c:v>
                </c:pt>
                <c:pt idx="1320">
                  <c:v>0.81522327447359189</c:v>
                </c:pt>
                <c:pt idx="1321">
                  <c:v>0.8155431049470393</c:v>
                </c:pt>
                <c:pt idx="1322">
                  <c:v>0.81586293542048682</c:v>
                </c:pt>
                <c:pt idx="1323">
                  <c:v>0.81618276589393435</c:v>
                </c:pt>
                <c:pt idx="1324">
                  <c:v>0.81650259636738187</c:v>
                </c:pt>
                <c:pt idx="1325">
                  <c:v>0.8168224268408294</c:v>
                </c:pt>
                <c:pt idx="1326">
                  <c:v>0.81714225731427692</c:v>
                </c:pt>
                <c:pt idx="1327">
                  <c:v>0.81746208778772445</c:v>
                </c:pt>
                <c:pt idx="1328">
                  <c:v>0.81778191826117197</c:v>
                </c:pt>
                <c:pt idx="1329">
                  <c:v>0.81810174873461938</c:v>
                </c:pt>
                <c:pt idx="1330">
                  <c:v>0.81842157920806691</c:v>
                </c:pt>
                <c:pt idx="1331">
                  <c:v>0.81874140968151443</c:v>
                </c:pt>
                <c:pt idx="1332">
                  <c:v>0.81906124015496196</c:v>
                </c:pt>
                <c:pt idx="1333">
                  <c:v>0.81938107062840948</c:v>
                </c:pt>
                <c:pt idx="1334">
                  <c:v>0.819700901101857</c:v>
                </c:pt>
                <c:pt idx="1335">
                  <c:v>0.82002073157530453</c:v>
                </c:pt>
                <c:pt idx="1336">
                  <c:v>0.82034056204875205</c:v>
                </c:pt>
                <c:pt idx="1337">
                  <c:v>0.82066039252219947</c:v>
                </c:pt>
                <c:pt idx="1338">
                  <c:v>0.82098022299564699</c:v>
                </c:pt>
                <c:pt idx="1339">
                  <c:v>0.82130005346909452</c:v>
                </c:pt>
                <c:pt idx="1340">
                  <c:v>0.82161988394254204</c:v>
                </c:pt>
                <c:pt idx="1341">
                  <c:v>0.82193971441598956</c:v>
                </c:pt>
                <c:pt idx="1342">
                  <c:v>0.82225954488943709</c:v>
                </c:pt>
                <c:pt idx="1343">
                  <c:v>0.82257937536288461</c:v>
                </c:pt>
                <c:pt idx="1344">
                  <c:v>0.82289920583633214</c:v>
                </c:pt>
                <c:pt idx="1345">
                  <c:v>0.82321903630977955</c:v>
                </c:pt>
                <c:pt idx="1346">
                  <c:v>0.82353886678322707</c:v>
                </c:pt>
                <c:pt idx="1347">
                  <c:v>0.8238586972566746</c:v>
                </c:pt>
                <c:pt idx="1348">
                  <c:v>0.82417852773012212</c:v>
                </c:pt>
                <c:pt idx="1349">
                  <c:v>0.82449835820356965</c:v>
                </c:pt>
                <c:pt idx="1350">
                  <c:v>0.82481818867701717</c:v>
                </c:pt>
                <c:pt idx="1351">
                  <c:v>0.8251380191504647</c:v>
                </c:pt>
                <c:pt idx="1352">
                  <c:v>0.82545784962391222</c:v>
                </c:pt>
                <c:pt idx="1353">
                  <c:v>0.82577768009735963</c:v>
                </c:pt>
                <c:pt idx="1354">
                  <c:v>0.82609751057080716</c:v>
                </c:pt>
                <c:pt idx="1355">
                  <c:v>0.82641734104425468</c:v>
                </c:pt>
                <c:pt idx="1356">
                  <c:v>0.82673717151770221</c:v>
                </c:pt>
                <c:pt idx="1357">
                  <c:v>0.82705700199114973</c:v>
                </c:pt>
                <c:pt idx="1358">
                  <c:v>0.82737683246459726</c:v>
                </c:pt>
                <c:pt idx="1359">
                  <c:v>0.82769666293804478</c:v>
                </c:pt>
                <c:pt idx="1360">
                  <c:v>0.82801649341149219</c:v>
                </c:pt>
                <c:pt idx="1361">
                  <c:v>0.82833632388493972</c:v>
                </c:pt>
                <c:pt idx="1362">
                  <c:v>0.82865615435838724</c:v>
                </c:pt>
                <c:pt idx="1363">
                  <c:v>0.82897598483183477</c:v>
                </c:pt>
                <c:pt idx="1364">
                  <c:v>0.82929581530528229</c:v>
                </c:pt>
                <c:pt idx="1365">
                  <c:v>0.82961564577872982</c:v>
                </c:pt>
                <c:pt idx="1366">
                  <c:v>0.82993547625217734</c:v>
                </c:pt>
                <c:pt idx="1367">
                  <c:v>0.83025530672562486</c:v>
                </c:pt>
                <c:pt idx="1368">
                  <c:v>0.83057513719907228</c:v>
                </c:pt>
                <c:pt idx="1369">
                  <c:v>0.8308949676725198</c:v>
                </c:pt>
                <c:pt idx="1370">
                  <c:v>0.83121479814596733</c:v>
                </c:pt>
                <c:pt idx="1371">
                  <c:v>0.83153462861941485</c:v>
                </c:pt>
                <c:pt idx="1372">
                  <c:v>0.83185445909286237</c:v>
                </c:pt>
                <c:pt idx="1373">
                  <c:v>0.8321742895663099</c:v>
                </c:pt>
                <c:pt idx="1374">
                  <c:v>0.83249412003975742</c:v>
                </c:pt>
                <c:pt idx="1375">
                  <c:v>0.83281395051320495</c:v>
                </c:pt>
                <c:pt idx="1376">
                  <c:v>0.83313378098665236</c:v>
                </c:pt>
                <c:pt idx="1377">
                  <c:v>0.83345361146009989</c:v>
                </c:pt>
                <c:pt idx="1378">
                  <c:v>0.83377344193354741</c:v>
                </c:pt>
                <c:pt idx="1379">
                  <c:v>0.83409327240699493</c:v>
                </c:pt>
                <c:pt idx="1380">
                  <c:v>0.83441310288044246</c:v>
                </c:pt>
                <c:pt idx="1381">
                  <c:v>0.83473293335388998</c:v>
                </c:pt>
                <c:pt idx="1382">
                  <c:v>0.83505276382733751</c:v>
                </c:pt>
                <c:pt idx="1383">
                  <c:v>0.83537259430078503</c:v>
                </c:pt>
                <c:pt idx="1384">
                  <c:v>0.83569242477423245</c:v>
                </c:pt>
                <c:pt idx="1385">
                  <c:v>0.83601225524767997</c:v>
                </c:pt>
                <c:pt idx="1386">
                  <c:v>0.83633208572112749</c:v>
                </c:pt>
                <c:pt idx="1387">
                  <c:v>0.83665191619457502</c:v>
                </c:pt>
                <c:pt idx="1388">
                  <c:v>0.83696354588665212</c:v>
                </c:pt>
                <c:pt idx="1389">
                  <c:v>0.8372751755787291</c:v>
                </c:pt>
                <c:pt idx="1390">
                  <c:v>0.8375868052708062</c:v>
                </c:pt>
                <c:pt idx="1391">
                  <c:v>0.8378984349628833</c:v>
                </c:pt>
                <c:pt idx="1392">
                  <c:v>0.83821006465496029</c:v>
                </c:pt>
                <c:pt idx="1393">
                  <c:v>0.83852169434703738</c:v>
                </c:pt>
                <c:pt idx="1394">
                  <c:v>0.83883332403911448</c:v>
                </c:pt>
                <c:pt idx="1395">
                  <c:v>0.83914495373119147</c:v>
                </c:pt>
                <c:pt idx="1396">
                  <c:v>0.83945658342326857</c:v>
                </c:pt>
                <c:pt idx="1397">
                  <c:v>0.8397518115526047</c:v>
                </c:pt>
                <c:pt idx="1398">
                  <c:v>0.84004703968194094</c:v>
                </c:pt>
                <c:pt idx="1399">
                  <c:v>0.84034226781127708</c:v>
                </c:pt>
                <c:pt idx="1400">
                  <c:v>0.84063749594061321</c:v>
                </c:pt>
                <c:pt idx="1401">
                  <c:v>0.84093272406994934</c:v>
                </c:pt>
                <c:pt idx="1402">
                  <c:v>0.84122795219928559</c:v>
                </c:pt>
                <c:pt idx="1403">
                  <c:v>0.84152318032862172</c:v>
                </c:pt>
                <c:pt idx="1404">
                  <c:v>0.84181840845795786</c:v>
                </c:pt>
                <c:pt idx="1405">
                  <c:v>0.84211363658729399</c:v>
                </c:pt>
                <c:pt idx="1406">
                  <c:v>0.84240886471663023</c:v>
                </c:pt>
                <c:pt idx="1407">
                  <c:v>0.84270409284596637</c:v>
                </c:pt>
                <c:pt idx="1408">
                  <c:v>0.8429993209753025</c:v>
                </c:pt>
                <c:pt idx="1409">
                  <c:v>0.84329454910463864</c:v>
                </c:pt>
                <c:pt idx="1410">
                  <c:v>0.84358977723397488</c:v>
                </c:pt>
                <c:pt idx="1411">
                  <c:v>0.84388500536331101</c:v>
                </c:pt>
                <c:pt idx="1412">
                  <c:v>0.84418023349264715</c:v>
                </c:pt>
                <c:pt idx="1413">
                  <c:v>0.84447546162198339</c:v>
                </c:pt>
                <c:pt idx="1414">
                  <c:v>0.84477068975131953</c:v>
                </c:pt>
                <c:pt idx="1415">
                  <c:v>0.84506591788065566</c:v>
                </c:pt>
                <c:pt idx="1416">
                  <c:v>0.84536114600999179</c:v>
                </c:pt>
                <c:pt idx="1417">
                  <c:v>0.84565637413932804</c:v>
                </c:pt>
                <c:pt idx="1418">
                  <c:v>0.84595160226866417</c:v>
                </c:pt>
                <c:pt idx="1419">
                  <c:v>0.84623862961662988</c:v>
                </c:pt>
                <c:pt idx="1420">
                  <c:v>0.84652565696459559</c:v>
                </c:pt>
                <c:pt idx="1421">
                  <c:v>0.84681268431256129</c:v>
                </c:pt>
                <c:pt idx="1422">
                  <c:v>0.847099711660527</c:v>
                </c:pt>
                <c:pt idx="1423">
                  <c:v>0.84738673900849271</c:v>
                </c:pt>
                <c:pt idx="1424">
                  <c:v>0.84767376635645841</c:v>
                </c:pt>
                <c:pt idx="1425">
                  <c:v>0.84796079370442412</c:v>
                </c:pt>
                <c:pt idx="1426">
                  <c:v>0.84824782105238983</c:v>
                </c:pt>
                <c:pt idx="1427">
                  <c:v>0.84853484840035553</c:v>
                </c:pt>
                <c:pt idx="1428">
                  <c:v>0.84882187574832135</c:v>
                </c:pt>
                <c:pt idx="1429">
                  <c:v>0.84910890309628706</c:v>
                </c:pt>
                <c:pt idx="1430">
                  <c:v>0.84939593044425277</c:v>
                </c:pt>
                <c:pt idx="1431">
                  <c:v>0.84968295779221847</c:v>
                </c:pt>
                <c:pt idx="1432">
                  <c:v>0.84996998514018418</c:v>
                </c:pt>
                <c:pt idx="1433">
                  <c:v>0.85025701248814989</c:v>
                </c:pt>
                <c:pt idx="1434">
                  <c:v>0.85052353788268942</c:v>
                </c:pt>
                <c:pt idx="1435">
                  <c:v>0.85079006327722906</c:v>
                </c:pt>
                <c:pt idx="1436">
                  <c:v>0.8510565886717687</c:v>
                </c:pt>
                <c:pt idx="1437">
                  <c:v>0.85132311406630823</c:v>
                </c:pt>
                <c:pt idx="1438">
                  <c:v>0.85158963946084787</c:v>
                </c:pt>
                <c:pt idx="1439">
                  <c:v>0.8518561648553874</c:v>
                </c:pt>
                <c:pt idx="1440">
                  <c:v>0.85212269024992704</c:v>
                </c:pt>
                <c:pt idx="1441">
                  <c:v>0.85238921564446657</c:v>
                </c:pt>
                <c:pt idx="1442">
                  <c:v>0.85265574103900621</c:v>
                </c:pt>
                <c:pt idx="1443">
                  <c:v>0.85292226643354574</c:v>
                </c:pt>
                <c:pt idx="1444">
                  <c:v>0.85318879182808538</c:v>
                </c:pt>
                <c:pt idx="1445">
                  <c:v>0.85345531722262502</c:v>
                </c:pt>
                <c:pt idx="1446">
                  <c:v>0.85372184261716455</c:v>
                </c:pt>
                <c:pt idx="1447">
                  <c:v>0.85398836801170419</c:v>
                </c:pt>
                <c:pt idx="1448">
                  <c:v>0.85425489340624372</c:v>
                </c:pt>
                <c:pt idx="1449">
                  <c:v>0.85452141880078336</c:v>
                </c:pt>
                <c:pt idx="1450">
                  <c:v>0.85478794419532289</c:v>
                </c:pt>
                <c:pt idx="1451">
                  <c:v>0.85505446958986253</c:v>
                </c:pt>
                <c:pt idx="1452">
                  <c:v>0.85532099498440206</c:v>
                </c:pt>
                <c:pt idx="1453">
                  <c:v>0.8555875203789417</c:v>
                </c:pt>
                <c:pt idx="1454">
                  <c:v>0.85585404577348134</c:v>
                </c:pt>
                <c:pt idx="1455">
                  <c:v>0.85610006921459481</c:v>
                </c:pt>
                <c:pt idx="1456">
                  <c:v>0.85634609265570827</c:v>
                </c:pt>
                <c:pt idx="1457">
                  <c:v>0.85659211609682173</c:v>
                </c:pt>
                <c:pt idx="1458">
                  <c:v>0.8568381395379352</c:v>
                </c:pt>
                <c:pt idx="1459">
                  <c:v>0.85708416297904866</c:v>
                </c:pt>
                <c:pt idx="1460">
                  <c:v>0.85733018642016212</c:v>
                </c:pt>
                <c:pt idx="1461">
                  <c:v>0.85757620986127558</c:v>
                </c:pt>
                <c:pt idx="1462">
                  <c:v>0.85782223330238905</c:v>
                </c:pt>
                <c:pt idx="1463">
                  <c:v>0.85806825674350251</c:v>
                </c:pt>
                <c:pt idx="1464">
                  <c:v>0.85831428018461597</c:v>
                </c:pt>
                <c:pt idx="1465">
                  <c:v>0.85856030362572944</c:v>
                </c:pt>
                <c:pt idx="1466">
                  <c:v>0.8588063270668429</c:v>
                </c:pt>
                <c:pt idx="1467">
                  <c:v>0.85905235050795636</c:v>
                </c:pt>
                <c:pt idx="1468">
                  <c:v>0.85929837394906983</c:v>
                </c:pt>
                <c:pt idx="1469">
                  <c:v>0.85954439739018329</c:v>
                </c:pt>
                <c:pt idx="1470">
                  <c:v>0.85979042083129675</c:v>
                </c:pt>
                <c:pt idx="1471">
                  <c:v>0.86003644427241033</c:v>
                </c:pt>
                <c:pt idx="1472">
                  <c:v>0.86028246771352379</c:v>
                </c:pt>
                <c:pt idx="1473">
                  <c:v>0.86052849115463725</c:v>
                </c:pt>
                <c:pt idx="1474">
                  <c:v>0.86077451459575072</c:v>
                </c:pt>
                <c:pt idx="1475">
                  <c:v>0.86102053803686418</c:v>
                </c:pt>
                <c:pt idx="1476">
                  <c:v>0.86126656147797764</c:v>
                </c:pt>
                <c:pt idx="1477">
                  <c:v>0.86151258491909111</c:v>
                </c:pt>
                <c:pt idx="1478">
                  <c:v>0.86175860836020457</c:v>
                </c:pt>
                <c:pt idx="1479">
                  <c:v>0.86200463180131803</c:v>
                </c:pt>
                <c:pt idx="1480">
                  <c:v>0.8622506552424315</c:v>
                </c:pt>
                <c:pt idx="1481">
                  <c:v>0.86249667868354496</c:v>
                </c:pt>
                <c:pt idx="1482">
                  <c:v>0.86274270212465842</c:v>
                </c:pt>
                <c:pt idx="1483">
                  <c:v>0.86298872556577189</c:v>
                </c:pt>
                <c:pt idx="1484">
                  <c:v>0.86323474900688535</c:v>
                </c:pt>
                <c:pt idx="1485">
                  <c:v>0.86348077244799881</c:v>
                </c:pt>
                <c:pt idx="1486">
                  <c:v>0.86372679588911228</c:v>
                </c:pt>
                <c:pt idx="1487">
                  <c:v>0.86397281933022574</c:v>
                </c:pt>
                <c:pt idx="1488">
                  <c:v>0.8642188427713392</c:v>
                </c:pt>
                <c:pt idx="1489">
                  <c:v>0.86446486621245278</c:v>
                </c:pt>
                <c:pt idx="1490">
                  <c:v>0.86471088965356624</c:v>
                </c:pt>
                <c:pt idx="1491">
                  <c:v>0.8649569130946797</c:v>
                </c:pt>
                <c:pt idx="1492">
                  <c:v>0.86520293653579317</c:v>
                </c:pt>
                <c:pt idx="1493">
                  <c:v>0.86544895997690663</c:v>
                </c:pt>
                <c:pt idx="1494">
                  <c:v>0.86569498341802009</c:v>
                </c:pt>
                <c:pt idx="1495">
                  <c:v>0.86594100685913356</c:v>
                </c:pt>
                <c:pt idx="1496">
                  <c:v>0.86618703030024702</c:v>
                </c:pt>
                <c:pt idx="1497">
                  <c:v>0.86643305374136048</c:v>
                </c:pt>
                <c:pt idx="1498">
                  <c:v>0.86667907718247394</c:v>
                </c:pt>
                <c:pt idx="1499">
                  <c:v>0.86692510062358741</c:v>
                </c:pt>
                <c:pt idx="1500">
                  <c:v>0.86717112406470087</c:v>
                </c:pt>
                <c:pt idx="1501">
                  <c:v>0.86741714750581433</c:v>
                </c:pt>
                <c:pt idx="1502">
                  <c:v>0.8676631709469278</c:v>
                </c:pt>
                <c:pt idx="1503">
                  <c:v>0.86790919438804126</c:v>
                </c:pt>
                <c:pt idx="1504">
                  <c:v>0.86815521782915472</c:v>
                </c:pt>
                <c:pt idx="1505">
                  <c:v>0.86840124127026819</c:v>
                </c:pt>
                <c:pt idx="1506">
                  <c:v>0.86864726471138165</c:v>
                </c:pt>
                <c:pt idx="1507">
                  <c:v>0.86889328815249522</c:v>
                </c:pt>
                <c:pt idx="1508">
                  <c:v>0.86913931159360869</c:v>
                </c:pt>
                <c:pt idx="1509">
                  <c:v>0.86938533503472215</c:v>
                </c:pt>
                <c:pt idx="1510">
                  <c:v>0.86963135847583561</c:v>
                </c:pt>
                <c:pt idx="1511">
                  <c:v>0.86987738191694908</c:v>
                </c:pt>
                <c:pt idx="1512">
                  <c:v>0.87012340535806254</c:v>
                </c:pt>
                <c:pt idx="1513">
                  <c:v>0.870369428799176</c:v>
                </c:pt>
                <c:pt idx="1514">
                  <c:v>0.87061545224028947</c:v>
                </c:pt>
                <c:pt idx="1515">
                  <c:v>0.87086147568140293</c:v>
                </c:pt>
                <c:pt idx="1516">
                  <c:v>0.87110749912251639</c:v>
                </c:pt>
                <c:pt idx="1517">
                  <c:v>0.87135352256362986</c:v>
                </c:pt>
                <c:pt idx="1518">
                  <c:v>0.87159954600474332</c:v>
                </c:pt>
                <c:pt idx="1519">
                  <c:v>0.87184556944585678</c:v>
                </c:pt>
                <c:pt idx="1520">
                  <c:v>0.87209159288697025</c:v>
                </c:pt>
                <c:pt idx="1521">
                  <c:v>0.87233761632808371</c:v>
                </c:pt>
                <c:pt idx="1522">
                  <c:v>0.87258363976919717</c:v>
                </c:pt>
                <c:pt idx="1523">
                  <c:v>0.87282966321031064</c:v>
                </c:pt>
                <c:pt idx="1524">
                  <c:v>0.8730756866514241</c:v>
                </c:pt>
                <c:pt idx="1525">
                  <c:v>0.87332171009253756</c:v>
                </c:pt>
                <c:pt idx="1526">
                  <c:v>0.87356773353365114</c:v>
                </c:pt>
                <c:pt idx="1527">
                  <c:v>0.8738137569747646</c:v>
                </c:pt>
                <c:pt idx="1528">
                  <c:v>0.87405978041587806</c:v>
                </c:pt>
                <c:pt idx="1529">
                  <c:v>0.87430580385699153</c:v>
                </c:pt>
                <c:pt idx="1530">
                  <c:v>0.87455182729810499</c:v>
                </c:pt>
                <c:pt idx="1531">
                  <c:v>0.87479785073921845</c:v>
                </c:pt>
                <c:pt idx="1532">
                  <c:v>0.87504387418033192</c:v>
                </c:pt>
                <c:pt idx="1533">
                  <c:v>0.87528989762144538</c:v>
                </c:pt>
                <c:pt idx="1534">
                  <c:v>0.87553592106255884</c:v>
                </c:pt>
                <c:pt idx="1535">
                  <c:v>0.8757819445036723</c:v>
                </c:pt>
                <c:pt idx="1536">
                  <c:v>0.87602796794478577</c:v>
                </c:pt>
                <c:pt idx="1537">
                  <c:v>0.87627399138589923</c:v>
                </c:pt>
                <c:pt idx="1538">
                  <c:v>0.87652001482701269</c:v>
                </c:pt>
                <c:pt idx="1539">
                  <c:v>0.87676603826812616</c:v>
                </c:pt>
                <c:pt idx="1540">
                  <c:v>0.87701206170923962</c:v>
                </c:pt>
                <c:pt idx="1541">
                  <c:v>0.87725808515035308</c:v>
                </c:pt>
                <c:pt idx="1542">
                  <c:v>0.87750410859146655</c:v>
                </c:pt>
                <c:pt idx="1543">
                  <c:v>0.87775013203258001</c:v>
                </c:pt>
                <c:pt idx="1544">
                  <c:v>0.87799615547369358</c:v>
                </c:pt>
                <c:pt idx="1545">
                  <c:v>0.87824217891480705</c:v>
                </c:pt>
                <c:pt idx="1546">
                  <c:v>0.87848820235592051</c:v>
                </c:pt>
                <c:pt idx="1547">
                  <c:v>0.87873422579703397</c:v>
                </c:pt>
                <c:pt idx="1548">
                  <c:v>0.87898024923814744</c:v>
                </c:pt>
                <c:pt idx="1549">
                  <c:v>0.8792262726792609</c:v>
                </c:pt>
                <c:pt idx="1550">
                  <c:v>0.87947229612037436</c:v>
                </c:pt>
                <c:pt idx="1551">
                  <c:v>0.87971831956148783</c:v>
                </c:pt>
                <c:pt idx="1552">
                  <c:v>0.87996434300260129</c:v>
                </c:pt>
                <c:pt idx="1553">
                  <c:v>0.88021036644371475</c:v>
                </c:pt>
                <c:pt idx="1554">
                  <c:v>0.88045638988482822</c:v>
                </c:pt>
                <c:pt idx="1555">
                  <c:v>0.88070241332594168</c:v>
                </c:pt>
                <c:pt idx="1556">
                  <c:v>0.88094843676705514</c:v>
                </c:pt>
                <c:pt idx="1557">
                  <c:v>0.88119446020816861</c:v>
                </c:pt>
                <c:pt idx="1558">
                  <c:v>0.88144048364928207</c:v>
                </c:pt>
                <c:pt idx="1559">
                  <c:v>0.88168650709039553</c:v>
                </c:pt>
                <c:pt idx="1560">
                  <c:v>0.881932530531509</c:v>
                </c:pt>
                <c:pt idx="1561">
                  <c:v>0.88217855397262246</c:v>
                </c:pt>
                <c:pt idx="1562">
                  <c:v>0.88242457741373603</c:v>
                </c:pt>
                <c:pt idx="1563">
                  <c:v>0.8826706008548495</c:v>
                </c:pt>
                <c:pt idx="1564">
                  <c:v>0.88291662429596296</c:v>
                </c:pt>
                <c:pt idx="1565">
                  <c:v>0.88316264773707642</c:v>
                </c:pt>
                <c:pt idx="1566">
                  <c:v>0.88340867117818989</c:v>
                </c:pt>
                <c:pt idx="1567">
                  <c:v>0.88365469461930335</c:v>
                </c:pt>
                <c:pt idx="1568">
                  <c:v>0.88390071806041681</c:v>
                </c:pt>
                <c:pt idx="1569">
                  <c:v>0.88414674150153028</c:v>
                </c:pt>
                <c:pt idx="1570">
                  <c:v>0.88439276494264374</c:v>
                </c:pt>
                <c:pt idx="1571">
                  <c:v>0.8846387883837572</c:v>
                </c:pt>
                <c:pt idx="1572">
                  <c:v>0.88488481182487067</c:v>
                </c:pt>
                <c:pt idx="1573">
                  <c:v>0.88513083526598413</c:v>
                </c:pt>
                <c:pt idx="1574">
                  <c:v>0.88537685870709759</c:v>
                </c:pt>
                <c:pt idx="1575">
                  <c:v>0.88562288214821105</c:v>
                </c:pt>
                <c:pt idx="1576">
                  <c:v>0.88586890558932452</c:v>
                </c:pt>
                <c:pt idx="1577">
                  <c:v>0.88611492903043798</c:v>
                </c:pt>
                <c:pt idx="1578">
                  <c:v>0.88636095247155144</c:v>
                </c:pt>
                <c:pt idx="1579">
                  <c:v>0.88660697591266491</c:v>
                </c:pt>
                <c:pt idx="1580">
                  <c:v>0.88685299935377848</c:v>
                </c:pt>
                <c:pt idx="1581">
                  <c:v>0.88709902279489194</c:v>
                </c:pt>
                <c:pt idx="1582">
                  <c:v>0.88734504623600541</c:v>
                </c:pt>
                <c:pt idx="1583">
                  <c:v>0.88759106967711887</c:v>
                </c:pt>
                <c:pt idx="1584">
                  <c:v>0.88783709311823233</c:v>
                </c:pt>
                <c:pt idx="1585">
                  <c:v>0.8880831165593458</c:v>
                </c:pt>
                <c:pt idx="1586">
                  <c:v>0.88832914000045926</c:v>
                </c:pt>
                <c:pt idx="1587">
                  <c:v>0.88857516344157272</c:v>
                </c:pt>
                <c:pt idx="1588">
                  <c:v>0.88882118688268619</c:v>
                </c:pt>
                <c:pt idx="1589">
                  <c:v>0.88906721032379965</c:v>
                </c:pt>
                <c:pt idx="1590">
                  <c:v>0.88931323376491311</c:v>
                </c:pt>
                <c:pt idx="1591">
                  <c:v>0.88955925720602658</c:v>
                </c:pt>
                <c:pt idx="1592">
                  <c:v>0.88980528064714004</c:v>
                </c:pt>
                <c:pt idx="1593">
                  <c:v>0.8900513040882535</c:v>
                </c:pt>
                <c:pt idx="1594">
                  <c:v>0.89029732752936697</c:v>
                </c:pt>
                <c:pt idx="1595">
                  <c:v>0.89054335097048043</c:v>
                </c:pt>
                <c:pt idx="1596">
                  <c:v>0.89078937441159389</c:v>
                </c:pt>
                <c:pt idx="1597">
                  <c:v>0.89103539785270736</c:v>
                </c:pt>
                <c:pt idx="1598">
                  <c:v>0.89128142129382093</c:v>
                </c:pt>
                <c:pt idx="1599">
                  <c:v>0.89152744473493439</c:v>
                </c:pt>
                <c:pt idx="1600">
                  <c:v>0.89177346817604786</c:v>
                </c:pt>
                <c:pt idx="1601">
                  <c:v>0.89201949161716132</c:v>
                </c:pt>
                <c:pt idx="1602">
                  <c:v>0.89226551505827478</c:v>
                </c:pt>
                <c:pt idx="1603">
                  <c:v>0.89251153849938825</c:v>
                </c:pt>
                <c:pt idx="1604">
                  <c:v>0.89275756194050171</c:v>
                </c:pt>
                <c:pt idx="1605">
                  <c:v>0.89300358538161517</c:v>
                </c:pt>
                <c:pt idx="1606">
                  <c:v>0.89324960882272864</c:v>
                </c:pt>
                <c:pt idx="1607">
                  <c:v>0.8934956322638421</c:v>
                </c:pt>
                <c:pt idx="1608">
                  <c:v>0.89374165570495556</c:v>
                </c:pt>
                <c:pt idx="1609">
                  <c:v>0.89398767914606903</c:v>
                </c:pt>
                <c:pt idx="1610">
                  <c:v>0.89423370258718249</c:v>
                </c:pt>
                <c:pt idx="1611">
                  <c:v>0.89447972602829595</c:v>
                </c:pt>
                <c:pt idx="1612">
                  <c:v>0.89472574946940941</c:v>
                </c:pt>
                <c:pt idx="1613">
                  <c:v>0.89497177291052288</c:v>
                </c:pt>
                <c:pt idx="1614">
                  <c:v>0.8952054951795807</c:v>
                </c:pt>
                <c:pt idx="1615">
                  <c:v>0.89543921744863852</c:v>
                </c:pt>
                <c:pt idx="1616">
                  <c:v>0.89567293971769635</c:v>
                </c:pt>
                <c:pt idx="1617">
                  <c:v>0.89590666198675406</c:v>
                </c:pt>
                <c:pt idx="1618">
                  <c:v>0.89614038425581188</c:v>
                </c:pt>
                <c:pt idx="1619">
                  <c:v>0.89637410652486971</c:v>
                </c:pt>
                <c:pt idx="1620">
                  <c:v>0.89660782879392753</c:v>
                </c:pt>
                <c:pt idx="1621">
                  <c:v>0.89684155106298524</c:v>
                </c:pt>
                <c:pt idx="1622">
                  <c:v>0.89707527333204307</c:v>
                </c:pt>
                <c:pt idx="1623">
                  <c:v>0.89730899560110089</c:v>
                </c:pt>
                <c:pt idx="1624">
                  <c:v>0.89754271787015871</c:v>
                </c:pt>
                <c:pt idx="1625">
                  <c:v>0.89777644013921643</c:v>
                </c:pt>
                <c:pt idx="1626">
                  <c:v>0.89801016240827425</c:v>
                </c:pt>
                <c:pt idx="1627">
                  <c:v>0.89823978428664686</c:v>
                </c:pt>
                <c:pt idx="1628">
                  <c:v>0.89846940616501936</c:v>
                </c:pt>
                <c:pt idx="1629">
                  <c:v>0.89869902804339197</c:v>
                </c:pt>
                <c:pt idx="1630">
                  <c:v>0.89892864992176458</c:v>
                </c:pt>
                <c:pt idx="1631">
                  <c:v>0.89915827180013708</c:v>
                </c:pt>
                <c:pt idx="1632">
                  <c:v>0.89938789367850969</c:v>
                </c:pt>
                <c:pt idx="1633">
                  <c:v>0.8996175155568823</c:v>
                </c:pt>
                <c:pt idx="1634">
                  <c:v>0.8998471374352548</c:v>
                </c:pt>
                <c:pt idx="1635">
                  <c:v>0.90007675931362741</c:v>
                </c:pt>
                <c:pt idx="1636">
                  <c:v>0.90030638119200002</c:v>
                </c:pt>
                <c:pt idx="1637">
                  <c:v>0.90053600307037251</c:v>
                </c:pt>
                <c:pt idx="1638">
                  <c:v>0.90076562494874512</c:v>
                </c:pt>
                <c:pt idx="1639">
                  <c:v>0.90099524682711774</c:v>
                </c:pt>
                <c:pt idx="1640">
                  <c:v>0.90122486870549023</c:v>
                </c:pt>
                <c:pt idx="1641">
                  <c:v>0.90145449058386284</c:v>
                </c:pt>
                <c:pt idx="1642">
                  <c:v>0.90168411246223545</c:v>
                </c:pt>
                <c:pt idx="1643">
                  <c:v>0.90191373434060795</c:v>
                </c:pt>
                <c:pt idx="1644">
                  <c:v>0.90214335621898056</c:v>
                </c:pt>
                <c:pt idx="1645">
                  <c:v>0.90237297809735306</c:v>
                </c:pt>
                <c:pt idx="1646">
                  <c:v>0.90260259997572567</c:v>
                </c:pt>
                <c:pt idx="1647">
                  <c:v>0.90283222185409828</c:v>
                </c:pt>
                <c:pt idx="1648">
                  <c:v>0.90306184373247078</c:v>
                </c:pt>
                <c:pt idx="1649">
                  <c:v>0.90329146561084339</c:v>
                </c:pt>
                <c:pt idx="1650">
                  <c:v>0.903521087489216</c:v>
                </c:pt>
                <c:pt idx="1651">
                  <c:v>0.9037507093675885</c:v>
                </c:pt>
                <c:pt idx="1652">
                  <c:v>0.90398033124596111</c:v>
                </c:pt>
                <c:pt idx="1653">
                  <c:v>0.90420995312433372</c:v>
                </c:pt>
                <c:pt idx="1654">
                  <c:v>0.90443957500270622</c:v>
                </c:pt>
                <c:pt idx="1655">
                  <c:v>0.90466919688107883</c:v>
                </c:pt>
                <c:pt idx="1656">
                  <c:v>0.90489881875945144</c:v>
                </c:pt>
                <c:pt idx="1657">
                  <c:v>0.90512844063782394</c:v>
                </c:pt>
                <c:pt idx="1658">
                  <c:v>0.90535806251619655</c:v>
                </c:pt>
                <c:pt idx="1659">
                  <c:v>0.90558768439456916</c:v>
                </c:pt>
                <c:pt idx="1660">
                  <c:v>0.90581730627294166</c:v>
                </c:pt>
                <c:pt idx="1661">
                  <c:v>0.90604692815131427</c:v>
                </c:pt>
                <c:pt idx="1662">
                  <c:v>0.90627655002968688</c:v>
                </c:pt>
                <c:pt idx="1663">
                  <c:v>0.90650617190805938</c:v>
                </c:pt>
                <c:pt idx="1664">
                  <c:v>0.90673579378643199</c:v>
                </c:pt>
                <c:pt idx="1665">
                  <c:v>0.9069654156648046</c:v>
                </c:pt>
                <c:pt idx="1666">
                  <c:v>0.9071950375431771</c:v>
                </c:pt>
                <c:pt idx="1667">
                  <c:v>0.90742465942154971</c:v>
                </c:pt>
                <c:pt idx="1668">
                  <c:v>0.90765428129992221</c:v>
                </c:pt>
                <c:pt idx="1669">
                  <c:v>0.90788390317829482</c:v>
                </c:pt>
                <c:pt idx="1670">
                  <c:v>0.90811352505666743</c:v>
                </c:pt>
                <c:pt idx="1671">
                  <c:v>0.90834314693503992</c:v>
                </c:pt>
                <c:pt idx="1672">
                  <c:v>0.90857276881341253</c:v>
                </c:pt>
                <c:pt idx="1673">
                  <c:v>0.90880239069178514</c:v>
                </c:pt>
                <c:pt idx="1674">
                  <c:v>0.90903201257015764</c:v>
                </c:pt>
                <c:pt idx="1675">
                  <c:v>0.90925343366715983</c:v>
                </c:pt>
                <c:pt idx="1676">
                  <c:v>0.90946665398279147</c:v>
                </c:pt>
                <c:pt idx="1677">
                  <c:v>0.90967987429842312</c:v>
                </c:pt>
                <c:pt idx="1678">
                  <c:v>0.90989309461405488</c:v>
                </c:pt>
                <c:pt idx="1679">
                  <c:v>0.91010631492968652</c:v>
                </c:pt>
                <c:pt idx="1680">
                  <c:v>0.91031953524531817</c:v>
                </c:pt>
                <c:pt idx="1681">
                  <c:v>0.91053275556094981</c:v>
                </c:pt>
                <c:pt idx="1682">
                  <c:v>0.91074597587658157</c:v>
                </c:pt>
                <c:pt idx="1683">
                  <c:v>0.91095919619221322</c:v>
                </c:pt>
                <c:pt idx="1684">
                  <c:v>0.91117241650784486</c:v>
                </c:pt>
                <c:pt idx="1685">
                  <c:v>0.91138563682347651</c:v>
                </c:pt>
                <c:pt idx="1686">
                  <c:v>0.91159885713910827</c:v>
                </c:pt>
                <c:pt idx="1687">
                  <c:v>0.91181207745473991</c:v>
                </c:pt>
                <c:pt idx="1688">
                  <c:v>0.91202529777037156</c:v>
                </c:pt>
                <c:pt idx="1689">
                  <c:v>0.9122385180860032</c:v>
                </c:pt>
                <c:pt idx="1690">
                  <c:v>0.91245173840163496</c:v>
                </c:pt>
                <c:pt idx="1691">
                  <c:v>0.91266495871726661</c:v>
                </c:pt>
                <c:pt idx="1692">
                  <c:v>0.91287817903289825</c:v>
                </c:pt>
                <c:pt idx="1693">
                  <c:v>0.9130913993485299</c:v>
                </c:pt>
                <c:pt idx="1694">
                  <c:v>0.91330461966416165</c:v>
                </c:pt>
                <c:pt idx="1695">
                  <c:v>0.9135178399797933</c:v>
                </c:pt>
                <c:pt idx="1696">
                  <c:v>0.91373106029542495</c:v>
                </c:pt>
                <c:pt idx="1697">
                  <c:v>0.91394428061105659</c:v>
                </c:pt>
                <c:pt idx="1698">
                  <c:v>0.91415750092668835</c:v>
                </c:pt>
                <c:pt idx="1699">
                  <c:v>0.91437072124231999</c:v>
                </c:pt>
                <c:pt idx="1700">
                  <c:v>0.91458394155795164</c:v>
                </c:pt>
                <c:pt idx="1701">
                  <c:v>0.91479716187358329</c:v>
                </c:pt>
                <c:pt idx="1702">
                  <c:v>0.91501038218921504</c:v>
                </c:pt>
                <c:pt idx="1703">
                  <c:v>0.91522360250484669</c:v>
                </c:pt>
                <c:pt idx="1704">
                  <c:v>0.91543682282047834</c:v>
                </c:pt>
                <c:pt idx="1705">
                  <c:v>0.91565004313610998</c:v>
                </c:pt>
                <c:pt idx="1706">
                  <c:v>0.91586326345174163</c:v>
                </c:pt>
                <c:pt idx="1707">
                  <c:v>0.91607648376737338</c:v>
                </c:pt>
                <c:pt idx="1708">
                  <c:v>0.91628970408300503</c:v>
                </c:pt>
                <c:pt idx="1709">
                  <c:v>0.91650292439863668</c:v>
                </c:pt>
                <c:pt idx="1710">
                  <c:v>0.91671614471426832</c:v>
                </c:pt>
                <c:pt idx="1711">
                  <c:v>0.91692936502990008</c:v>
                </c:pt>
                <c:pt idx="1712">
                  <c:v>0.91714258534553172</c:v>
                </c:pt>
                <c:pt idx="1713">
                  <c:v>0.91735580566116337</c:v>
                </c:pt>
                <c:pt idx="1714">
                  <c:v>0.91756902597679502</c:v>
                </c:pt>
                <c:pt idx="1715">
                  <c:v>0.91778224629242677</c:v>
                </c:pt>
                <c:pt idx="1716">
                  <c:v>0.91799546660805842</c:v>
                </c:pt>
                <c:pt idx="1717">
                  <c:v>0.91820868692369007</c:v>
                </c:pt>
                <c:pt idx="1718">
                  <c:v>0.91842190723932171</c:v>
                </c:pt>
                <c:pt idx="1719">
                  <c:v>0.91863512755495347</c:v>
                </c:pt>
                <c:pt idx="1720">
                  <c:v>0.91884834787058511</c:v>
                </c:pt>
                <c:pt idx="1721">
                  <c:v>0.91906156818621676</c:v>
                </c:pt>
                <c:pt idx="1722">
                  <c:v>0.91927478850184841</c:v>
                </c:pt>
                <c:pt idx="1723">
                  <c:v>0.91948800881748016</c:v>
                </c:pt>
                <c:pt idx="1724">
                  <c:v>0.91970122913311181</c:v>
                </c:pt>
                <c:pt idx="1725">
                  <c:v>0.91991444944874345</c:v>
                </c:pt>
                <c:pt idx="1726">
                  <c:v>0.9201276697643751</c:v>
                </c:pt>
                <c:pt idx="1727">
                  <c:v>0.92034089008000686</c:v>
                </c:pt>
                <c:pt idx="1728">
                  <c:v>0.9205541103956385</c:v>
                </c:pt>
                <c:pt idx="1729">
                  <c:v>0.92076733071127015</c:v>
                </c:pt>
                <c:pt idx="1730">
                  <c:v>0.92098055102690179</c:v>
                </c:pt>
                <c:pt idx="1731">
                  <c:v>0.92119377134253355</c:v>
                </c:pt>
                <c:pt idx="1732">
                  <c:v>0.9214069916581652</c:v>
                </c:pt>
                <c:pt idx="1733">
                  <c:v>0.92162021197379684</c:v>
                </c:pt>
                <c:pt idx="1734">
                  <c:v>0.92183343228942849</c:v>
                </c:pt>
                <c:pt idx="1735">
                  <c:v>0.92204665260506025</c:v>
                </c:pt>
                <c:pt idx="1736">
                  <c:v>0.92225987292069189</c:v>
                </c:pt>
                <c:pt idx="1737">
                  <c:v>0.92247309323632354</c:v>
                </c:pt>
                <c:pt idx="1738">
                  <c:v>0.92268631355195518</c:v>
                </c:pt>
                <c:pt idx="1739">
                  <c:v>0.92289953386758694</c:v>
                </c:pt>
                <c:pt idx="1740">
                  <c:v>0.92311275418321859</c:v>
                </c:pt>
                <c:pt idx="1741">
                  <c:v>0.92332597449885023</c:v>
                </c:pt>
                <c:pt idx="1742">
                  <c:v>0.92353919481448188</c:v>
                </c:pt>
                <c:pt idx="1743">
                  <c:v>0.92375241513011364</c:v>
                </c:pt>
                <c:pt idx="1744">
                  <c:v>0.92396563544574528</c:v>
                </c:pt>
                <c:pt idx="1745">
                  <c:v>0.92417885576137693</c:v>
                </c:pt>
                <c:pt idx="1746">
                  <c:v>0.92439207607700857</c:v>
                </c:pt>
                <c:pt idx="1747">
                  <c:v>0.92460529639264033</c:v>
                </c:pt>
                <c:pt idx="1748">
                  <c:v>0.92481851670827198</c:v>
                </c:pt>
                <c:pt idx="1749">
                  <c:v>0.92503173702390362</c:v>
                </c:pt>
                <c:pt idx="1750">
                  <c:v>0.92524495733953527</c:v>
                </c:pt>
                <c:pt idx="1751">
                  <c:v>0.92545817765516702</c:v>
                </c:pt>
                <c:pt idx="1752">
                  <c:v>0.92567139797079867</c:v>
                </c:pt>
                <c:pt idx="1753">
                  <c:v>0.92588461828643032</c:v>
                </c:pt>
                <c:pt idx="1754">
                  <c:v>0.92609783860206196</c:v>
                </c:pt>
                <c:pt idx="1755">
                  <c:v>0.92631105891769372</c:v>
                </c:pt>
                <c:pt idx="1756">
                  <c:v>0.92652427923332537</c:v>
                </c:pt>
                <c:pt idx="1757">
                  <c:v>0.92673749954895701</c:v>
                </c:pt>
                <c:pt idx="1758">
                  <c:v>0.92695071986458866</c:v>
                </c:pt>
                <c:pt idx="1759">
                  <c:v>0.92716394018022041</c:v>
                </c:pt>
                <c:pt idx="1760">
                  <c:v>0.92737716049585206</c:v>
                </c:pt>
                <c:pt idx="1761">
                  <c:v>0.92759038081148371</c:v>
                </c:pt>
                <c:pt idx="1762">
                  <c:v>0.92780360112711535</c:v>
                </c:pt>
                <c:pt idx="1763">
                  <c:v>0.92801682144274711</c:v>
                </c:pt>
                <c:pt idx="1764">
                  <c:v>0.92823004175837875</c:v>
                </c:pt>
                <c:pt idx="1765">
                  <c:v>0.9284432620740104</c:v>
                </c:pt>
                <c:pt idx="1766">
                  <c:v>0.92865648238964205</c:v>
                </c:pt>
                <c:pt idx="1767">
                  <c:v>0.9288697027052738</c:v>
                </c:pt>
                <c:pt idx="1768">
                  <c:v>0.92908292302090545</c:v>
                </c:pt>
                <c:pt idx="1769">
                  <c:v>0.92929614333653709</c:v>
                </c:pt>
                <c:pt idx="1770">
                  <c:v>0.92950936365216874</c:v>
                </c:pt>
                <c:pt idx="1771">
                  <c:v>0.9297225839678005</c:v>
                </c:pt>
                <c:pt idx="1772">
                  <c:v>0.92993580428343214</c:v>
                </c:pt>
                <c:pt idx="1773">
                  <c:v>0.93014902459906379</c:v>
                </c:pt>
                <c:pt idx="1774">
                  <c:v>0.93036224491469544</c:v>
                </c:pt>
                <c:pt idx="1775">
                  <c:v>0.93057546523032719</c:v>
                </c:pt>
                <c:pt idx="1776">
                  <c:v>0.93078868554595884</c:v>
                </c:pt>
                <c:pt idx="1777">
                  <c:v>0.93100190586159048</c:v>
                </c:pt>
                <c:pt idx="1778">
                  <c:v>0.93121512617722213</c:v>
                </c:pt>
                <c:pt idx="1779">
                  <c:v>0.93142834649285389</c:v>
                </c:pt>
                <c:pt idx="1780">
                  <c:v>0.93164156680848553</c:v>
                </c:pt>
                <c:pt idx="1781">
                  <c:v>0.93185478712411718</c:v>
                </c:pt>
                <c:pt idx="1782">
                  <c:v>0.93206800743974882</c:v>
                </c:pt>
                <c:pt idx="1783">
                  <c:v>0.93228122775538058</c:v>
                </c:pt>
                <c:pt idx="1784">
                  <c:v>0.93249444807101223</c:v>
                </c:pt>
                <c:pt idx="1785">
                  <c:v>0.93270766838664387</c:v>
                </c:pt>
                <c:pt idx="1786">
                  <c:v>0.93292088870227552</c:v>
                </c:pt>
                <c:pt idx="1787">
                  <c:v>0.93313410901790728</c:v>
                </c:pt>
                <c:pt idx="1788">
                  <c:v>0.93334732933353892</c:v>
                </c:pt>
                <c:pt idx="1789">
                  <c:v>0.93356054964917057</c:v>
                </c:pt>
                <c:pt idx="1790">
                  <c:v>0.93377376996480221</c:v>
                </c:pt>
                <c:pt idx="1791">
                  <c:v>0.93398699028043397</c:v>
                </c:pt>
                <c:pt idx="1792">
                  <c:v>0.93420021059606562</c:v>
                </c:pt>
                <c:pt idx="1793">
                  <c:v>0.93441343091169726</c:v>
                </c:pt>
                <c:pt idx="1794">
                  <c:v>0.93462665122732891</c:v>
                </c:pt>
                <c:pt idx="1795">
                  <c:v>0.93483987154296067</c:v>
                </c:pt>
                <c:pt idx="1796">
                  <c:v>0.93505309185859231</c:v>
                </c:pt>
                <c:pt idx="1797">
                  <c:v>0.93526631217422396</c:v>
                </c:pt>
                <c:pt idx="1798">
                  <c:v>0.9354795324898556</c:v>
                </c:pt>
                <c:pt idx="1799">
                  <c:v>0.93569275280548736</c:v>
                </c:pt>
                <c:pt idx="1800">
                  <c:v>0.93590597312111901</c:v>
                </c:pt>
                <c:pt idx="1801">
                  <c:v>0.93611919343675065</c:v>
                </c:pt>
                <c:pt idx="1802">
                  <c:v>0.9363324137523823</c:v>
                </c:pt>
                <c:pt idx="1803">
                  <c:v>0.93654563406801405</c:v>
                </c:pt>
                <c:pt idx="1804">
                  <c:v>0.9367588543836457</c:v>
                </c:pt>
                <c:pt idx="1805">
                  <c:v>0.93697207469927735</c:v>
                </c:pt>
                <c:pt idx="1806">
                  <c:v>0.93718529501490899</c:v>
                </c:pt>
                <c:pt idx="1807">
                  <c:v>0.93739851533054075</c:v>
                </c:pt>
                <c:pt idx="1808">
                  <c:v>0.9376117356461724</c:v>
                </c:pt>
                <c:pt idx="1809">
                  <c:v>0.93782495596180404</c:v>
                </c:pt>
                <c:pt idx="1810">
                  <c:v>0.93803817627743569</c:v>
                </c:pt>
                <c:pt idx="1811">
                  <c:v>0.93825139659306733</c:v>
                </c:pt>
                <c:pt idx="1812">
                  <c:v>0.93846461690869909</c:v>
                </c:pt>
                <c:pt idx="1813">
                  <c:v>0.93867783722433074</c:v>
                </c:pt>
                <c:pt idx="1814">
                  <c:v>0.93889105753996238</c:v>
                </c:pt>
                <c:pt idx="1815">
                  <c:v>0.93910427785559403</c:v>
                </c:pt>
                <c:pt idx="1816">
                  <c:v>0.93931749817122578</c:v>
                </c:pt>
                <c:pt idx="1817">
                  <c:v>0.93953071848685743</c:v>
                </c:pt>
                <c:pt idx="1818">
                  <c:v>0.93974393880248908</c:v>
                </c:pt>
                <c:pt idx="1819">
                  <c:v>0.93995715911812072</c:v>
                </c:pt>
                <c:pt idx="1820">
                  <c:v>0.94017037943375248</c:v>
                </c:pt>
                <c:pt idx="1821">
                  <c:v>0.94038359974938412</c:v>
                </c:pt>
                <c:pt idx="1822">
                  <c:v>0.94059682006501577</c:v>
                </c:pt>
                <c:pt idx="1823">
                  <c:v>0.94081004038064742</c:v>
                </c:pt>
                <c:pt idx="1824">
                  <c:v>0.94102326069627917</c:v>
                </c:pt>
                <c:pt idx="1825">
                  <c:v>0.94123648101191082</c:v>
                </c:pt>
                <c:pt idx="1826">
                  <c:v>0.94144970132754247</c:v>
                </c:pt>
                <c:pt idx="1827">
                  <c:v>0.94166292164317411</c:v>
                </c:pt>
                <c:pt idx="1828">
                  <c:v>0.94187614195880587</c:v>
                </c:pt>
                <c:pt idx="1829">
                  <c:v>0.94208936227443751</c:v>
                </c:pt>
                <c:pt idx="1830">
                  <c:v>0.94230258259006916</c:v>
                </c:pt>
                <c:pt idx="1831">
                  <c:v>0.94251580290570081</c:v>
                </c:pt>
                <c:pt idx="1832">
                  <c:v>0.94272902322133256</c:v>
                </c:pt>
                <c:pt idx="1833">
                  <c:v>0.94294224353696421</c:v>
                </c:pt>
                <c:pt idx="1834">
                  <c:v>0.94315546385259585</c:v>
                </c:pt>
                <c:pt idx="1835">
                  <c:v>0.9433686841682275</c:v>
                </c:pt>
                <c:pt idx="1836">
                  <c:v>0.94358190448385926</c:v>
                </c:pt>
                <c:pt idx="1837">
                  <c:v>0.9437951247994909</c:v>
                </c:pt>
                <c:pt idx="1838">
                  <c:v>0.94400834511512255</c:v>
                </c:pt>
                <c:pt idx="1839">
                  <c:v>0.94422156543075419</c:v>
                </c:pt>
                <c:pt idx="1840">
                  <c:v>0.94443478574638595</c:v>
                </c:pt>
                <c:pt idx="1841">
                  <c:v>0.9446480060620176</c:v>
                </c:pt>
                <c:pt idx="1842">
                  <c:v>0.94486122637764924</c:v>
                </c:pt>
                <c:pt idx="1843">
                  <c:v>0.94507444669328089</c:v>
                </c:pt>
                <c:pt idx="1844">
                  <c:v>0.94528766700891265</c:v>
                </c:pt>
                <c:pt idx="1845">
                  <c:v>0.94550088732454429</c:v>
                </c:pt>
                <c:pt idx="1846">
                  <c:v>0.94571410764017594</c:v>
                </c:pt>
                <c:pt idx="1847">
                  <c:v>0.94592732795580758</c:v>
                </c:pt>
                <c:pt idx="1848">
                  <c:v>0.94614054827143934</c:v>
                </c:pt>
                <c:pt idx="1849">
                  <c:v>0.94635376858707099</c:v>
                </c:pt>
                <c:pt idx="1850">
                  <c:v>0.94656698890270263</c:v>
                </c:pt>
                <c:pt idx="1851">
                  <c:v>0.94678020921833428</c:v>
                </c:pt>
                <c:pt idx="1852">
                  <c:v>0.94699342953396604</c:v>
                </c:pt>
                <c:pt idx="1853">
                  <c:v>0.94720664984959768</c:v>
                </c:pt>
                <c:pt idx="1854">
                  <c:v>0.94741987016522933</c:v>
                </c:pt>
                <c:pt idx="1855">
                  <c:v>0.94763309048086097</c:v>
                </c:pt>
                <c:pt idx="1856">
                  <c:v>0.94784631079649273</c:v>
                </c:pt>
                <c:pt idx="1857">
                  <c:v>0.94805953111212438</c:v>
                </c:pt>
                <c:pt idx="1858">
                  <c:v>0.94827275142775602</c:v>
                </c:pt>
                <c:pt idx="1859">
                  <c:v>0.94848597174338767</c:v>
                </c:pt>
                <c:pt idx="1860">
                  <c:v>0.94869919205901942</c:v>
                </c:pt>
                <c:pt idx="1861">
                  <c:v>0.94891241237465107</c:v>
                </c:pt>
                <c:pt idx="1862">
                  <c:v>0.94912563269028272</c:v>
                </c:pt>
                <c:pt idx="1863">
                  <c:v>0.94933885300591436</c:v>
                </c:pt>
                <c:pt idx="1864">
                  <c:v>0.94955207332154612</c:v>
                </c:pt>
                <c:pt idx="1865">
                  <c:v>0.94976529363717777</c:v>
                </c:pt>
                <c:pt idx="1866">
                  <c:v>0.94997851395280941</c:v>
                </c:pt>
                <c:pt idx="1867">
                  <c:v>0.95019173426844106</c:v>
                </c:pt>
                <c:pt idx="1868">
                  <c:v>0.95040495458407281</c:v>
                </c:pt>
                <c:pt idx="1869">
                  <c:v>0.95061817489970446</c:v>
                </c:pt>
                <c:pt idx="1870">
                  <c:v>0.95083139521533611</c:v>
                </c:pt>
                <c:pt idx="1871">
                  <c:v>0.95104461553096775</c:v>
                </c:pt>
                <c:pt idx="1872">
                  <c:v>0.95125783584659951</c:v>
                </c:pt>
                <c:pt idx="1873">
                  <c:v>0.95147105616223115</c:v>
                </c:pt>
                <c:pt idx="1874">
                  <c:v>0.9516842764778628</c:v>
                </c:pt>
                <c:pt idx="1875">
                  <c:v>0.95189749679349445</c:v>
                </c:pt>
                <c:pt idx="1876">
                  <c:v>0.9521107171091262</c:v>
                </c:pt>
                <c:pt idx="1877">
                  <c:v>0.95232393742475785</c:v>
                </c:pt>
                <c:pt idx="1878">
                  <c:v>0.9525371577403895</c:v>
                </c:pt>
                <c:pt idx="1879">
                  <c:v>0.95275037805602114</c:v>
                </c:pt>
                <c:pt idx="1880">
                  <c:v>0.9529635983716529</c:v>
                </c:pt>
                <c:pt idx="1881">
                  <c:v>0.95317681868728454</c:v>
                </c:pt>
                <c:pt idx="1882">
                  <c:v>0.95339003900291619</c:v>
                </c:pt>
                <c:pt idx="1883">
                  <c:v>0.95360325931854784</c:v>
                </c:pt>
                <c:pt idx="1884">
                  <c:v>0.95381647963417959</c:v>
                </c:pt>
                <c:pt idx="1885">
                  <c:v>0.95402969994981124</c:v>
                </c:pt>
                <c:pt idx="1886">
                  <c:v>0.95424292026544288</c:v>
                </c:pt>
                <c:pt idx="1887">
                  <c:v>0.95445614058107453</c:v>
                </c:pt>
                <c:pt idx="1888">
                  <c:v>0.95466936089670629</c:v>
                </c:pt>
                <c:pt idx="1889">
                  <c:v>0.95488258121233793</c:v>
                </c:pt>
                <c:pt idx="1890">
                  <c:v>0.95509580152796958</c:v>
                </c:pt>
                <c:pt idx="1891">
                  <c:v>0.95530902184360122</c:v>
                </c:pt>
                <c:pt idx="1892">
                  <c:v>0.95552224215923298</c:v>
                </c:pt>
                <c:pt idx="1893">
                  <c:v>0.95573546247486463</c:v>
                </c:pt>
                <c:pt idx="1894">
                  <c:v>0.95594868279049627</c:v>
                </c:pt>
                <c:pt idx="1895">
                  <c:v>0.95616190310612792</c:v>
                </c:pt>
                <c:pt idx="1896">
                  <c:v>0.95637512342175968</c:v>
                </c:pt>
                <c:pt idx="1897">
                  <c:v>0.95658834373739132</c:v>
                </c:pt>
                <c:pt idx="1898">
                  <c:v>0.95680156405302297</c:v>
                </c:pt>
                <c:pt idx="1899">
                  <c:v>0.95701478436865461</c:v>
                </c:pt>
                <c:pt idx="1900">
                  <c:v>0.95722800468428637</c:v>
                </c:pt>
                <c:pt idx="1901">
                  <c:v>0.95744122499991802</c:v>
                </c:pt>
                <c:pt idx="1902">
                  <c:v>0.95765444531554966</c:v>
                </c:pt>
                <c:pt idx="1903">
                  <c:v>0.95786766563118131</c:v>
                </c:pt>
                <c:pt idx="1904">
                  <c:v>0.95808088594681307</c:v>
                </c:pt>
                <c:pt idx="1905">
                  <c:v>0.95829410626244471</c:v>
                </c:pt>
                <c:pt idx="1906">
                  <c:v>0.95850732657807636</c:v>
                </c:pt>
                <c:pt idx="1907">
                  <c:v>0.958720546893708</c:v>
                </c:pt>
                <c:pt idx="1908">
                  <c:v>0.95893376720933976</c:v>
                </c:pt>
                <c:pt idx="1909">
                  <c:v>0.95914698752497141</c:v>
                </c:pt>
                <c:pt idx="1910">
                  <c:v>0.95936020784060305</c:v>
                </c:pt>
                <c:pt idx="1911">
                  <c:v>0.9595734281562347</c:v>
                </c:pt>
                <c:pt idx="1912">
                  <c:v>0.95978664847186645</c:v>
                </c:pt>
                <c:pt idx="1913">
                  <c:v>0.9599998687874981</c:v>
                </c:pt>
                <c:pt idx="1914">
                  <c:v>0.96021308910312975</c:v>
                </c:pt>
                <c:pt idx="1915">
                  <c:v>0.96042630941876139</c:v>
                </c:pt>
                <c:pt idx="1916">
                  <c:v>0.96063952973439304</c:v>
                </c:pt>
                <c:pt idx="1917">
                  <c:v>0.9608527500500248</c:v>
                </c:pt>
                <c:pt idx="1918">
                  <c:v>0.96106597036565644</c:v>
                </c:pt>
                <c:pt idx="1919">
                  <c:v>0.96127919068128809</c:v>
                </c:pt>
                <c:pt idx="1920">
                  <c:v>0.96148421021554931</c:v>
                </c:pt>
                <c:pt idx="1921">
                  <c:v>0.96168922974981053</c:v>
                </c:pt>
                <c:pt idx="1922">
                  <c:v>0.96189424928407175</c:v>
                </c:pt>
                <c:pt idx="1923">
                  <c:v>0.96209926881833296</c:v>
                </c:pt>
                <c:pt idx="1924">
                  <c:v>0.96230428835259418</c:v>
                </c:pt>
                <c:pt idx="1925">
                  <c:v>0.96250930788685551</c:v>
                </c:pt>
                <c:pt idx="1926">
                  <c:v>0.96271432742111673</c:v>
                </c:pt>
                <c:pt idx="1927">
                  <c:v>0.96291114617400742</c:v>
                </c:pt>
                <c:pt idx="1928">
                  <c:v>0.96310796492689821</c:v>
                </c:pt>
                <c:pt idx="1929">
                  <c:v>0.963304783679789</c:v>
                </c:pt>
                <c:pt idx="1930">
                  <c:v>0.96350160243267979</c:v>
                </c:pt>
                <c:pt idx="1931">
                  <c:v>0.96369842118557059</c:v>
                </c:pt>
                <c:pt idx="1932">
                  <c:v>0.96389523993846138</c:v>
                </c:pt>
                <c:pt idx="1933">
                  <c:v>0.96409205869135206</c:v>
                </c:pt>
                <c:pt idx="1934">
                  <c:v>0.96428887744424285</c:v>
                </c:pt>
                <c:pt idx="1935">
                  <c:v>0.96448569619713365</c:v>
                </c:pt>
                <c:pt idx="1936">
                  <c:v>0.96468251495002444</c:v>
                </c:pt>
                <c:pt idx="1937">
                  <c:v>0.96487933370291523</c:v>
                </c:pt>
                <c:pt idx="1938">
                  <c:v>0.96507615245580602</c:v>
                </c:pt>
                <c:pt idx="1939">
                  <c:v>0.96527297120869682</c:v>
                </c:pt>
                <c:pt idx="1940">
                  <c:v>0.9654697899615875</c:v>
                </c:pt>
                <c:pt idx="1941">
                  <c:v>0.96566660871447829</c:v>
                </c:pt>
                <c:pt idx="1942">
                  <c:v>0.96586342746736908</c:v>
                </c:pt>
                <c:pt idx="1943">
                  <c:v>0.96606024622025988</c:v>
                </c:pt>
                <c:pt idx="1944">
                  <c:v>0.96623246262903928</c:v>
                </c:pt>
                <c:pt idx="1945">
                  <c:v>0.96640467903781868</c:v>
                </c:pt>
                <c:pt idx="1946">
                  <c:v>0.96657689544659819</c:v>
                </c:pt>
                <c:pt idx="1947">
                  <c:v>0.96674091107400717</c:v>
                </c:pt>
                <c:pt idx="1948">
                  <c:v>0.96690492670141615</c:v>
                </c:pt>
                <c:pt idx="1949">
                  <c:v>0.96706894232882512</c:v>
                </c:pt>
                <c:pt idx="1950">
                  <c:v>0.9672329579562341</c:v>
                </c:pt>
                <c:pt idx="1951">
                  <c:v>0.96739697358364307</c:v>
                </c:pt>
                <c:pt idx="1952">
                  <c:v>0.96756098921105205</c:v>
                </c:pt>
                <c:pt idx="1953">
                  <c:v>0.96772500483846102</c:v>
                </c:pt>
                <c:pt idx="1954">
                  <c:v>0.96788902046587</c:v>
                </c:pt>
                <c:pt idx="1955">
                  <c:v>0.96805303609327897</c:v>
                </c:pt>
                <c:pt idx="1956">
                  <c:v>0.96821705172068795</c:v>
                </c:pt>
                <c:pt idx="1957">
                  <c:v>0.96838106734809692</c:v>
                </c:pt>
                <c:pt idx="1958">
                  <c:v>0.9685450829755059</c:v>
                </c:pt>
                <c:pt idx="1959">
                  <c:v>0.96870909860291488</c:v>
                </c:pt>
                <c:pt idx="1960">
                  <c:v>0.96887311423032385</c:v>
                </c:pt>
                <c:pt idx="1961">
                  <c:v>0.96903712985773283</c:v>
                </c:pt>
                <c:pt idx="1962">
                  <c:v>0.9692011454851418</c:v>
                </c:pt>
                <c:pt idx="1963">
                  <c:v>0.96936516111255078</c:v>
                </c:pt>
                <c:pt idx="1964">
                  <c:v>0.96952917673995975</c:v>
                </c:pt>
                <c:pt idx="1965">
                  <c:v>0.96969319236736873</c:v>
                </c:pt>
                <c:pt idx="1966">
                  <c:v>0.9698572079947777</c:v>
                </c:pt>
                <c:pt idx="1967">
                  <c:v>0.97002122362218668</c:v>
                </c:pt>
                <c:pt idx="1968">
                  <c:v>0.97018523924959565</c:v>
                </c:pt>
                <c:pt idx="1969">
                  <c:v>0.97034925487700463</c:v>
                </c:pt>
                <c:pt idx="1970">
                  <c:v>0.97051327050441361</c:v>
                </c:pt>
                <c:pt idx="1971">
                  <c:v>0.97067728613182269</c:v>
                </c:pt>
                <c:pt idx="1972">
                  <c:v>0.97084130175923167</c:v>
                </c:pt>
                <c:pt idx="1973">
                  <c:v>0.97099711660527011</c:v>
                </c:pt>
                <c:pt idx="1974">
                  <c:v>0.97115293145130865</c:v>
                </c:pt>
                <c:pt idx="1975">
                  <c:v>0.9713087462973472</c:v>
                </c:pt>
                <c:pt idx="1976">
                  <c:v>0.97146456114338575</c:v>
                </c:pt>
                <c:pt idx="1977">
                  <c:v>0.9716203759894243</c:v>
                </c:pt>
                <c:pt idx="1978">
                  <c:v>0.97177619083546285</c:v>
                </c:pt>
                <c:pt idx="1979">
                  <c:v>0.97193200568150129</c:v>
                </c:pt>
                <c:pt idx="1980">
                  <c:v>0.97208782052753984</c:v>
                </c:pt>
                <c:pt idx="1981">
                  <c:v>0.97224363537357839</c:v>
                </c:pt>
                <c:pt idx="1982">
                  <c:v>0.97239945021961693</c:v>
                </c:pt>
                <c:pt idx="1983">
                  <c:v>0.97255526506565548</c:v>
                </c:pt>
                <c:pt idx="1984">
                  <c:v>0.97271107991169403</c:v>
                </c:pt>
                <c:pt idx="1985">
                  <c:v>0.97286689475773247</c:v>
                </c:pt>
                <c:pt idx="1986">
                  <c:v>0.97302270960377102</c:v>
                </c:pt>
                <c:pt idx="1987">
                  <c:v>0.97317852444980957</c:v>
                </c:pt>
                <c:pt idx="1988">
                  <c:v>0.97333433929584812</c:v>
                </c:pt>
                <c:pt idx="1989">
                  <c:v>0.97349015414188667</c:v>
                </c:pt>
                <c:pt idx="1990">
                  <c:v>0.97364596898792521</c:v>
                </c:pt>
                <c:pt idx="1991">
                  <c:v>0.97380178383396365</c:v>
                </c:pt>
                <c:pt idx="1992">
                  <c:v>0.9739575986800022</c:v>
                </c:pt>
                <c:pt idx="1993">
                  <c:v>0.97411341352604075</c:v>
                </c:pt>
                <c:pt idx="1994">
                  <c:v>0.9742692283720793</c:v>
                </c:pt>
                <c:pt idx="1995">
                  <c:v>0.97442504321811785</c:v>
                </c:pt>
                <c:pt idx="1996">
                  <c:v>0.9745808580641564</c:v>
                </c:pt>
                <c:pt idx="1997">
                  <c:v>0.97473667291019483</c:v>
                </c:pt>
                <c:pt idx="1998">
                  <c:v>0.97489248775623338</c:v>
                </c:pt>
                <c:pt idx="1999">
                  <c:v>0.97504830260227193</c:v>
                </c:pt>
                <c:pt idx="2000">
                  <c:v>0.97520411744831048</c:v>
                </c:pt>
                <c:pt idx="2001">
                  <c:v>0.97535993229434903</c:v>
                </c:pt>
                <c:pt idx="2002">
                  <c:v>0.97551574714038758</c:v>
                </c:pt>
                <c:pt idx="2003">
                  <c:v>0.97567156198642602</c:v>
                </c:pt>
                <c:pt idx="2004">
                  <c:v>0.97582737683246457</c:v>
                </c:pt>
                <c:pt idx="2005">
                  <c:v>0.97598319167850311</c:v>
                </c:pt>
                <c:pt idx="2006">
                  <c:v>0.97613900652454166</c:v>
                </c:pt>
                <c:pt idx="2007">
                  <c:v>0.97629482137058021</c:v>
                </c:pt>
                <c:pt idx="2008">
                  <c:v>0.97645063621661876</c:v>
                </c:pt>
                <c:pt idx="2009">
                  <c:v>0.9766064510626572</c:v>
                </c:pt>
                <c:pt idx="2010">
                  <c:v>0.97676226590869575</c:v>
                </c:pt>
                <c:pt idx="2011">
                  <c:v>0.9769180807547343</c:v>
                </c:pt>
                <c:pt idx="2012">
                  <c:v>0.97707389560077285</c:v>
                </c:pt>
                <c:pt idx="2013">
                  <c:v>0.97722971044681139</c:v>
                </c:pt>
                <c:pt idx="2014">
                  <c:v>0.97738552529284994</c:v>
                </c:pt>
                <c:pt idx="2015">
                  <c:v>0.97754134013888838</c:v>
                </c:pt>
                <c:pt idx="2016">
                  <c:v>0.97769715498492693</c:v>
                </c:pt>
                <c:pt idx="2017">
                  <c:v>0.97785296983096548</c:v>
                </c:pt>
                <c:pt idx="2018">
                  <c:v>0.97800878467700403</c:v>
                </c:pt>
                <c:pt idx="2019">
                  <c:v>0.97816459952304258</c:v>
                </c:pt>
                <c:pt idx="2020">
                  <c:v>0.97832041436908113</c:v>
                </c:pt>
                <c:pt idx="2021">
                  <c:v>0.97847622921511956</c:v>
                </c:pt>
                <c:pt idx="2022">
                  <c:v>0.97863204406115811</c:v>
                </c:pt>
                <c:pt idx="2023">
                  <c:v>0.97878785890719666</c:v>
                </c:pt>
                <c:pt idx="2024">
                  <c:v>0.97894367375323521</c:v>
                </c:pt>
                <c:pt idx="2025">
                  <c:v>0.97909948859927376</c:v>
                </c:pt>
                <c:pt idx="2026">
                  <c:v>0.97925530344531231</c:v>
                </c:pt>
                <c:pt idx="2027">
                  <c:v>0.97941111829135075</c:v>
                </c:pt>
                <c:pt idx="2028">
                  <c:v>0.9795669331373893</c:v>
                </c:pt>
                <c:pt idx="2029">
                  <c:v>0.97972274798342784</c:v>
                </c:pt>
                <c:pt idx="2030">
                  <c:v>0.97987856282946639</c:v>
                </c:pt>
                <c:pt idx="2031">
                  <c:v>0.98003437767550494</c:v>
                </c:pt>
                <c:pt idx="2032">
                  <c:v>0.98019019252154349</c:v>
                </c:pt>
                <c:pt idx="2033">
                  <c:v>0.98034600736758193</c:v>
                </c:pt>
                <c:pt idx="2034">
                  <c:v>0.98050182221362048</c:v>
                </c:pt>
                <c:pt idx="2035">
                  <c:v>0.98065763705965903</c:v>
                </c:pt>
                <c:pt idx="2036">
                  <c:v>0.98081345190569758</c:v>
                </c:pt>
                <c:pt idx="2037">
                  <c:v>0.98096926675173612</c:v>
                </c:pt>
                <c:pt idx="2038">
                  <c:v>0.98112508159777467</c:v>
                </c:pt>
                <c:pt idx="2039">
                  <c:v>0.98128089644381322</c:v>
                </c:pt>
                <c:pt idx="2040">
                  <c:v>0.98143671128985166</c:v>
                </c:pt>
                <c:pt idx="2041">
                  <c:v>0.98159252613589021</c:v>
                </c:pt>
                <c:pt idx="2042">
                  <c:v>0.98174014020055833</c:v>
                </c:pt>
                <c:pt idx="2043">
                  <c:v>0.98188775426522634</c:v>
                </c:pt>
                <c:pt idx="2044">
                  <c:v>0.98203536832989446</c:v>
                </c:pt>
                <c:pt idx="2045">
                  <c:v>0.9821583800504512</c:v>
                </c:pt>
                <c:pt idx="2046">
                  <c:v>0.98228139177100793</c:v>
                </c:pt>
                <c:pt idx="2047">
                  <c:v>0.98240440349156466</c:v>
                </c:pt>
                <c:pt idx="2048">
                  <c:v>0.98252741521212139</c:v>
                </c:pt>
                <c:pt idx="2049">
                  <c:v>0.98265042693267812</c:v>
                </c:pt>
                <c:pt idx="2050">
                  <c:v>0.98277343865323485</c:v>
                </c:pt>
                <c:pt idx="2051">
                  <c:v>0.98289645037379159</c:v>
                </c:pt>
                <c:pt idx="2052">
                  <c:v>0.98301946209434832</c:v>
                </c:pt>
                <c:pt idx="2053">
                  <c:v>0.98314247381490505</c:v>
                </c:pt>
                <c:pt idx="2054">
                  <c:v>0.98326548553546178</c:v>
                </c:pt>
                <c:pt idx="2055">
                  <c:v>0.98338849725601851</c:v>
                </c:pt>
                <c:pt idx="2056">
                  <c:v>0.98351150897657524</c:v>
                </c:pt>
                <c:pt idx="2057">
                  <c:v>0.98363452069713198</c:v>
                </c:pt>
                <c:pt idx="2058">
                  <c:v>0.98375753241768871</c:v>
                </c:pt>
                <c:pt idx="2059">
                  <c:v>0.98388054413824544</c:v>
                </c:pt>
                <c:pt idx="2060">
                  <c:v>0.98400355585880228</c:v>
                </c:pt>
                <c:pt idx="2061">
                  <c:v>0.98412656757935901</c:v>
                </c:pt>
                <c:pt idx="2062">
                  <c:v>0.98424137851854521</c:v>
                </c:pt>
                <c:pt idx="2063">
                  <c:v>0.98435618945773151</c:v>
                </c:pt>
                <c:pt idx="2064">
                  <c:v>0.98447100039691782</c:v>
                </c:pt>
                <c:pt idx="2065">
                  <c:v>0.98458581133610412</c:v>
                </c:pt>
                <c:pt idx="2066">
                  <c:v>0.98470062227529043</c:v>
                </c:pt>
                <c:pt idx="2067">
                  <c:v>0.98481543321447662</c:v>
                </c:pt>
                <c:pt idx="2068">
                  <c:v>0.98493024415366293</c:v>
                </c:pt>
                <c:pt idx="2069">
                  <c:v>0.98504505509284923</c:v>
                </c:pt>
                <c:pt idx="2070">
                  <c:v>0.98515986603203554</c:v>
                </c:pt>
                <c:pt idx="2071">
                  <c:v>0.98527467697122184</c:v>
                </c:pt>
                <c:pt idx="2072">
                  <c:v>0.98538948791040815</c:v>
                </c:pt>
                <c:pt idx="2073">
                  <c:v>0.98550429884959434</c:v>
                </c:pt>
                <c:pt idx="2074">
                  <c:v>0.98561910978878065</c:v>
                </c:pt>
                <c:pt idx="2075">
                  <c:v>0.98572571994659652</c:v>
                </c:pt>
                <c:pt idx="2076">
                  <c:v>0.9858323301044124</c:v>
                </c:pt>
                <c:pt idx="2077">
                  <c:v>0.98593894026222817</c:v>
                </c:pt>
                <c:pt idx="2078">
                  <c:v>0.98604555042004405</c:v>
                </c:pt>
                <c:pt idx="2079">
                  <c:v>0.98615216057785982</c:v>
                </c:pt>
                <c:pt idx="2080">
                  <c:v>0.98625877073567569</c:v>
                </c:pt>
                <c:pt idx="2081">
                  <c:v>0.98636538089349157</c:v>
                </c:pt>
                <c:pt idx="2082">
                  <c:v>0.98647199105130734</c:v>
                </c:pt>
                <c:pt idx="2083">
                  <c:v>0.98657860120912322</c:v>
                </c:pt>
                <c:pt idx="2084">
                  <c:v>0.9866852113669391</c:v>
                </c:pt>
                <c:pt idx="2085">
                  <c:v>0.98679182152475486</c:v>
                </c:pt>
                <c:pt idx="2086">
                  <c:v>0.98689843168257074</c:v>
                </c:pt>
                <c:pt idx="2087">
                  <c:v>0.98700504184038651</c:v>
                </c:pt>
                <c:pt idx="2088">
                  <c:v>0.98711165199820239</c:v>
                </c:pt>
                <c:pt idx="2089">
                  <c:v>0.98721826215601827</c:v>
                </c:pt>
                <c:pt idx="2090">
                  <c:v>0.98732487231383403</c:v>
                </c:pt>
                <c:pt idx="2091">
                  <c:v>0.98743148247164991</c:v>
                </c:pt>
                <c:pt idx="2092">
                  <c:v>0.98752989184809525</c:v>
                </c:pt>
                <c:pt idx="2093">
                  <c:v>0.98762830122454071</c:v>
                </c:pt>
                <c:pt idx="2094">
                  <c:v>0.98772671060098605</c:v>
                </c:pt>
                <c:pt idx="2095">
                  <c:v>0.98780543810214239</c:v>
                </c:pt>
                <c:pt idx="2096">
                  <c:v>0.98788416560329873</c:v>
                </c:pt>
                <c:pt idx="2097">
                  <c:v>0.987962073026318</c:v>
                </c:pt>
                <c:pt idx="2098">
                  <c:v>0.98803998044933716</c:v>
                </c:pt>
                <c:pt idx="2099">
                  <c:v>0.98811788787235644</c:v>
                </c:pt>
                <c:pt idx="2100">
                  <c:v>0.98819579529537571</c:v>
                </c:pt>
                <c:pt idx="2101">
                  <c:v>0.98826960232770977</c:v>
                </c:pt>
                <c:pt idx="2102">
                  <c:v>0.98834340936004383</c:v>
                </c:pt>
                <c:pt idx="2103">
                  <c:v>0.9884172163923779</c:v>
                </c:pt>
                <c:pt idx="2104">
                  <c:v>0.98849102342471196</c:v>
                </c:pt>
                <c:pt idx="2105">
                  <c:v>0.98856483045704591</c:v>
                </c:pt>
                <c:pt idx="2106">
                  <c:v>0.98863863748937997</c:v>
                </c:pt>
                <c:pt idx="2107">
                  <c:v>0.98871244452171403</c:v>
                </c:pt>
                <c:pt idx="2108">
                  <c:v>0.98878625155404809</c:v>
                </c:pt>
                <c:pt idx="2109">
                  <c:v>0.98886005858638215</c:v>
                </c:pt>
                <c:pt idx="2110">
                  <c:v>0.9889338656187161</c:v>
                </c:pt>
                <c:pt idx="2111">
                  <c:v>0.98900767265105016</c:v>
                </c:pt>
                <c:pt idx="2112">
                  <c:v>0.98908147968338422</c:v>
                </c:pt>
                <c:pt idx="2113">
                  <c:v>0.98915036624689601</c:v>
                </c:pt>
                <c:pt idx="2114">
                  <c:v>0.98921925281040779</c:v>
                </c:pt>
                <c:pt idx="2115">
                  <c:v>0.98928813937391957</c:v>
                </c:pt>
                <c:pt idx="2116">
                  <c:v>0.98935702593743136</c:v>
                </c:pt>
                <c:pt idx="2117">
                  <c:v>0.98941607156329858</c:v>
                </c:pt>
                <c:pt idx="2118">
                  <c:v>0.98947511718916581</c:v>
                </c:pt>
                <c:pt idx="2119">
                  <c:v>0.98953416281503304</c:v>
                </c:pt>
                <c:pt idx="2120">
                  <c:v>0.98959320844090026</c:v>
                </c:pt>
                <c:pt idx="2121">
                  <c:v>0.98965225406676749</c:v>
                </c:pt>
                <c:pt idx="2122">
                  <c:v>0.98971129969263472</c:v>
                </c:pt>
                <c:pt idx="2123">
                  <c:v>0.98977034531850194</c:v>
                </c:pt>
                <c:pt idx="2124">
                  <c:v>0.98982939094436917</c:v>
                </c:pt>
                <c:pt idx="2125">
                  <c:v>0.9898884365702364</c:v>
                </c:pt>
                <c:pt idx="2126">
                  <c:v>0.98994748219610362</c:v>
                </c:pt>
                <c:pt idx="2127">
                  <c:v>0.99000652782197085</c:v>
                </c:pt>
                <c:pt idx="2128">
                  <c:v>0.99006557344783808</c:v>
                </c:pt>
                <c:pt idx="2129">
                  <c:v>0.9901246190737053</c:v>
                </c:pt>
                <c:pt idx="2130">
                  <c:v>0.99018366469957253</c:v>
                </c:pt>
                <c:pt idx="2131">
                  <c:v>0.99024271032543976</c:v>
                </c:pt>
                <c:pt idx="2132">
                  <c:v>0.99030175595130709</c:v>
                </c:pt>
                <c:pt idx="2133">
                  <c:v>0.99036080157717432</c:v>
                </c:pt>
                <c:pt idx="2134">
                  <c:v>0.99041984720304155</c:v>
                </c:pt>
                <c:pt idx="2135">
                  <c:v>0.99047889282890877</c:v>
                </c:pt>
                <c:pt idx="2136">
                  <c:v>0.990537938454776</c:v>
                </c:pt>
                <c:pt idx="2137">
                  <c:v>0.99059698408064323</c:v>
                </c:pt>
                <c:pt idx="2138">
                  <c:v>0.99065438955023633</c:v>
                </c:pt>
                <c:pt idx="2139">
                  <c:v>0.99071179501982953</c:v>
                </c:pt>
                <c:pt idx="2140">
                  <c:v>0.99076920048942263</c:v>
                </c:pt>
                <c:pt idx="2141">
                  <c:v>0.99082660595901573</c:v>
                </c:pt>
                <c:pt idx="2142">
                  <c:v>0.99088401142860894</c:v>
                </c:pt>
                <c:pt idx="2143">
                  <c:v>0.99094141689820203</c:v>
                </c:pt>
                <c:pt idx="2144">
                  <c:v>0.99099882236779524</c:v>
                </c:pt>
                <c:pt idx="2145">
                  <c:v>0.99105622783738834</c:v>
                </c:pt>
                <c:pt idx="2146">
                  <c:v>0.99111363330698143</c:v>
                </c:pt>
                <c:pt idx="2147">
                  <c:v>0.99117103877657464</c:v>
                </c:pt>
                <c:pt idx="2148">
                  <c:v>0.99122844424616774</c:v>
                </c:pt>
                <c:pt idx="2149">
                  <c:v>0.99128584971576095</c:v>
                </c:pt>
                <c:pt idx="2150">
                  <c:v>0.99134325518535404</c:v>
                </c:pt>
                <c:pt idx="2151">
                  <c:v>0.99140066065494725</c:v>
                </c:pt>
                <c:pt idx="2152">
                  <c:v>0.99145806612454035</c:v>
                </c:pt>
                <c:pt idx="2153">
                  <c:v>0.99151547159413345</c:v>
                </c:pt>
                <c:pt idx="2154">
                  <c:v>0.99157287706372665</c:v>
                </c:pt>
                <c:pt idx="2155">
                  <c:v>0.99163028253331975</c:v>
                </c:pt>
                <c:pt idx="2156">
                  <c:v>0.99168768800291296</c:v>
                </c:pt>
                <c:pt idx="2157">
                  <c:v>0.99174509347250606</c:v>
                </c:pt>
                <c:pt idx="2158">
                  <c:v>0.99180249894209915</c:v>
                </c:pt>
                <c:pt idx="2159">
                  <c:v>0.99185990441169236</c:v>
                </c:pt>
                <c:pt idx="2160">
                  <c:v>0.99191730988128546</c:v>
                </c:pt>
                <c:pt idx="2161">
                  <c:v>0.99197471535087867</c:v>
                </c:pt>
                <c:pt idx="2162">
                  <c:v>0.99203212082047176</c:v>
                </c:pt>
                <c:pt idx="2163">
                  <c:v>0.99208952629006497</c:v>
                </c:pt>
                <c:pt idx="2164">
                  <c:v>0.99214693175965807</c:v>
                </c:pt>
                <c:pt idx="2165">
                  <c:v>0.99220433722925117</c:v>
                </c:pt>
                <c:pt idx="2166">
                  <c:v>0.99226174269884437</c:v>
                </c:pt>
                <c:pt idx="2167">
                  <c:v>0.99231914816843747</c:v>
                </c:pt>
                <c:pt idx="2168">
                  <c:v>0.99237655363803068</c:v>
                </c:pt>
                <c:pt idx="2169">
                  <c:v>0.99243395910762378</c:v>
                </c:pt>
                <c:pt idx="2170">
                  <c:v>0.99249136457721687</c:v>
                </c:pt>
                <c:pt idx="2171">
                  <c:v>0.99254877004681008</c:v>
                </c:pt>
                <c:pt idx="2172">
                  <c:v>0.99260207512571796</c:v>
                </c:pt>
                <c:pt idx="2173">
                  <c:v>0.99265538020462585</c:v>
                </c:pt>
                <c:pt idx="2174">
                  <c:v>0.99270868528353384</c:v>
                </c:pt>
                <c:pt idx="2175">
                  <c:v>0.99276199036244173</c:v>
                </c:pt>
                <c:pt idx="2176">
                  <c:v>0.99281529544134961</c:v>
                </c:pt>
                <c:pt idx="2177">
                  <c:v>0.9928686005202576</c:v>
                </c:pt>
                <c:pt idx="2178">
                  <c:v>0.99292190559916549</c:v>
                </c:pt>
                <c:pt idx="2179">
                  <c:v>0.99297521067807337</c:v>
                </c:pt>
                <c:pt idx="2180">
                  <c:v>0.99302851575698137</c:v>
                </c:pt>
                <c:pt idx="2181">
                  <c:v>0.99308182083588925</c:v>
                </c:pt>
                <c:pt idx="2182">
                  <c:v>0.99313512591479713</c:v>
                </c:pt>
                <c:pt idx="2183">
                  <c:v>0.99318843099370513</c:v>
                </c:pt>
                <c:pt idx="2184">
                  <c:v>0.99324173607261301</c:v>
                </c:pt>
                <c:pt idx="2185">
                  <c:v>0.9932950411515209</c:v>
                </c:pt>
                <c:pt idx="2186">
                  <c:v>0.99334834623042878</c:v>
                </c:pt>
                <c:pt idx="2187">
                  <c:v>0.99340165130933678</c:v>
                </c:pt>
                <c:pt idx="2188">
                  <c:v>0.99345495638824466</c:v>
                </c:pt>
                <c:pt idx="2189">
                  <c:v>0.99350826146715254</c:v>
                </c:pt>
                <c:pt idx="2190">
                  <c:v>0.99356156654606054</c:v>
                </c:pt>
                <c:pt idx="2191">
                  <c:v>0.99361487162496842</c:v>
                </c:pt>
                <c:pt idx="2192">
                  <c:v>0.9936681767038763</c:v>
                </c:pt>
                <c:pt idx="2193">
                  <c:v>0.9937214817827843</c:v>
                </c:pt>
                <c:pt idx="2194">
                  <c:v>0.99377478686169218</c:v>
                </c:pt>
                <c:pt idx="2195">
                  <c:v>0.99382809194060007</c:v>
                </c:pt>
                <c:pt idx="2196">
                  <c:v>0.99388139701950806</c:v>
                </c:pt>
                <c:pt idx="2197">
                  <c:v>0.99393470209841595</c:v>
                </c:pt>
                <c:pt idx="2198">
                  <c:v>0.99398800717732383</c:v>
                </c:pt>
                <c:pt idx="2199">
                  <c:v>0.99404131225623182</c:v>
                </c:pt>
                <c:pt idx="2200">
                  <c:v>0.99409461733513971</c:v>
                </c:pt>
                <c:pt idx="2201">
                  <c:v>0.99414792241404759</c:v>
                </c:pt>
                <c:pt idx="2202">
                  <c:v>0.99420122749295547</c:v>
                </c:pt>
                <c:pt idx="2203">
                  <c:v>0.99425453257186347</c:v>
                </c:pt>
                <c:pt idx="2204">
                  <c:v>0.99430783765077135</c:v>
                </c:pt>
                <c:pt idx="2205">
                  <c:v>0.99436114272967924</c:v>
                </c:pt>
                <c:pt idx="2206">
                  <c:v>0.99441034741790202</c:v>
                </c:pt>
                <c:pt idx="2207">
                  <c:v>0.99445955210612469</c:v>
                </c:pt>
                <c:pt idx="2208">
                  <c:v>0.99450875679434736</c:v>
                </c:pt>
                <c:pt idx="2209">
                  <c:v>0.99455796148257003</c:v>
                </c:pt>
                <c:pt idx="2210">
                  <c:v>0.9946071661707927</c:v>
                </c:pt>
                <c:pt idx="2211">
                  <c:v>0.99465637085901548</c:v>
                </c:pt>
                <c:pt idx="2212">
                  <c:v>0.99470557554723815</c:v>
                </c:pt>
                <c:pt idx="2213">
                  <c:v>0.99475478023546082</c:v>
                </c:pt>
                <c:pt idx="2214">
                  <c:v>0.99480398492368349</c:v>
                </c:pt>
                <c:pt idx="2215">
                  <c:v>0.99485318961190627</c:v>
                </c:pt>
                <c:pt idx="2216">
                  <c:v>0.99490239430012894</c:v>
                </c:pt>
                <c:pt idx="2217">
                  <c:v>0.99495159898835162</c:v>
                </c:pt>
                <c:pt idx="2218">
                  <c:v>0.99500080367657429</c:v>
                </c:pt>
                <c:pt idx="2219">
                  <c:v>0.99505000836479696</c:v>
                </c:pt>
                <c:pt idx="2220">
                  <c:v>0.99509921305301974</c:v>
                </c:pt>
                <c:pt idx="2221">
                  <c:v>0.99514841774124241</c:v>
                </c:pt>
                <c:pt idx="2222">
                  <c:v>0.99519762242946508</c:v>
                </c:pt>
                <c:pt idx="2223">
                  <c:v>0.99524682711768775</c:v>
                </c:pt>
                <c:pt idx="2224">
                  <c:v>0.99529603180591042</c:v>
                </c:pt>
                <c:pt idx="2225">
                  <c:v>0.9953452364941332</c:v>
                </c:pt>
                <c:pt idx="2226">
                  <c:v>0.99539444118235587</c:v>
                </c:pt>
                <c:pt idx="2227">
                  <c:v>0.99544364587057854</c:v>
                </c:pt>
                <c:pt idx="2228">
                  <c:v>0.99549285055880121</c:v>
                </c:pt>
                <c:pt idx="2229">
                  <c:v>0.99554205524702388</c:v>
                </c:pt>
                <c:pt idx="2230">
                  <c:v>0.99559125993524666</c:v>
                </c:pt>
                <c:pt idx="2231">
                  <c:v>0.99564046462346933</c:v>
                </c:pt>
                <c:pt idx="2232">
                  <c:v>0.995689669311692</c:v>
                </c:pt>
                <c:pt idx="2233">
                  <c:v>0.99573887399991468</c:v>
                </c:pt>
                <c:pt idx="2234">
                  <c:v>0.99578807868813746</c:v>
                </c:pt>
                <c:pt idx="2235">
                  <c:v>0.99583728337636013</c:v>
                </c:pt>
                <c:pt idx="2236">
                  <c:v>0.9958864880645828</c:v>
                </c:pt>
                <c:pt idx="2237">
                  <c:v>0.99593569275280547</c:v>
                </c:pt>
                <c:pt idx="2238">
                  <c:v>0.99598489744102814</c:v>
                </c:pt>
                <c:pt idx="2239">
                  <c:v>0.99603410212925092</c:v>
                </c:pt>
                <c:pt idx="2240">
                  <c:v>0.99608330681747359</c:v>
                </c:pt>
                <c:pt idx="2241">
                  <c:v>0.99613251150569626</c:v>
                </c:pt>
                <c:pt idx="2242">
                  <c:v>0.99618171619391893</c:v>
                </c:pt>
                <c:pt idx="2243">
                  <c:v>0.9962309208821416</c:v>
                </c:pt>
                <c:pt idx="2244">
                  <c:v>0.99628012557036438</c:v>
                </c:pt>
                <c:pt idx="2245">
                  <c:v>0.99632933025858705</c:v>
                </c:pt>
                <c:pt idx="2246">
                  <c:v>0.99637853494680972</c:v>
                </c:pt>
                <c:pt idx="2247">
                  <c:v>0.99642773963503239</c:v>
                </c:pt>
                <c:pt idx="2248">
                  <c:v>0.99647694432325506</c:v>
                </c:pt>
                <c:pt idx="2249">
                  <c:v>0.99652614901147785</c:v>
                </c:pt>
                <c:pt idx="2250">
                  <c:v>0.99657535369970052</c:v>
                </c:pt>
                <c:pt idx="2251">
                  <c:v>0.99661471745027863</c:v>
                </c:pt>
                <c:pt idx="2252">
                  <c:v>0.99664916073203458</c:v>
                </c:pt>
                <c:pt idx="2253">
                  <c:v>0.99668360401379041</c:v>
                </c:pt>
                <c:pt idx="2254">
                  <c:v>0.99671312682672408</c:v>
                </c:pt>
                <c:pt idx="2255">
                  <c:v>0.99674264963965764</c:v>
                </c:pt>
                <c:pt idx="2256">
                  <c:v>0.99677217245259131</c:v>
                </c:pt>
                <c:pt idx="2257">
                  <c:v>0.99680169526552487</c:v>
                </c:pt>
                <c:pt idx="2258">
                  <c:v>0.99683121807845854</c:v>
                </c:pt>
                <c:pt idx="2259">
                  <c:v>0.99686074089139209</c:v>
                </c:pt>
                <c:pt idx="2260">
                  <c:v>0.99689026370432576</c:v>
                </c:pt>
                <c:pt idx="2261">
                  <c:v>0.99691978651725932</c:v>
                </c:pt>
                <c:pt idx="2262">
                  <c:v>0.99694930933019299</c:v>
                </c:pt>
                <c:pt idx="2263">
                  <c:v>0.99697883214312655</c:v>
                </c:pt>
                <c:pt idx="2264">
                  <c:v>0.99700835495606022</c:v>
                </c:pt>
                <c:pt idx="2265">
                  <c:v>0.99703787776899377</c:v>
                </c:pt>
                <c:pt idx="2266">
                  <c:v>0.99706740058192744</c:v>
                </c:pt>
                <c:pt idx="2267">
                  <c:v>0.99709692339486111</c:v>
                </c:pt>
                <c:pt idx="2268">
                  <c:v>0.99712644620779467</c:v>
                </c:pt>
                <c:pt idx="2269">
                  <c:v>0.99715596902072834</c:v>
                </c:pt>
                <c:pt idx="2270">
                  <c:v>0.9971854918336619</c:v>
                </c:pt>
                <c:pt idx="2271">
                  <c:v>0.99721501464659557</c:v>
                </c:pt>
                <c:pt idx="2272">
                  <c:v>0.99724453745952912</c:v>
                </c:pt>
                <c:pt idx="2273">
                  <c:v>0.99727406027246279</c:v>
                </c:pt>
                <c:pt idx="2274">
                  <c:v>0.99730358308539635</c:v>
                </c:pt>
                <c:pt idx="2275">
                  <c:v>0.99733310589833002</c:v>
                </c:pt>
                <c:pt idx="2276">
                  <c:v>0.99736262871126358</c:v>
                </c:pt>
                <c:pt idx="2277">
                  <c:v>0.99739215152419725</c:v>
                </c:pt>
                <c:pt idx="2278">
                  <c:v>0.9974216743371308</c:v>
                </c:pt>
                <c:pt idx="2279">
                  <c:v>0.99745119715006447</c:v>
                </c:pt>
                <c:pt idx="2280">
                  <c:v>0.99748071996299803</c:v>
                </c:pt>
                <c:pt idx="2281">
                  <c:v>0.9975102427759317</c:v>
                </c:pt>
                <c:pt idx="2282">
                  <c:v>0.99753976558886526</c:v>
                </c:pt>
                <c:pt idx="2283">
                  <c:v>0.99756928840179893</c:v>
                </c:pt>
                <c:pt idx="2284">
                  <c:v>0.99759881121473259</c:v>
                </c:pt>
                <c:pt idx="2285">
                  <c:v>0.99762833402766615</c:v>
                </c:pt>
                <c:pt idx="2286">
                  <c:v>0.99765785684059982</c:v>
                </c:pt>
                <c:pt idx="2287">
                  <c:v>0.99768737965353338</c:v>
                </c:pt>
                <c:pt idx="2288">
                  <c:v>0.99771690246646705</c:v>
                </c:pt>
                <c:pt idx="2289">
                  <c:v>0.99774642527940061</c:v>
                </c:pt>
                <c:pt idx="2290">
                  <c:v>0.99777594809233427</c:v>
                </c:pt>
                <c:pt idx="2291">
                  <c:v>0.99780547090526783</c:v>
                </c:pt>
                <c:pt idx="2292">
                  <c:v>0.9978349937182015</c:v>
                </c:pt>
                <c:pt idx="2293">
                  <c:v>0.99786451653113506</c:v>
                </c:pt>
                <c:pt idx="2294">
                  <c:v>0.99789403934406873</c:v>
                </c:pt>
                <c:pt idx="2295">
                  <c:v>0.99792356215700229</c:v>
                </c:pt>
                <c:pt idx="2296">
                  <c:v>0.99795308496993596</c:v>
                </c:pt>
                <c:pt idx="2297">
                  <c:v>0.99798260778286951</c:v>
                </c:pt>
                <c:pt idx="2298">
                  <c:v>0.99801213059580318</c:v>
                </c:pt>
                <c:pt idx="2299">
                  <c:v>0.99804165340873674</c:v>
                </c:pt>
                <c:pt idx="2300">
                  <c:v>0.99807117622167041</c:v>
                </c:pt>
                <c:pt idx="2301">
                  <c:v>0.99810069903460397</c:v>
                </c:pt>
                <c:pt idx="2302">
                  <c:v>0.99813022184753764</c:v>
                </c:pt>
                <c:pt idx="2303">
                  <c:v>0.9981597446604713</c:v>
                </c:pt>
                <c:pt idx="2304">
                  <c:v>0.99818926747340486</c:v>
                </c:pt>
                <c:pt idx="2305">
                  <c:v>0.99821879028633853</c:v>
                </c:pt>
                <c:pt idx="2306">
                  <c:v>0.99824831309927209</c:v>
                </c:pt>
                <c:pt idx="2307">
                  <c:v>0.99827783591220576</c:v>
                </c:pt>
                <c:pt idx="2308">
                  <c:v>0.99830243825631704</c:v>
                </c:pt>
                <c:pt idx="2309">
                  <c:v>0.99832704060042843</c:v>
                </c:pt>
                <c:pt idx="2310">
                  <c:v>0.99835164294453971</c:v>
                </c:pt>
                <c:pt idx="2311">
                  <c:v>0.9983762452886511</c:v>
                </c:pt>
                <c:pt idx="2312">
                  <c:v>0.99840084763276249</c:v>
                </c:pt>
                <c:pt idx="2313">
                  <c:v>0.99842544997687377</c:v>
                </c:pt>
                <c:pt idx="2314">
                  <c:v>0.99845005232098516</c:v>
                </c:pt>
                <c:pt idx="2315">
                  <c:v>0.99847465466509644</c:v>
                </c:pt>
                <c:pt idx="2316">
                  <c:v>0.99849925700920783</c:v>
                </c:pt>
                <c:pt idx="2317">
                  <c:v>0.99852385935331922</c:v>
                </c:pt>
                <c:pt idx="2318">
                  <c:v>0.9985484616974305</c:v>
                </c:pt>
                <c:pt idx="2319">
                  <c:v>0.99857306404154189</c:v>
                </c:pt>
                <c:pt idx="2320">
                  <c:v>0.99859766638565317</c:v>
                </c:pt>
                <c:pt idx="2321">
                  <c:v>0.99862226872976456</c:v>
                </c:pt>
                <c:pt idx="2322">
                  <c:v>0.99864687107387595</c:v>
                </c:pt>
                <c:pt idx="2323">
                  <c:v>0.99867147341798723</c:v>
                </c:pt>
                <c:pt idx="2324">
                  <c:v>0.99869607576209862</c:v>
                </c:pt>
                <c:pt idx="2325">
                  <c:v>0.99872067810621001</c:v>
                </c:pt>
                <c:pt idx="2326">
                  <c:v>0.99874528045032129</c:v>
                </c:pt>
                <c:pt idx="2327">
                  <c:v>0.99876988279443268</c:v>
                </c:pt>
                <c:pt idx="2328">
                  <c:v>0.99879448513854396</c:v>
                </c:pt>
                <c:pt idx="2329">
                  <c:v>0.99881908748265535</c:v>
                </c:pt>
                <c:pt idx="2330">
                  <c:v>0.99884368982676675</c:v>
                </c:pt>
                <c:pt idx="2331">
                  <c:v>0.99886829217087802</c:v>
                </c:pt>
                <c:pt idx="2332">
                  <c:v>0.99889289451498942</c:v>
                </c:pt>
                <c:pt idx="2333">
                  <c:v>0.9989174968591007</c:v>
                </c:pt>
                <c:pt idx="2334">
                  <c:v>0.99894209920321209</c:v>
                </c:pt>
                <c:pt idx="2335">
                  <c:v>0.99896670154732348</c:v>
                </c:pt>
                <c:pt idx="2336">
                  <c:v>0.99899130389143476</c:v>
                </c:pt>
                <c:pt idx="2337">
                  <c:v>0.99901590623554615</c:v>
                </c:pt>
                <c:pt idx="2338">
                  <c:v>0.99904050857965743</c:v>
                </c:pt>
                <c:pt idx="2339">
                  <c:v>0.99906511092376882</c:v>
                </c:pt>
                <c:pt idx="2340">
                  <c:v>0.99908971326788021</c:v>
                </c:pt>
                <c:pt idx="2341">
                  <c:v>0.99911431561199149</c:v>
                </c:pt>
                <c:pt idx="2342">
                  <c:v>0.99913891795610288</c:v>
                </c:pt>
                <c:pt idx="2343">
                  <c:v>0.99916352030021416</c:v>
                </c:pt>
                <c:pt idx="2344">
                  <c:v>0.99918812264432555</c:v>
                </c:pt>
                <c:pt idx="2345">
                  <c:v>0.99921272498843694</c:v>
                </c:pt>
                <c:pt idx="2346">
                  <c:v>0.99923732733254822</c:v>
                </c:pt>
                <c:pt idx="2347">
                  <c:v>0.99926192967665961</c:v>
                </c:pt>
                <c:pt idx="2348">
                  <c:v>0.99928653202077089</c:v>
                </c:pt>
                <c:pt idx="2349">
                  <c:v>0.99931113436488228</c:v>
                </c:pt>
                <c:pt idx="2350">
                  <c:v>0.99933573670899367</c:v>
                </c:pt>
                <c:pt idx="2351">
                  <c:v>0.99936033905310495</c:v>
                </c:pt>
                <c:pt idx="2352">
                  <c:v>0.99938494139721634</c:v>
                </c:pt>
                <c:pt idx="2353">
                  <c:v>0.99940954374132762</c:v>
                </c:pt>
                <c:pt idx="2354">
                  <c:v>0.99943414608543901</c:v>
                </c:pt>
                <c:pt idx="2355">
                  <c:v>0.9994587484295504</c:v>
                </c:pt>
                <c:pt idx="2356">
                  <c:v>0.99948335077366168</c:v>
                </c:pt>
                <c:pt idx="2357">
                  <c:v>0.99950795311777307</c:v>
                </c:pt>
                <c:pt idx="2358">
                  <c:v>0.99953255546188435</c:v>
                </c:pt>
                <c:pt idx="2359">
                  <c:v>0.99955715780599574</c:v>
                </c:pt>
                <c:pt idx="2360">
                  <c:v>0.99958176015010713</c:v>
                </c:pt>
                <c:pt idx="2361">
                  <c:v>0.99960636249421841</c:v>
                </c:pt>
                <c:pt idx="2362">
                  <c:v>0.99963096483832981</c:v>
                </c:pt>
                <c:pt idx="2363">
                  <c:v>0.9996555671824412</c:v>
                </c:pt>
                <c:pt idx="2364">
                  <c:v>0.99968016952655248</c:v>
                </c:pt>
                <c:pt idx="2365">
                  <c:v>0.99970477187066387</c:v>
                </c:pt>
                <c:pt idx="2366">
                  <c:v>0.99972937421477515</c:v>
                </c:pt>
                <c:pt idx="2367">
                  <c:v>0.99975397655888654</c:v>
                </c:pt>
                <c:pt idx="2368">
                  <c:v>0.99977857890299793</c:v>
                </c:pt>
                <c:pt idx="2369">
                  <c:v>0.99980318124710921</c:v>
                </c:pt>
                <c:pt idx="2370">
                  <c:v>0.9998277835912206</c:v>
                </c:pt>
                <c:pt idx="2371">
                  <c:v>0.99985238593533188</c:v>
                </c:pt>
                <c:pt idx="2372">
                  <c:v>0.99987698827944327</c:v>
                </c:pt>
                <c:pt idx="2373">
                  <c:v>0.99990159062355466</c:v>
                </c:pt>
                <c:pt idx="2374">
                  <c:v>0.99992619296766594</c:v>
                </c:pt>
                <c:pt idx="2375">
                  <c:v>0.99995079531177733</c:v>
                </c:pt>
                <c:pt idx="2376">
                  <c:v>0.99997539765588861</c:v>
                </c:pt>
                <c:pt idx="237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1F-46CE-BE40-C0B69B5C3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075064"/>
        <c:axId val="72393413"/>
      </c:lineChart>
      <c:catAx>
        <c:axId val="160750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Transactions (largest to smallest)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93413"/>
        <c:crosses val="autoZero"/>
        <c:auto val="1"/>
        <c:lblAlgn val="ctr"/>
        <c:lblOffset val="100"/>
        <c:noMultiLvlLbl val="0"/>
      </c:catAx>
      <c:valAx>
        <c:axId val="72393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75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190440</xdr:rowOff>
    </xdr:from>
    <xdr:to>
      <xdr:col>20</xdr:col>
      <xdr:colOff>364320</xdr:colOff>
      <xdr:row>15</xdr:row>
      <xdr:rowOff>100080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21</xdr:col>
      <xdr:colOff>255960</xdr:colOff>
      <xdr:row>17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16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zoomScaleNormal="100" workbookViewId="0"/>
  </sheetViews>
  <sheetFormatPr defaultColWidth="8.6640625" defaultRowHeight="14.4" x14ac:dyDescent="0.3"/>
  <cols>
    <col min="1" max="1" width="48" customWidth="1"/>
    <col min="2" max="2" width="16" customWidth="1"/>
    <col min="3" max="3" width="24" customWidth="1"/>
    <col min="4" max="4" width="22" customWidth="1"/>
    <col min="5" max="5" width="18" customWidth="1"/>
    <col min="6" max="7" width="13" customWidth="1"/>
  </cols>
  <sheetData>
    <row r="1" spans="1:7" ht="16.8" x14ac:dyDescent="0.3">
      <c r="A1" s="1" t="s">
        <v>0</v>
      </c>
    </row>
    <row r="2" spans="1:7" x14ac:dyDescent="0.3">
      <c r="A2" s="2" t="s">
        <v>1</v>
      </c>
    </row>
    <row r="3" spans="1:7" x14ac:dyDescent="0.3">
      <c r="A3" s="3" t="s">
        <v>2</v>
      </c>
      <c r="B3" s="3" t="s">
        <v>3</v>
      </c>
      <c r="C3" s="3" t="s">
        <v>4</v>
      </c>
    </row>
    <row r="4" spans="1:7" x14ac:dyDescent="0.3">
      <c r="A4" s="4" t="s">
        <v>5</v>
      </c>
      <c r="B4" s="5">
        <f>COUNTA(Data!$A$2:$A$2379)</f>
        <v>2378</v>
      </c>
      <c r="C4" s="4" t="s">
        <v>6</v>
      </c>
    </row>
    <row r="5" spans="1:7" x14ac:dyDescent="0.3">
      <c r="A5" s="4" t="s">
        <v>7</v>
      </c>
      <c r="B5" s="6">
        <v>46</v>
      </c>
      <c r="C5" s="4" t="s">
        <v>8</v>
      </c>
    </row>
    <row r="6" spans="1:7" x14ac:dyDescent="0.3">
      <c r="A6" s="4" t="s">
        <v>9</v>
      </c>
      <c r="B6" s="7">
        <f>SUM(Data!$J$2:$J$2379)</f>
        <v>1219396</v>
      </c>
      <c r="C6" s="4"/>
    </row>
    <row r="7" spans="1:7" x14ac:dyDescent="0.3">
      <c r="A7" s="4" t="s">
        <v>10</v>
      </c>
      <c r="B7" s="7">
        <f>SUM(Data!$L$2:$L$2379)</f>
        <v>265562</v>
      </c>
      <c r="C7" s="4"/>
    </row>
    <row r="8" spans="1:7" x14ac:dyDescent="0.3">
      <c r="A8" s="4" t="s">
        <v>11</v>
      </c>
      <c r="B8" s="8">
        <f>B7/B6</f>
        <v>0.21778159022991711</v>
      </c>
      <c r="C8" s="4"/>
    </row>
    <row r="9" spans="1:7" x14ac:dyDescent="0.3">
      <c r="A9" s="4" t="s">
        <v>12</v>
      </c>
      <c r="B9" s="9">
        <f>B6/B4</f>
        <v>512.78216989066448</v>
      </c>
      <c r="C9" s="4" t="s">
        <v>13</v>
      </c>
    </row>
    <row r="10" spans="1:7" x14ac:dyDescent="0.3">
      <c r="A10" s="4" t="s">
        <v>14</v>
      </c>
      <c r="B10" s="7">
        <f>MEDIAN(Data!$J$2:$J$2379)</f>
        <v>400</v>
      </c>
      <c r="C10" s="4"/>
    </row>
    <row r="11" spans="1:7" x14ac:dyDescent="0.3">
      <c r="A11" s="4" t="s">
        <v>15</v>
      </c>
      <c r="B11" s="7">
        <f>MAX(Data!$J$2:$J$2379)</f>
        <v>3250</v>
      </c>
      <c r="C11" s="4"/>
    </row>
    <row r="13" spans="1:7" x14ac:dyDescent="0.3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10</v>
      </c>
      <c r="F13" s="3" t="s">
        <v>11</v>
      </c>
      <c r="G13" s="3" t="s">
        <v>20</v>
      </c>
    </row>
    <row r="14" spans="1:7" x14ac:dyDescent="0.3">
      <c r="A14" s="4" t="s">
        <v>21</v>
      </c>
      <c r="B14" s="5">
        <f>COUNTIFS(Data!$D$2:$D$2379,$A14)</f>
        <v>1415</v>
      </c>
      <c r="C14" s="7">
        <f>SUMIFS(Data!$J$2:$J$2379,Data!$D$2:$D$2379,$A14)</f>
        <v>897620</v>
      </c>
      <c r="D14" s="8">
        <f>C14/$C$16</f>
        <v>0.73611853737424104</v>
      </c>
      <c r="E14" s="7">
        <f>SUMIFS(Data!$L$2:$L$2379,Data!$D$2:$D$2379,$A14)</f>
        <v>216920</v>
      </c>
      <c r="F14" s="8">
        <f>E14/C14</f>
        <v>0.24166128205699516</v>
      </c>
      <c r="G14" s="9">
        <f>SUMIFS(Data!$F$2:$F$2379,Data!$D$2:$D$2379,$A14)</f>
        <v>8574</v>
      </c>
    </row>
    <row r="15" spans="1:7" x14ac:dyDescent="0.3">
      <c r="A15" s="4" t="s">
        <v>22</v>
      </c>
      <c r="B15" s="5">
        <f>COUNTIFS(Data!$D$2:$D$2379,$A15)</f>
        <v>963</v>
      </c>
      <c r="C15" s="7">
        <f>SUMIFS(Data!$J$2:$J$2379,Data!$D$2:$D$2379,$A15)</f>
        <v>321776</v>
      </c>
      <c r="D15" s="8">
        <f>C15/$C$16</f>
        <v>0.26388146262575896</v>
      </c>
      <c r="E15" s="7">
        <f>SUMIFS(Data!$L$2:$L$2379,Data!$D$2:$D$2379,$A15)</f>
        <v>48642</v>
      </c>
      <c r="F15" s="8">
        <f>E15/C15</f>
        <v>0.15116727164238478</v>
      </c>
      <c r="G15" s="9">
        <f>SUMIFS(Data!$F$2:$F$2379,Data!$D$2:$D$2379,$A15)</f>
        <v>2199.25</v>
      </c>
    </row>
    <row r="16" spans="1:7" x14ac:dyDescent="0.3">
      <c r="A16" s="10" t="s">
        <v>23</v>
      </c>
      <c r="B16" s="11">
        <f>SUM(B14:B15)</f>
        <v>2378</v>
      </c>
      <c r="C16" s="12">
        <f>SUM(C14:C15)</f>
        <v>1219396</v>
      </c>
      <c r="D16" s="13">
        <f>SUM(D14:D15)</f>
        <v>1</v>
      </c>
      <c r="E16" s="12">
        <f>SUM(E14:E15)</f>
        <v>265562</v>
      </c>
      <c r="F16" s="13">
        <f>E16/C16</f>
        <v>0.21778159022991711</v>
      </c>
      <c r="G16" s="14">
        <f>SUM(G14:G15)</f>
        <v>10773.25</v>
      </c>
    </row>
    <row r="17" spans="1:5" x14ac:dyDescent="0.3">
      <c r="A17" s="15" t="s">
        <v>24</v>
      </c>
    </row>
    <row r="19" spans="1:5" ht="26.4" x14ac:dyDescent="0.3">
      <c r="A19" s="3" t="s">
        <v>25</v>
      </c>
      <c r="B19" s="3" t="s">
        <v>17</v>
      </c>
      <c r="C19" s="3" t="s">
        <v>18</v>
      </c>
      <c r="D19" s="3" t="s">
        <v>26</v>
      </c>
      <c r="E19" s="3" t="s">
        <v>19</v>
      </c>
    </row>
    <row r="20" spans="1:5" x14ac:dyDescent="0.3">
      <c r="A20" s="4" t="s">
        <v>27</v>
      </c>
      <c r="B20" s="5">
        <f>COUNTIFS(Data!$O$2:$O$2379,$A20)</f>
        <v>1308</v>
      </c>
      <c r="C20" s="7">
        <f>SUMIFS(Data!$J$2:$J$2379,Data!$O$2:$O$2379,$A20)</f>
        <v>828020</v>
      </c>
      <c r="D20" s="9">
        <f>C20/B20</f>
        <v>633.04281345565744</v>
      </c>
      <c r="E20" s="8">
        <f>C20/$C$22</f>
        <v>0.67904109903591614</v>
      </c>
    </row>
    <row r="21" spans="1:5" x14ac:dyDescent="0.3">
      <c r="A21" s="4" t="s">
        <v>28</v>
      </c>
      <c r="B21" s="5">
        <f>COUNTIFS(Data!$O$2:$O$2379,$A21)</f>
        <v>1070</v>
      </c>
      <c r="C21" s="7">
        <f>SUMIFS(Data!$J$2:$J$2379,Data!$O$2:$O$2379,$A21)</f>
        <v>391376</v>
      </c>
      <c r="D21" s="9">
        <f>C21/B21</f>
        <v>365.77196261682241</v>
      </c>
      <c r="E21" s="8">
        <f>C21/$C$22</f>
        <v>0.32095890096408386</v>
      </c>
    </row>
    <row r="22" spans="1:5" x14ac:dyDescent="0.3">
      <c r="A22" s="10" t="s">
        <v>23</v>
      </c>
      <c r="B22" s="11">
        <f>SUM(B20:B21)</f>
        <v>2378</v>
      </c>
      <c r="C22" s="12">
        <f>SUM(C20:C21)</f>
        <v>1219396</v>
      </c>
      <c r="D22" s="14">
        <f>C22/B22</f>
        <v>512.78216989066448</v>
      </c>
      <c r="E22" s="13">
        <f>SUM(E20:E21)</f>
        <v>1</v>
      </c>
    </row>
    <row r="24" spans="1:5" x14ac:dyDescent="0.3">
      <c r="A24" s="3" t="s">
        <v>29</v>
      </c>
      <c r="B24" s="3" t="s">
        <v>17</v>
      </c>
      <c r="C24" s="3" t="s">
        <v>30</v>
      </c>
      <c r="D24" s="3" t="s">
        <v>18</v>
      </c>
      <c r="E24" s="3" t="s">
        <v>31</v>
      </c>
    </row>
    <row r="25" spans="1:5" x14ac:dyDescent="0.3">
      <c r="A25" s="4" t="s">
        <v>32</v>
      </c>
      <c r="B25" s="5">
        <f>COUNTIFS(Data!$P$2:$P$2379,$A25)</f>
        <v>2252</v>
      </c>
      <c r="C25" s="8">
        <f>B25/$B$27</f>
        <v>0.94701429772918422</v>
      </c>
      <c r="D25" s="7">
        <f>SUMIFS(Data!$J$2:$J$2379,Data!$P$2:$P$2379,$A25)</f>
        <v>1173904</v>
      </c>
      <c r="E25" s="8">
        <f>D25/$D$27</f>
        <v>0.96269300538955349</v>
      </c>
    </row>
    <row r="26" spans="1:5" x14ac:dyDescent="0.3">
      <c r="A26" s="4" t="s">
        <v>33</v>
      </c>
      <c r="B26" s="5">
        <f>COUNTIFS(Data!$P$2:$P$2379,$A26)</f>
        <v>126</v>
      </c>
      <c r="C26" s="8">
        <f>B26/$B$27</f>
        <v>5.298570227081581E-2</v>
      </c>
      <c r="D26" s="7">
        <f>SUMIFS(Data!$J$2:$J$2379,Data!$P$2:$P$2379,$A26)</f>
        <v>45492</v>
      </c>
      <c r="E26" s="8">
        <f>D26/$D$27</f>
        <v>3.7306994610446481E-2</v>
      </c>
    </row>
    <row r="27" spans="1:5" x14ac:dyDescent="0.3">
      <c r="A27" s="10" t="s">
        <v>23</v>
      </c>
      <c r="B27" s="11">
        <f>SUM(B25:B26)</f>
        <v>2378</v>
      </c>
      <c r="C27" s="13">
        <f>SUM(C25:C26)</f>
        <v>1</v>
      </c>
      <c r="D27" s="12">
        <f>SUM(D25:D26)</f>
        <v>1219396</v>
      </c>
      <c r="E27" s="13">
        <f>SUM(E25:E26)</f>
        <v>1</v>
      </c>
    </row>
    <row r="29" spans="1:5" x14ac:dyDescent="0.3">
      <c r="A29" s="3" t="s">
        <v>34</v>
      </c>
      <c r="B29" s="3" t="s">
        <v>3</v>
      </c>
      <c r="C29" s="3" t="s">
        <v>4</v>
      </c>
    </row>
    <row r="30" spans="1:5" x14ac:dyDescent="0.3">
      <c r="A30" s="4" t="s">
        <v>35</v>
      </c>
      <c r="B30" s="8">
        <f>SUMPRODUCT(LARGE(Data!$J$2:$J$2379,ROW($1:$238)))/B6</f>
        <v>0.28788022922824086</v>
      </c>
      <c r="C30" s="4" t="s">
        <v>36</v>
      </c>
    </row>
    <row r="31" spans="1:5" x14ac:dyDescent="0.3">
      <c r="A31" s="4" t="s">
        <v>37</v>
      </c>
      <c r="B31" s="8">
        <f>SUMPRODUCT(LARGE(Data!$J$2:$J$2379,ROW($1:$476)))/B6</f>
        <v>0.44613070733379478</v>
      </c>
      <c r="C31" s="4" t="s">
        <v>38</v>
      </c>
    </row>
    <row r="32" spans="1:5" x14ac:dyDescent="0.3">
      <c r="A32" s="4" t="s">
        <v>39</v>
      </c>
      <c r="B32" s="8">
        <f>(COUNTIF(Pareto!D2:D2379,"&lt;0.8")+1)/B4</f>
        <v>0.53574432296047103</v>
      </c>
      <c r="C32" s="4" t="s">
        <v>40</v>
      </c>
    </row>
    <row r="33" spans="1:4" x14ac:dyDescent="0.3">
      <c r="A33" s="4" t="s">
        <v>41</v>
      </c>
      <c r="B33" s="5">
        <f>COUNTIF(Data!$J$2:$J$2379,"&gt;=1000")</f>
        <v>224</v>
      </c>
      <c r="C33" s="4"/>
    </row>
    <row r="34" spans="1:4" x14ac:dyDescent="0.3">
      <c r="A34" s="4" t="s">
        <v>42</v>
      </c>
      <c r="B34" s="8">
        <f>SUMIF(Data!$J$2:$J$2379,"&gt;=1000")/B6</f>
        <v>0.27691578453595056</v>
      </c>
      <c r="C34" s="4"/>
    </row>
    <row r="36" spans="1:4" x14ac:dyDescent="0.3">
      <c r="A36" s="3" t="s">
        <v>43</v>
      </c>
      <c r="B36" s="3" t="s">
        <v>44</v>
      </c>
      <c r="C36" s="3" t="s">
        <v>45</v>
      </c>
      <c r="D36" s="3" t="s">
        <v>17</v>
      </c>
    </row>
    <row r="37" spans="1:4" x14ac:dyDescent="0.3">
      <c r="A37" s="6">
        <v>0</v>
      </c>
      <c r="B37" s="6">
        <v>500</v>
      </c>
      <c r="C37" s="4" t="str">
        <f t="shared" ref="C37:C43" si="0">A37&amp;"-"&amp;(B37-1)</f>
        <v>0-499</v>
      </c>
      <c r="D37" s="5">
        <f>COUNTIFS(Data!$J$2:$J$2379,"&gt;="&amp;A37,Data!$J$2:$J$2379,"&lt;"&amp;B37)</f>
        <v>1325</v>
      </c>
    </row>
    <row r="38" spans="1:4" x14ac:dyDescent="0.3">
      <c r="A38" s="6">
        <v>500</v>
      </c>
      <c r="B38" s="6">
        <v>1000</v>
      </c>
      <c r="C38" s="4" t="str">
        <f t="shared" si="0"/>
        <v>500-999</v>
      </c>
      <c r="D38" s="5">
        <f>COUNTIFS(Data!$J$2:$J$2379,"&gt;="&amp;A38,Data!$J$2:$J$2379,"&lt;"&amp;B38)</f>
        <v>829</v>
      </c>
    </row>
    <row r="39" spans="1:4" x14ac:dyDescent="0.3">
      <c r="A39" s="6">
        <v>1000</v>
      </c>
      <c r="B39" s="6">
        <v>1500</v>
      </c>
      <c r="C39" s="4" t="str">
        <f t="shared" si="0"/>
        <v>1000-1499</v>
      </c>
      <c r="D39" s="5">
        <f>COUNTIFS(Data!$J$2:$J$2379,"&gt;="&amp;A39,Data!$J$2:$J$2379,"&lt;"&amp;B39)</f>
        <v>125</v>
      </c>
    </row>
    <row r="40" spans="1:4" x14ac:dyDescent="0.3">
      <c r="A40" s="6">
        <v>1500</v>
      </c>
      <c r="B40" s="6">
        <v>2000</v>
      </c>
      <c r="C40" s="4" t="str">
        <f t="shared" si="0"/>
        <v>1500-1999</v>
      </c>
      <c r="D40" s="5">
        <f>COUNTIFS(Data!$J$2:$J$2379,"&gt;="&amp;A40,Data!$J$2:$J$2379,"&lt;"&amp;B40)</f>
        <v>60</v>
      </c>
    </row>
    <row r="41" spans="1:4" x14ac:dyDescent="0.3">
      <c r="A41" s="6">
        <v>2000</v>
      </c>
      <c r="B41" s="6">
        <v>2500</v>
      </c>
      <c r="C41" s="4" t="str">
        <f t="shared" si="0"/>
        <v>2000-2499</v>
      </c>
      <c r="D41" s="5">
        <f>COUNTIFS(Data!$J$2:$J$2379,"&gt;="&amp;A41,Data!$J$2:$J$2379,"&lt;"&amp;B41)</f>
        <v>32</v>
      </c>
    </row>
    <row r="42" spans="1:4" x14ac:dyDescent="0.3">
      <c r="A42" s="6">
        <v>2500</v>
      </c>
      <c r="B42" s="6">
        <v>3000</v>
      </c>
      <c r="C42" s="4" t="str">
        <f t="shared" si="0"/>
        <v>2500-2999</v>
      </c>
      <c r="D42" s="5">
        <f>COUNTIFS(Data!$J$2:$J$2379,"&gt;="&amp;A42,Data!$J$2:$J$2379,"&lt;"&amp;B42)</f>
        <v>4</v>
      </c>
    </row>
    <row r="43" spans="1:4" x14ac:dyDescent="0.3">
      <c r="A43" s="6">
        <v>3000</v>
      </c>
      <c r="B43" s="6">
        <v>3500</v>
      </c>
      <c r="C43" s="4" t="str">
        <f t="shared" si="0"/>
        <v>3000-3499</v>
      </c>
      <c r="D43" s="5">
        <f>COUNTIFS(Data!$J$2:$J$2379,"&gt;="&amp;A43,Data!$J$2:$J$2379,"&lt;"&amp;B43)</f>
        <v>3</v>
      </c>
    </row>
    <row r="44" spans="1:4" x14ac:dyDescent="0.3">
      <c r="C44" s="10" t="s">
        <v>23</v>
      </c>
      <c r="D44" s="11">
        <f>SUM(D37:D43)</f>
        <v>2378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79"/>
  <sheetViews>
    <sheetView zoomScaleNormal="100" workbookViewId="0">
      <pane ySplit="1" topLeftCell="A1076" activePane="bottomLeft" state="frozen"/>
      <selection pane="bottomLeft" activeCell="D21" sqref="D21"/>
    </sheetView>
  </sheetViews>
  <sheetFormatPr defaultColWidth="8.6640625" defaultRowHeight="14.4" x14ac:dyDescent="0.3"/>
  <cols>
    <col min="1" max="1" width="8" customWidth="1"/>
    <col min="2" max="2" width="12" customWidth="1"/>
    <col min="3" max="3" width="11" customWidth="1"/>
    <col min="4" max="4" width="14" customWidth="1"/>
    <col min="5" max="5" width="24" customWidth="1"/>
    <col min="6" max="7" width="9" customWidth="1"/>
    <col min="8" max="11" width="10" customWidth="1"/>
    <col min="12" max="12" width="11" customWidth="1"/>
    <col min="13" max="13" width="10" customWidth="1"/>
    <col min="14" max="14" width="15" customWidth="1"/>
    <col min="15" max="15" width="12" customWidth="1"/>
    <col min="16" max="16" width="10" customWidth="1"/>
  </cols>
  <sheetData>
    <row r="1" spans="1:16" ht="26.4" x14ac:dyDescent="0.3">
      <c r="A1" s="3" t="s">
        <v>128</v>
      </c>
      <c r="B1" s="3" t="s">
        <v>129</v>
      </c>
      <c r="C1" s="3" t="s">
        <v>46</v>
      </c>
      <c r="D1" s="3" t="s">
        <v>130</v>
      </c>
      <c r="E1" s="3" t="s">
        <v>131</v>
      </c>
      <c r="F1" s="3" t="s">
        <v>84</v>
      </c>
      <c r="G1" s="3" t="s">
        <v>132</v>
      </c>
      <c r="H1" s="3" t="s">
        <v>133</v>
      </c>
      <c r="I1" s="3" t="s">
        <v>134</v>
      </c>
      <c r="J1" s="3" t="s">
        <v>74</v>
      </c>
      <c r="K1" s="3" t="s">
        <v>135</v>
      </c>
      <c r="L1" s="3" t="s">
        <v>136</v>
      </c>
      <c r="M1" s="3" t="s">
        <v>137</v>
      </c>
      <c r="N1" s="3" t="s">
        <v>47</v>
      </c>
      <c r="O1" s="3" t="s">
        <v>138</v>
      </c>
      <c r="P1" s="3" t="s">
        <v>139</v>
      </c>
    </row>
    <row r="2" spans="1:16" x14ac:dyDescent="0.3">
      <c r="A2" s="25">
        <v>1</v>
      </c>
      <c r="B2" s="26">
        <v>45329</v>
      </c>
      <c r="C2" s="25" t="s">
        <v>54</v>
      </c>
      <c r="D2" s="25" t="s">
        <v>22</v>
      </c>
      <c r="E2" s="25" t="s">
        <v>99</v>
      </c>
      <c r="F2" s="25">
        <v>3</v>
      </c>
      <c r="G2" s="25" t="s">
        <v>100</v>
      </c>
      <c r="H2" s="25">
        <v>200</v>
      </c>
      <c r="I2" s="25">
        <v>160</v>
      </c>
      <c r="J2" s="25">
        <v>600</v>
      </c>
      <c r="K2" s="25">
        <v>480</v>
      </c>
      <c r="L2" s="25">
        <v>120</v>
      </c>
      <c r="M2" s="27">
        <v>25</v>
      </c>
      <c r="N2" s="25" t="s">
        <v>55</v>
      </c>
      <c r="O2" s="25" t="s">
        <v>28</v>
      </c>
      <c r="P2" s="25" t="s">
        <v>33</v>
      </c>
    </row>
    <row r="3" spans="1:16" x14ac:dyDescent="0.3">
      <c r="A3" s="25">
        <v>2</v>
      </c>
      <c r="B3" s="26">
        <v>45329</v>
      </c>
      <c r="C3" s="25" t="s">
        <v>54</v>
      </c>
      <c r="D3" s="25" t="s">
        <v>21</v>
      </c>
      <c r="E3" s="25" t="s">
        <v>88</v>
      </c>
      <c r="F3" s="25">
        <v>3</v>
      </c>
      <c r="G3" s="25" t="s">
        <v>89</v>
      </c>
      <c r="H3" s="25">
        <v>130</v>
      </c>
      <c r="I3" s="25">
        <v>100</v>
      </c>
      <c r="J3" s="25">
        <v>390</v>
      </c>
      <c r="K3" s="25">
        <v>300</v>
      </c>
      <c r="L3" s="25">
        <v>90</v>
      </c>
      <c r="M3" s="27">
        <v>30</v>
      </c>
      <c r="N3" s="25" t="s">
        <v>55</v>
      </c>
      <c r="O3" s="25" t="s">
        <v>27</v>
      </c>
      <c r="P3" s="25" t="s">
        <v>32</v>
      </c>
    </row>
    <row r="4" spans="1:16" x14ac:dyDescent="0.3">
      <c r="A4" s="25">
        <v>3</v>
      </c>
      <c r="B4" s="26">
        <v>45329</v>
      </c>
      <c r="C4" s="25" t="s">
        <v>54</v>
      </c>
      <c r="D4" s="25" t="s">
        <v>21</v>
      </c>
      <c r="E4" s="25" t="s">
        <v>95</v>
      </c>
      <c r="F4" s="25">
        <v>3</v>
      </c>
      <c r="G4" s="25" t="s">
        <v>89</v>
      </c>
      <c r="H4" s="25">
        <v>150</v>
      </c>
      <c r="I4" s="25">
        <v>100</v>
      </c>
      <c r="J4" s="25">
        <v>450</v>
      </c>
      <c r="K4" s="25">
        <v>300</v>
      </c>
      <c r="L4" s="25">
        <v>150</v>
      </c>
      <c r="M4" s="27">
        <v>50</v>
      </c>
      <c r="N4" s="25" t="s">
        <v>55</v>
      </c>
      <c r="O4" s="25" t="s">
        <v>28</v>
      </c>
      <c r="P4" s="25" t="s">
        <v>32</v>
      </c>
    </row>
    <row r="5" spans="1:16" x14ac:dyDescent="0.3">
      <c r="A5" s="25">
        <v>4</v>
      </c>
      <c r="B5" s="26">
        <v>45329</v>
      </c>
      <c r="C5" s="25" t="s">
        <v>54</v>
      </c>
      <c r="D5" s="25" t="s">
        <v>22</v>
      </c>
      <c r="E5" s="25" t="s">
        <v>90</v>
      </c>
      <c r="F5" s="25">
        <v>2</v>
      </c>
      <c r="G5" s="25" t="s">
        <v>91</v>
      </c>
      <c r="H5" s="25">
        <v>280</v>
      </c>
      <c r="I5" s="25">
        <v>240</v>
      </c>
      <c r="J5" s="25">
        <v>560</v>
      </c>
      <c r="K5" s="25">
        <v>480</v>
      </c>
      <c r="L5" s="25">
        <v>80</v>
      </c>
      <c r="M5" s="27">
        <v>16.6666666666667</v>
      </c>
      <c r="N5" s="25" t="s">
        <v>55</v>
      </c>
      <c r="O5" s="25" t="s">
        <v>28</v>
      </c>
      <c r="P5" s="25" t="s">
        <v>32</v>
      </c>
    </row>
    <row r="6" spans="1:16" x14ac:dyDescent="0.3">
      <c r="A6" s="25">
        <v>5</v>
      </c>
      <c r="B6" s="26">
        <v>45329</v>
      </c>
      <c r="C6" s="25" t="s">
        <v>54</v>
      </c>
      <c r="D6" s="25" t="s">
        <v>22</v>
      </c>
      <c r="E6" s="25" t="s">
        <v>90</v>
      </c>
      <c r="F6" s="25">
        <v>2</v>
      </c>
      <c r="G6" s="25" t="s">
        <v>91</v>
      </c>
      <c r="H6" s="25">
        <v>280</v>
      </c>
      <c r="I6" s="25">
        <v>240</v>
      </c>
      <c r="J6" s="25">
        <v>560</v>
      </c>
      <c r="K6" s="25">
        <v>480</v>
      </c>
      <c r="L6" s="25">
        <v>80</v>
      </c>
      <c r="M6" s="27">
        <v>16.6666666666667</v>
      </c>
      <c r="N6" s="25" t="s">
        <v>55</v>
      </c>
      <c r="O6" s="25" t="s">
        <v>28</v>
      </c>
      <c r="P6" s="25" t="s">
        <v>33</v>
      </c>
    </row>
    <row r="7" spans="1:16" x14ac:dyDescent="0.3">
      <c r="A7" s="25">
        <v>6</v>
      </c>
      <c r="B7" s="26">
        <v>45330</v>
      </c>
      <c r="C7" s="25" t="s">
        <v>54</v>
      </c>
      <c r="D7" s="25" t="s">
        <v>22</v>
      </c>
      <c r="E7" s="25" t="s">
        <v>96</v>
      </c>
      <c r="F7" s="25">
        <v>1</v>
      </c>
      <c r="G7" s="25" t="s">
        <v>97</v>
      </c>
      <c r="H7" s="25">
        <v>300</v>
      </c>
      <c r="I7" s="25">
        <v>265</v>
      </c>
      <c r="J7" s="25">
        <v>300</v>
      </c>
      <c r="K7" s="25">
        <v>265</v>
      </c>
      <c r="L7" s="25">
        <v>35</v>
      </c>
      <c r="M7" s="27">
        <v>13.207547169811299</v>
      </c>
      <c r="N7" s="25" t="s">
        <v>55</v>
      </c>
      <c r="O7" s="25" t="s">
        <v>28</v>
      </c>
      <c r="P7" s="25" t="s">
        <v>33</v>
      </c>
    </row>
    <row r="8" spans="1:16" x14ac:dyDescent="0.3">
      <c r="A8" s="25">
        <v>7</v>
      </c>
      <c r="B8" s="26">
        <v>45330</v>
      </c>
      <c r="C8" s="25" t="s">
        <v>54</v>
      </c>
      <c r="D8" s="25" t="s">
        <v>22</v>
      </c>
      <c r="E8" s="25" t="s">
        <v>99</v>
      </c>
      <c r="F8" s="25">
        <v>1</v>
      </c>
      <c r="G8" s="25" t="s">
        <v>100</v>
      </c>
      <c r="H8" s="25">
        <v>200</v>
      </c>
      <c r="I8" s="25">
        <v>160</v>
      </c>
      <c r="J8" s="25">
        <v>200</v>
      </c>
      <c r="K8" s="25">
        <v>160</v>
      </c>
      <c r="L8" s="25">
        <v>40</v>
      </c>
      <c r="M8" s="27">
        <v>25</v>
      </c>
      <c r="N8" s="25" t="s">
        <v>55</v>
      </c>
      <c r="O8" s="25" t="s">
        <v>28</v>
      </c>
      <c r="P8" s="25" t="s">
        <v>32</v>
      </c>
    </row>
    <row r="9" spans="1:16" x14ac:dyDescent="0.3">
      <c r="A9" s="25">
        <v>8</v>
      </c>
      <c r="B9" s="26">
        <v>45330</v>
      </c>
      <c r="C9" s="25" t="s">
        <v>54</v>
      </c>
      <c r="D9" s="25" t="s">
        <v>22</v>
      </c>
      <c r="E9" s="25" t="s">
        <v>90</v>
      </c>
      <c r="F9" s="25">
        <v>3</v>
      </c>
      <c r="G9" s="25" t="s">
        <v>91</v>
      </c>
      <c r="H9" s="25">
        <v>280</v>
      </c>
      <c r="I9" s="25">
        <v>240</v>
      </c>
      <c r="J9" s="25">
        <v>840</v>
      </c>
      <c r="K9" s="25">
        <v>720</v>
      </c>
      <c r="L9" s="25">
        <v>120</v>
      </c>
      <c r="M9" s="27">
        <v>16.6666666666667</v>
      </c>
      <c r="N9" s="25" t="s">
        <v>55</v>
      </c>
      <c r="O9" s="25" t="s">
        <v>28</v>
      </c>
      <c r="P9" s="25" t="s">
        <v>32</v>
      </c>
    </row>
    <row r="10" spans="1:16" x14ac:dyDescent="0.3">
      <c r="A10" s="25">
        <v>9</v>
      </c>
      <c r="B10" s="26">
        <v>45330</v>
      </c>
      <c r="C10" s="25" t="s">
        <v>54</v>
      </c>
      <c r="D10" s="25" t="s">
        <v>22</v>
      </c>
      <c r="E10" s="25" t="s">
        <v>92</v>
      </c>
      <c r="F10" s="25">
        <v>1</v>
      </c>
      <c r="G10" s="25" t="s">
        <v>91</v>
      </c>
      <c r="H10" s="25">
        <v>260</v>
      </c>
      <c r="I10" s="25">
        <v>220</v>
      </c>
      <c r="J10" s="25">
        <v>260</v>
      </c>
      <c r="K10" s="25">
        <v>220</v>
      </c>
      <c r="L10" s="25">
        <v>40</v>
      </c>
      <c r="M10" s="27">
        <v>18.181818181818201</v>
      </c>
      <c r="N10" s="25" t="s">
        <v>55</v>
      </c>
      <c r="O10" s="25" t="s">
        <v>28</v>
      </c>
      <c r="P10" s="25" t="s">
        <v>32</v>
      </c>
    </row>
    <row r="11" spans="1:16" x14ac:dyDescent="0.3">
      <c r="A11" s="25">
        <v>10</v>
      </c>
      <c r="B11" s="26">
        <v>45331</v>
      </c>
      <c r="C11" s="25" t="s">
        <v>54</v>
      </c>
      <c r="D11" s="25" t="s">
        <v>21</v>
      </c>
      <c r="E11" s="25" t="s">
        <v>88</v>
      </c>
      <c r="F11" s="25">
        <v>3</v>
      </c>
      <c r="G11" s="25" t="s">
        <v>89</v>
      </c>
      <c r="H11" s="25">
        <v>130</v>
      </c>
      <c r="I11" s="25">
        <v>100</v>
      </c>
      <c r="J11" s="25">
        <v>390</v>
      </c>
      <c r="K11" s="25">
        <v>300</v>
      </c>
      <c r="L11" s="25">
        <v>90</v>
      </c>
      <c r="M11" s="27">
        <v>30</v>
      </c>
      <c r="N11" s="25" t="s">
        <v>55</v>
      </c>
      <c r="O11" s="25" t="s">
        <v>27</v>
      </c>
      <c r="P11" s="25" t="s">
        <v>32</v>
      </c>
    </row>
    <row r="12" spans="1:16" x14ac:dyDescent="0.3">
      <c r="A12" s="25">
        <v>11</v>
      </c>
      <c r="B12" s="26">
        <v>45331</v>
      </c>
      <c r="C12" s="25" t="s">
        <v>54</v>
      </c>
      <c r="D12" s="25" t="s">
        <v>22</v>
      </c>
      <c r="E12" s="25" t="s">
        <v>90</v>
      </c>
      <c r="F12" s="25">
        <v>2</v>
      </c>
      <c r="G12" s="25" t="s">
        <v>91</v>
      </c>
      <c r="H12" s="25">
        <v>280</v>
      </c>
      <c r="I12" s="25">
        <v>240</v>
      </c>
      <c r="J12" s="25">
        <v>560</v>
      </c>
      <c r="K12" s="25">
        <v>480</v>
      </c>
      <c r="L12" s="25">
        <v>80</v>
      </c>
      <c r="M12" s="27">
        <v>16.6666666666667</v>
      </c>
      <c r="N12" s="25" t="s">
        <v>55</v>
      </c>
      <c r="O12" s="25" t="s">
        <v>28</v>
      </c>
      <c r="P12" s="25" t="s">
        <v>32</v>
      </c>
    </row>
    <row r="13" spans="1:16" x14ac:dyDescent="0.3">
      <c r="A13" s="25">
        <v>12</v>
      </c>
      <c r="B13" s="26">
        <v>45331</v>
      </c>
      <c r="C13" s="25" t="s">
        <v>54</v>
      </c>
      <c r="D13" s="25" t="s">
        <v>22</v>
      </c>
      <c r="E13" s="25" t="s">
        <v>96</v>
      </c>
      <c r="F13" s="25">
        <v>2</v>
      </c>
      <c r="G13" s="25" t="s">
        <v>97</v>
      </c>
      <c r="H13" s="25">
        <v>300</v>
      </c>
      <c r="I13" s="25">
        <v>265</v>
      </c>
      <c r="J13" s="25">
        <v>600</v>
      </c>
      <c r="K13" s="25">
        <v>530</v>
      </c>
      <c r="L13" s="25">
        <v>70</v>
      </c>
      <c r="M13" s="27">
        <v>13.207547169811299</v>
      </c>
      <c r="N13" s="25" t="s">
        <v>55</v>
      </c>
      <c r="O13" s="25" t="s">
        <v>28</v>
      </c>
      <c r="P13" s="25" t="s">
        <v>32</v>
      </c>
    </row>
    <row r="14" spans="1:16" x14ac:dyDescent="0.3">
      <c r="A14" s="25">
        <v>13</v>
      </c>
      <c r="B14" s="26">
        <v>45331</v>
      </c>
      <c r="C14" s="25" t="s">
        <v>54</v>
      </c>
      <c r="D14" s="25" t="s">
        <v>22</v>
      </c>
      <c r="E14" s="25" t="s">
        <v>96</v>
      </c>
      <c r="F14" s="25">
        <v>2</v>
      </c>
      <c r="G14" s="25" t="s">
        <v>97</v>
      </c>
      <c r="H14" s="25">
        <v>300</v>
      </c>
      <c r="I14" s="25">
        <v>265</v>
      </c>
      <c r="J14" s="25">
        <v>600</v>
      </c>
      <c r="K14" s="25">
        <v>530</v>
      </c>
      <c r="L14" s="25">
        <v>70</v>
      </c>
      <c r="M14" s="27">
        <v>13.207547169811299</v>
      </c>
      <c r="N14" s="25" t="s">
        <v>55</v>
      </c>
      <c r="O14" s="25" t="s">
        <v>28</v>
      </c>
      <c r="P14" s="25" t="s">
        <v>32</v>
      </c>
    </row>
    <row r="15" spans="1:16" x14ac:dyDescent="0.3">
      <c r="A15" s="25">
        <v>14</v>
      </c>
      <c r="B15" s="26">
        <v>45331</v>
      </c>
      <c r="C15" s="25" t="s">
        <v>54</v>
      </c>
      <c r="D15" s="25" t="s">
        <v>22</v>
      </c>
      <c r="E15" s="25" t="s">
        <v>90</v>
      </c>
      <c r="F15" s="25">
        <v>1</v>
      </c>
      <c r="G15" s="25" t="s">
        <v>91</v>
      </c>
      <c r="H15" s="25">
        <v>280</v>
      </c>
      <c r="I15" s="25">
        <v>240</v>
      </c>
      <c r="J15" s="25">
        <v>280</v>
      </c>
      <c r="K15" s="25">
        <v>240</v>
      </c>
      <c r="L15" s="25">
        <v>40</v>
      </c>
      <c r="M15" s="27">
        <v>16.6666666666667</v>
      </c>
      <c r="N15" s="25" t="s">
        <v>55</v>
      </c>
      <c r="O15" s="25" t="s">
        <v>28</v>
      </c>
      <c r="P15" s="25" t="s">
        <v>32</v>
      </c>
    </row>
    <row r="16" spans="1:16" x14ac:dyDescent="0.3">
      <c r="A16" s="25">
        <v>15</v>
      </c>
      <c r="B16" s="26">
        <v>45331</v>
      </c>
      <c r="C16" s="25" t="s">
        <v>54</v>
      </c>
      <c r="D16" s="25" t="s">
        <v>22</v>
      </c>
      <c r="E16" s="25" t="s">
        <v>90</v>
      </c>
      <c r="F16" s="25">
        <v>2.5</v>
      </c>
      <c r="G16" s="25" t="s">
        <v>91</v>
      </c>
      <c r="H16" s="25">
        <v>280</v>
      </c>
      <c r="I16" s="25">
        <v>240</v>
      </c>
      <c r="J16" s="25">
        <v>700</v>
      </c>
      <c r="K16" s="25">
        <v>600</v>
      </c>
      <c r="L16" s="25">
        <v>100</v>
      </c>
      <c r="M16" s="27">
        <v>16.6666666666667</v>
      </c>
      <c r="N16" s="25" t="s">
        <v>55</v>
      </c>
      <c r="O16" s="25" t="s">
        <v>28</v>
      </c>
      <c r="P16" s="25" t="s">
        <v>32</v>
      </c>
    </row>
    <row r="17" spans="1:16" x14ac:dyDescent="0.3">
      <c r="A17" s="25">
        <v>16</v>
      </c>
      <c r="B17" s="26">
        <v>45331</v>
      </c>
      <c r="C17" s="25" t="s">
        <v>54</v>
      </c>
      <c r="D17" s="25" t="s">
        <v>22</v>
      </c>
      <c r="E17" s="25" t="s">
        <v>92</v>
      </c>
      <c r="F17" s="25">
        <v>0.5</v>
      </c>
      <c r="G17" s="25" t="s">
        <v>91</v>
      </c>
      <c r="H17" s="25">
        <v>260</v>
      </c>
      <c r="I17" s="25">
        <v>220</v>
      </c>
      <c r="J17" s="25">
        <v>130</v>
      </c>
      <c r="K17" s="25">
        <v>110</v>
      </c>
      <c r="L17" s="25">
        <v>20</v>
      </c>
      <c r="M17" s="27">
        <v>18.181818181818201</v>
      </c>
      <c r="N17" s="25" t="s">
        <v>55</v>
      </c>
      <c r="O17" s="25" t="s">
        <v>28</v>
      </c>
      <c r="P17" s="25" t="s">
        <v>32</v>
      </c>
    </row>
    <row r="18" spans="1:16" x14ac:dyDescent="0.3">
      <c r="A18" s="25">
        <v>17</v>
      </c>
      <c r="B18" s="26">
        <v>45331</v>
      </c>
      <c r="C18" s="25" t="s">
        <v>54</v>
      </c>
      <c r="D18" s="25" t="s">
        <v>21</v>
      </c>
      <c r="E18" s="25" t="s">
        <v>94</v>
      </c>
      <c r="F18" s="25">
        <v>2</v>
      </c>
      <c r="G18" s="25" t="s">
        <v>89</v>
      </c>
      <c r="H18" s="25">
        <v>30</v>
      </c>
      <c r="I18" s="25">
        <v>26</v>
      </c>
      <c r="J18" s="25">
        <v>60</v>
      </c>
      <c r="K18" s="25">
        <v>52</v>
      </c>
      <c r="L18" s="25">
        <v>8</v>
      </c>
      <c r="M18" s="27">
        <v>15.384615384615399</v>
      </c>
      <c r="N18" s="25" t="s">
        <v>55</v>
      </c>
      <c r="O18" s="25" t="s">
        <v>27</v>
      </c>
      <c r="P18" s="25" t="s">
        <v>32</v>
      </c>
    </row>
    <row r="19" spans="1:16" x14ac:dyDescent="0.3">
      <c r="A19" s="25">
        <v>18</v>
      </c>
      <c r="B19" s="26">
        <v>45331</v>
      </c>
      <c r="C19" s="25" t="s">
        <v>54</v>
      </c>
      <c r="D19" s="25" t="s">
        <v>21</v>
      </c>
      <c r="E19" s="25" t="s">
        <v>88</v>
      </c>
      <c r="F19" s="25">
        <v>1</v>
      </c>
      <c r="G19" s="25" t="s">
        <v>89</v>
      </c>
      <c r="H19" s="25">
        <v>130</v>
      </c>
      <c r="I19" s="25">
        <v>100</v>
      </c>
      <c r="J19" s="25">
        <v>130</v>
      </c>
      <c r="K19" s="25">
        <v>100</v>
      </c>
      <c r="L19" s="25">
        <v>30</v>
      </c>
      <c r="M19" s="27">
        <v>30</v>
      </c>
      <c r="N19" s="25" t="s">
        <v>55</v>
      </c>
      <c r="O19" s="25" t="s">
        <v>27</v>
      </c>
      <c r="P19" s="25" t="s">
        <v>32</v>
      </c>
    </row>
    <row r="20" spans="1:16" x14ac:dyDescent="0.3">
      <c r="A20" s="25">
        <v>19</v>
      </c>
      <c r="B20" s="26">
        <v>45331</v>
      </c>
      <c r="C20" s="25" t="s">
        <v>54</v>
      </c>
      <c r="D20" s="25" t="s">
        <v>22</v>
      </c>
      <c r="E20" s="25" t="s">
        <v>90</v>
      </c>
      <c r="F20" s="25">
        <v>3</v>
      </c>
      <c r="G20" s="25" t="s">
        <v>91</v>
      </c>
      <c r="H20" s="25">
        <v>280</v>
      </c>
      <c r="I20" s="25">
        <v>240</v>
      </c>
      <c r="J20" s="25">
        <v>840</v>
      </c>
      <c r="K20" s="25">
        <v>720</v>
      </c>
      <c r="L20" s="25">
        <v>120</v>
      </c>
      <c r="M20" s="27">
        <v>16.6666666666667</v>
      </c>
      <c r="N20" s="25" t="s">
        <v>55</v>
      </c>
      <c r="O20" s="25" t="s">
        <v>28</v>
      </c>
      <c r="P20" s="25" t="s">
        <v>32</v>
      </c>
    </row>
    <row r="21" spans="1:16" x14ac:dyDescent="0.3">
      <c r="A21" s="25">
        <v>20</v>
      </c>
      <c r="B21" s="26">
        <v>45331</v>
      </c>
      <c r="C21" s="25" t="s">
        <v>54</v>
      </c>
      <c r="D21" s="25" t="s">
        <v>22</v>
      </c>
      <c r="E21" s="25" t="s">
        <v>90</v>
      </c>
      <c r="F21" s="25">
        <v>2</v>
      </c>
      <c r="G21" s="25" t="s">
        <v>91</v>
      </c>
      <c r="H21" s="25">
        <v>280</v>
      </c>
      <c r="I21" s="25">
        <v>240</v>
      </c>
      <c r="J21" s="25">
        <v>560</v>
      </c>
      <c r="K21" s="25">
        <v>480</v>
      </c>
      <c r="L21" s="25">
        <v>80</v>
      </c>
      <c r="M21" s="27">
        <v>16.6666666666667</v>
      </c>
      <c r="N21" s="25" t="s">
        <v>55</v>
      </c>
      <c r="O21" s="25" t="s">
        <v>28</v>
      </c>
      <c r="P21" s="25" t="s">
        <v>33</v>
      </c>
    </row>
    <row r="22" spans="1:16" x14ac:dyDescent="0.3">
      <c r="A22" s="25">
        <v>21</v>
      </c>
      <c r="B22" s="26">
        <v>45331</v>
      </c>
      <c r="C22" s="25" t="s">
        <v>54</v>
      </c>
      <c r="D22" s="25" t="s">
        <v>22</v>
      </c>
      <c r="E22" s="25" t="s">
        <v>92</v>
      </c>
      <c r="F22" s="25">
        <v>2.5</v>
      </c>
      <c r="G22" s="25" t="s">
        <v>91</v>
      </c>
      <c r="H22" s="25">
        <v>260</v>
      </c>
      <c r="I22" s="25">
        <v>220</v>
      </c>
      <c r="J22" s="25">
        <v>650</v>
      </c>
      <c r="K22" s="25">
        <v>550</v>
      </c>
      <c r="L22" s="25">
        <v>100</v>
      </c>
      <c r="M22" s="27">
        <v>18.181818181818201</v>
      </c>
      <c r="N22" s="25" t="s">
        <v>55</v>
      </c>
      <c r="O22" s="25" t="s">
        <v>28</v>
      </c>
      <c r="P22" s="25" t="s">
        <v>33</v>
      </c>
    </row>
    <row r="23" spans="1:16" x14ac:dyDescent="0.3">
      <c r="A23" s="25">
        <v>22</v>
      </c>
      <c r="B23" s="26">
        <v>45331</v>
      </c>
      <c r="C23" s="25" t="s">
        <v>54</v>
      </c>
      <c r="D23" s="25" t="s">
        <v>22</v>
      </c>
      <c r="E23" s="25" t="s">
        <v>99</v>
      </c>
      <c r="F23" s="25">
        <v>2</v>
      </c>
      <c r="G23" s="25" t="s">
        <v>100</v>
      </c>
      <c r="H23" s="25">
        <v>200</v>
      </c>
      <c r="I23" s="25">
        <v>160</v>
      </c>
      <c r="J23" s="25">
        <v>400</v>
      </c>
      <c r="K23" s="25">
        <v>320</v>
      </c>
      <c r="L23" s="25">
        <v>80</v>
      </c>
      <c r="M23" s="27">
        <v>25</v>
      </c>
      <c r="N23" s="25" t="s">
        <v>55</v>
      </c>
      <c r="O23" s="25" t="s">
        <v>28</v>
      </c>
      <c r="P23" s="25" t="s">
        <v>33</v>
      </c>
    </row>
    <row r="24" spans="1:16" x14ac:dyDescent="0.3">
      <c r="A24" s="25">
        <v>23</v>
      </c>
      <c r="B24" s="26">
        <v>45331</v>
      </c>
      <c r="C24" s="25" t="s">
        <v>54</v>
      </c>
      <c r="D24" s="25" t="s">
        <v>22</v>
      </c>
      <c r="E24" s="25" t="s">
        <v>103</v>
      </c>
      <c r="F24" s="25">
        <v>1</v>
      </c>
      <c r="G24" s="25" t="s">
        <v>102</v>
      </c>
      <c r="H24" s="25">
        <v>30</v>
      </c>
      <c r="I24" s="25">
        <v>20</v>
      </c>
      <c r="J24" s="25">
        <v>30</v>
      </c>
      <c r="K24" s="25">
        <v>20</v>
      </c>
      <c r="L24" s="25">
        <v>10</v>
      </c>
      <c r="M24" s="27">
        <v>50</v>
      </c>
      <c r="N24" s="25" t="s">
        <v>55</v>
      </c>
      <c r="O24" s="25" t="s">
        <v>28</v>
      </c>
      <c r="P24" s="25" t="s">
        <v>32</v>
      </c>
    </row>
    <row r="25" spans="1:16" x14ac:dyDescent="0.3">
      <c r="A25" s="25">
        <v>24</v>
      </c>
      <c r="B25" s="26">
        <v>45332</v>
      </c>
      <c r="C25" s="25" t="s">
        <v>54</v>
      </c>
      <c r="D25" s="25" t="s">
        <v>22</v>
      </c>
      <c r="E25" s="25" t="s">
        <v>92</v>
      </c>
      <c r="F25" s="25">
        <v>1</v>
      </c>
      <c r="G25" s="25" t="s">
        <v>91</v>
      </c>
      <c r="H25" s="25">
        <v>260</v>
      </c>
      <c r="I25" s="25">
        <v>220</v>
      </c>
      <c r="J25" s="25">
        <v>260</v>
      </c>
      <c r="K25" s="25">
        <v>220</v>
      </c>
      <c r="L25" s="25">
        <v>40</v>
      </c>
      <c r="M25" s="27">
        <v>18.181818181818201</v>
      </c>
      <c r="N25" s="25" t="s">
        <v>55</v>
      </c>
      <c r="O25" s="25" t="s">
        <v>28</v>
      </c>
      <c r="P25" s="25" t="s">
        <v>32</v>
      </c>
    </row>
    <row r="26" spans="1:16" x14ac:dyDescent="0.3">
      <c r="A26" s="25">
        <v>25</v>
      </c>
      <c r="B26" s="26">
        <v>45332</v>
      </c>
      <c r="C26" s="25" t="s">
        <v>54</v>
      </c>
      <c r="D26" s="25" t="s">
        <v>22</v>
      </c>
      <c r="E26" s="25" t="s">
        <v>92</v>
      </c>
      <c r="F26" s="25">
        <v>2</v>
      </c>
      <c r="G26" s="25" t="s">
        <v>91</v>
      </c>
      <c r="H26" s="25">
        <v>260</v>
      </c>
      <c r="I26" s="25">
        <v>220</v>
      </c>
      <c r="J26" s="25">
        <v>520</v>
      </c>
      <c r="K26" s="25">
        <v>440</v>
      </c>
      <c r="L26" s="25">
        <v>80</v>
      </c>
      <c r="M26" s="27">
        <v>18.181818181818201</v>
      </c>
      <c r="N26" s="25" t="s">
        <v>55</v>
      </c>
      <c r="O26" s="25" t="s">
        <v>28</v>
      </c>
      <c r="P26" s="25" t="s">
        <v>32</v>
      </c>
    </row>
    <row r="27" spans="1:16" x14ac:dyDescent="0.3">
      <c r="A27" s="25">
        <v>26</v>
      </c>
      <c r="B27" s="26">
        <v>45332</v>
      </c>
      <c r="C27" s="25" t="s">
        <v>54</v>
      </c>
      <c r="D27" s="25" t="s">
        <v>22</v>
      </c>
      <c r="E27" s="25" t="s">
        <v>101</v>
      </c>
      <c r="F27" s="25">
        <v>6</v>
      </c>
      <c r="G27" s="25" t="s">
        <v>102</v>
      </c>
      <c r="H27" s="25">
        <v>6</v>
      </c>
      <c r="I27" s="25">
        <v>4</v>
      </c>
      <c r="J27" s="25">
        <v>36</v>
      </c>
      <c r="K27" s="25">
        <v>24</v>
      </c>
      <c r="L27" s="25">
        <v>12</v>
      </c>
      <c r="M27" s="27">
        <v>50</v>
      </c>
      <c r="N27" s="25" t="s">
        <v>55</v>
      </c>
      <c r="O27" s="25" t="s">
        <v>28</v>
      </c>
      <c r="P27" s="25" t="s">
        <v>32</v>
      </c>
    </row>
    <row r="28" spans="1:16" x14ac:dyDescent="0.3">
      <c r="A28" s="25">
        <v>27</v>
      </c>
      <c r="B28" s="26">
        <v>45332</v>
      </c>
      <c r="C28" s="25" t="s">
        <v>54</v>
      </c>
      <c r="D28" s="25" t="s">
        <v>21</v>
      </c>
      <c r="E28" s="25" t="s">
        <v>95</v>
      </c>
      <c r="F28" s="25">
        <v>4</v>
      </c>
      <c r="G28" s="25" t="s">
        <v>89</v>
      </c>
      <c r="H28" s="25">
        <v>150</v>
      </c>
      <c r="I28" s="25">
        <v>100</v>
      </c>
      <c r="J28" s="25">
        <v>600</v>
      </c>
      <c r="K28" s="25">
        <v>400</v>
      </c>
      <c r="L28" s="25">
        <v>200</v>
      </c>
      <c r="M28" s="27">
        <v>50</v>
      </c>
      <c r="N28" s="25" t="s">
        <v>55</v>
      </c>
      <c r="O28" s="25" t="s">
        <v>28</v>
      </c>
      <c r="P28" s="25" t="s">
        <v>32</v>
      </c>
    </row>
    <row r="29" spans="1:16" x14ac:dyDescent="0.3">
      <c r="A29" s="25">
        <v>28</v>
      </c>
      <c r="B29" s="26">
        <v>45332</v>
      </c>
      <c r="C29" s="25" t="s">
        <v>54</v>
      </c>
      <c r="D29" s="25" t="s">
        <v>22</v>
      </c>
      <c r="E29" s="25" t="s">
        <v>90</v>
      </c>
      <c r="F29" s="25">
        <v>2</v>
      </c>
      <c r="G29" s="25" t="s">
        <v>91</v>
      </c>
      <c r="H29" s="25">
        <v>280</v>
      </c>
      <c r="I29" s="25">
        <v>240</v>
      </c>
      <c r="J29" s="25">
        <v>560</v>
      </c>
      <c r="K29" s="25">
        <v>480</v>
      </c>
      <c r="L29" s="25">
        <v>80</v>
      </c>
      <c r="M29" s="27">
        <v>16.6666666666667</v>
      </c>
      <c r="N29" s="25" t="s">
        <v>55</v>
      </c>
      <c r="O29" s="25" t="s">
        <v>28</v>
      </c>
      <c r="P29" s="25" t="s">
        <v>32</v>
      </c>
    </row>
    <row r="30" spans="1:16" x14ac:dyDescent="0.3">
      <c r="A30" s="25">
        <v>29</v>
      </c>
      <c r="B30" s="26">
        <v>45332</v>
      </c>
      <c r="C30" s="25" t="s">
        <v>54</v>
      </c>
      <c r="D30" s="25" t="s">
        <v>22</v>
      </c>
      <c r="E30" s="25" t="s">
        <v>92</v>
      </c>
      <c r="F30" s="25">
        <v>3</v>
      </c>
      <c r="G30" s="25" t="s">
        <v>91</v>
      </c>
      <c r="H30" s="25">
        <v>260</v>
      </c>
      <c r="I30" s="25">
        <v>220</v>
      </c>
      <c r="J30" s="25">
        <v>780</v>
      </c>
      <c r="K30" s="25">
        <v>660</v>
      </c>
      <c r="L30" s="25">
        <v>120</v>
      </c>
      <c r="M30" s="27">
        <v>18.181818181818201</v>
      </c>
      <c r="N30" s="25" t="s">
        <v>55</v>
      </c>
      <c r="O30" s="25" t="s">
        <v>28</v>
      </c>
      <c r="P30" s="25" t="s">
        <v>32</v>
      </c>
    </row>
    <row r="31" spans="1:16" x14ac:dyDescent="0.3">
      <c r="A31" s="25">
        <v>30</v>
      </c>
      <c r="B31" s="26">
        <v>45332</v>
      </c>
      <c r="C31" s="25" t="s">
        <v>54</v>
      </c>
      <c r="D31" s="25" t="s">
        <v>22</v>
      </c>
      <c r="E31" s="25" t="s">
        <v>90</v>
      </c>
      <c r="F31" s="25">
        <v>1</v>
      </c>
      <c r="G31" s="25" t="s">
        <v>91</v>
      </c>
      <c r="H31" s="25">
        <v>280</v>
      </c>
      <c r="I31" s="25">
        <v>240</v>
      </c>
      <c r="J31" s="25">
        <v>280</v>
      </c>
      <c r="K31" s="25">
        <v>240</v>
      </c>
      <c r="L31" s="25">
        <v>40</v>
      </c>
      <c r="M31" s="27">
        <v>16.6666666666667</v>
      </c>
      <c r="N31" s="25" t="s">
        <v>55</v>
      </c>
      <c r="O31" s="25" t="s">
        <v>28</v>
      </c>
      <c r="P31" s="25" t="s">
        <v>33</v>
      </c>
    </row>
    <row r="32" spans="1:16" x14ac:dyDescent="0.3">
      <c r="A32" s="25">
        <v>31</v>
      </c>
      <c r="B32" s="26">
        <v>45332</v>
      </c>
      <c r="C32" s="25" t="s">
        <v>54</v>
      </c>
      <c r="D32" s="25" t="s">
        <v>21</v>
      </c>
      <c r="E32" s="25" t="s">
        <v>88</v>
      </c>
      <c r="F32" s="25">
        <v>2</v>
      </c>
      <c r="G32" s="25" t="s">
        <v>89</v>
      </c>
      <c r="H32" s="25">
        <v>130</v>
      </c>
      <c r="I32" s="25">
        <v>100</v>
      </c>
      <c r="J32" s="25">
        <v>260</v>
      </c>
      <c r="K32" s="25">
        <v>200</v>
      </c>
      <c r="L32" s="25">
        <v>60</v>
      </c>
      <c r="M32" s="27">
        <v>30</v>
      </c>
      <c r="N32" s="25" t="s">
        <v>55</v>
      </c>
      <c r="O32" s="25" t="s">
        <v>27</v>
      </c>
      <c r="P32" s="25" t="s">
        <v>32</v>
      </c>
    </row>
    <row r="33" spans="1:16" x14ac:dyDescent="0.3">
      <c r="A33" s="25">
        <v>32</v>
      </c>
      <c r="B33" s="26">
        <v>45332</v>
      </c>
      <c r="C33" s="25" t="s">
        <v>54</v>
      </c>
      <c r="D33" s="25" t="s">
        <v>21</v>
      </c>
      <c r="E33" s="25" t="s">
        <v>88</v>
      </c>
      <c r="F33" s="25">
        <v>2</v>
      </c>
      <c r="G33" s="25" t="s">
        <v>89</v>
      </c>
      <c r="H33" s="25">
        <v>130</v>
      </c>
      <c r="I33" s="25">
        <v>100</v>
      </c>
      <c r="J33" s="25">
        <v>260</v>
      </c>
      <c r="K33" s="25">
        <v>200</v>
      </c>
      <c r="L33" s="25">
        <v>60</v>
      </c>
      <c r="M33" s="27">
        <v>30</v>
      </c>
      <c r="N33" s="25" t="s">
        <v>55</v>
      </c>
      <c r="O33" s="25" t="s">
        <v>27</v>
      </c>
      <c r="P33" s="25" t="s">
        <v>32</v>
      </c>
    </row>
    <row r="34" spans="1:16" x14ac:dyDescent="0.3">
      <c r="A34" s="25">
        <v>33</v>
      </c>
      <c r="B34" s="26">
        <v>45333</v>
      </c>
      <c r="C34" s="25" t="s">
        <v>54</v>
      </c>
      <c r="D34" s="25" t="s">
        <v>22</v>
      </c>
      <c r="E34" s="25" t="s">
        <v>96</v>
      </c>
      <c r="F34" s="25">
        <v>1</v>
      </c>
      <c r="G34" s="25" t="s">
        <v>97</v>
      </c>
      <c r="H34" s="25">
        <v>300</v>
      </c>
      <c r="I34" s="25">
        <v>265</v>
      </c>
      <c r="J34" s="25">
        <v>300</v>
      </c>
      <c r="K34" s="25">
        <v>265</v>
      </c>
      <c r="L34" s="25">
        <v>35</v>
      </c>
      <c r="M34" s="27">
        <v>13.207547169811299</v>
      </c>
      <c r="N34" s="25" t="s">
        <v>55</v>
      </c>
      <c r="O34" s="25" t="s">
        <v>28</v>
      </c>
      <c r="P34" s="25" t="s">
        <v>32</v>
      </c>
    </row>
    <row r="35" spans="1:16" x14ac:dyDescent="0.3">
      <c r="A35" s="25">
        <v>34</v>
      </c>
      <c r="B35" s="26">
        <v>45333</v>
      </c>
      <c r="C35" s="25" t="s">
        <v>54</v>
      </c>
      <c r="D35" s="25" t="s">
        <v>21</v>
      </c>
      <c r="E35" s="25" t="s">
        <v>88</v>
      </c>
      <c r="F35" s="25">
        <v>4</v>
      </c>
      <c r="G35" s="25" t="s">
        <v>89</v>
      </c>
      <c r="H35" s="25">
        <v>130</v>
      </c>
      <c r="I35" s="25">
        <v>100</v>
      </c>
      <c r="J35" s="25">
        <v>520</v>
      </c>
      <c r="K35" s="25">
        <v>400</v>
      </c>
      <c r="L35" s="25">
        <v>120</v>
      </c>
      <c r="M35" s="27">
        <v>30</v>
      </c>
      <c r="N35" s="25" t="s">
        <v>55</v>
      </c>
      <c r="O35" s="25" t="s">
        <v>27</v>
      </c>
      <c r="P35" s="25" t="s">
        <v>32</v>
      </c>
    </row>
    <row r="36" spans="1:16" x14ac:dyDescent="0.3">
      <c r="A36" s="25">
        <v>35</v>
      </c>
      <c r="B36" s="26">
        <v>45333</v>
      </c>
      <c r="C36" s="25" t="s">
        <v>54</v>
      </c>
      <c r="D36" s="25" t="s">
        <v>22</v>
      </c>
      <c r="E36" s="25" t="s">
        <v>103</v>
      </c>
      <c r="F36" s="25">
        <v>2</v>
      </c>
      <c r="G36" s="25" t="s">
        <v>102</v>
      </c>
      <c r="H36" s="25">
        <v>30</v>
      </c>
      <c r="I36" s="25">
        <v>20</v>
      </c>
      <c r="J36" s="25">
        <v>60</v>
      </c>
      <c r="K36" s="25">
        <v>40</v>
      </c>
      <c r="L36" s="25">
        <v>20</v>
      </c>
      <c r="M36" s="27">
        <v>50</v>
      </c>
      <c r="N36" s="25" t="s">
        <v>55</v>
      </c>
      <c r="O36" s="25" t="s">
        <v>28</v>
      </c>
      <c r="P36" s="25" t="s">
        <v>32</v>
      </c>
    </row>
    <row r="37" spans="1:16" x14ac:dyDescent="0.3">
      <c r="A37" s="25">
        <v>36</v>
      </c>
      <c r="B37" s="26">
        <v>45333</v>
      </c>
      <c r="C37" s="25" t="s">
        <v>54</v>
      </c>
      <c r="D37" s="25" t="s">
        <v>21</v>
      </c>
      <c r="E37" s="25" t="s">
        <v>88</v>
      </c>
      <c r="F37" s="25">
        <v>2</v>
      </c>
      <c r="G37" s="25" t="s">
        <v>89</v>
      </c>
      <c r="H37" s="25">
        <v>130</v>
      </c>
      <c r="I37" s="25">
        <v>100</v>
      </c>
      <c r="J37" s="25">
        <v>260</v>
      </c>
      <c r="K37" s="25">
        <v>200</v>
      </c>
      <c r="L37" s="25">
        <v>60</v>
      </c>
      <c r="M37" s="27">
        <v>30</v>
      </c>
      <c r="N37" s="25" t="s">
        <v>55</v>
      </c>
      <c r="O37" s="25" t="s">
        <v>27</v>
      </c>
      <c r="P37" s="25" t="s">
        <v>32</v>
      </c>
    </row>
    <row r="38" spans="1:16" x14ac:dyDescent="0.3">
      <c r="A38" s="25">
        <v>37</v>
      </c>
      <c r="B38" s="26">
        <v>45333</v>
      </c>
      <c r="C38" s="25" t="s">
        <v>54</v>
      </c>
      <c r="D38" s="25" t="s">
        <v>22</v>
      </c>
      <c r="E38" s="25" t="s">
        <v>90</v>
      </c>
      <c r="F38" s="25">
        <v>0.5</v>
      </c>
      <c r="G38" s="25" t="s">
        <v>91</v>
      </c>
      <c r="H38" s="25">
        <v>280</v>
      </c>
      <c r="I38" s="25">
        <v>240</v>
      </c>
      <c r="J38" s="25">
        <v>140</v>
      </c>
      <c r="K38" s="25">
        <v>120</v>
      </c>
      <c r="L38" s="25">
        <v>20</v>
      </c>
      <c r="M38" s="27">
        <v>16.6666666666667</v>
      </c>
      <c r="N38" s="25" t="s">
        <v>55</v>
      </c>
      <c r="O38" s="25" t="s">
        <v>28</v>
      </c>
      <c r="P38" s="25" t="s">
        <v>32</v>
      </c>
    </row>
    <row r="39" spans="1:16" x14ac:dyDescent="0.3">
      <c r="A39" s="25">
        <v>38</v>
      </c>
      <c r="B39" s="26">
        <v>45333</v>
      </c>
      <c r="C39" s="25" t="s">
        <v>54</v>
      </c>
      <c r="D39" s="25" t="s">
        <v>22</v>
      </c>
      <c r="E39" s="25" t="s">
        <v>90</v>
      </c>
      <c r="F39" s="25">
        <v>2</v>
      </c>
      <c r="G39" s="25" t="s">
        <v>91</v>
      </c>
      <c r="H39" s="25">
        <v>280</v>
      </c>
      <c r="I39" s="25">
        <v>240</v>
      </c>
      <c r="J39" s="25">
        <v>560</v>
      </c>
      <c r="K39" s="25">
        <v>480</v>
      </c>
      <c r="L39" s="25">
        <v>80</v>
      </c>
      <c r="M39" s="27">
        <v>16.6666666666667</v>
      </c>
      <c r="N39" s="25" t="s">
        <v>55</v>
      </c>
      <c r="O39" s="25" t="s">
        <v>28</v>
      </c>
      <c r="P39" s="25" t="s">
        <v>32</v>
      </c>
    </row>
    <row r="40" spans="1:16" x14ac:dyDescent="0.3">
      <c r="A40" s="25">
        <v>39</v>
      </c>
      <c r="B40" s="26">
        <v>45333</v>
      </c>
      <c r="C40" s="25" t="s">
        <v>54</v>
      </c>
      <c r="D40" s="25" t="s">
        <v>22</v>
      </c>
      <c r="E40" s="25" t="s">
        <v>90</v>
      </c>
      <c r="F40" s="25">
        <v>2</v>
      </c>
      <c r="G40" s="25" t="s">
        <v>91</v>
      </c>
      <c r="H40" s="25">
        <v>280</v>
      </c>
      <c r="I40" s="25">
        <v>240</v>
      </c>
      <c r="J40" s="25">
        <v>560</v>
      </c>
      <c r="K40" s="25">
        <v>480</v>
      </c>
      <c r="L40" s="25">
        <v>80</v>
      </c>
      <c r="M40" s="27">
        <v>16.6666666666667</v>
      </c>
      <c r="N40" s="25" t="s">
        <v>55</v>
      </c>
      <c r="O40" s="25" t="s">
        <v>28</v>
      </c>
      <c r="P40" s="25" t="s">
        <v>33</v>
      </c>
    </row>
    <row r="41" spans="1:16" x14ac:dyDescent="0.3">
      <c r="A41" s="25">
        <v>40</v>
      </c>
      <c r="B41" s="26">
        <v>45333</v>
      </c>
      <c r="C41" s="25" t="s">
        <v>54</v>
      </c>
      <c r="D41" s="25" t="s">
        <v>22</v>
      </c>
      <c r="E41" s="25" t="s">
        <v>90</v>
      </c>
      <c r="F41" s="25">
        <v>2</v>
      </c>
      <c r="G41" s="25" t="s">
        <v>91</v>
      </c>
      <c r="H41" s="25">
        <v>280</v>
      </c>
      <c r="I41" s="25">
        <v>240</v>
      </c>
      <c r="J41" s="25">
        <v>560</v>
      </c>
      <c r="K41" s="25">
        <v>480</v>
      </c>
      <c r="L41" s="25">
        <v>80</v>
      </c>
      <c r="M41" s="27">
        <v>16.6666666666667</v>
      </c>
      <c r="N41" s="25" t="s">
        <v>55</v>
      </c>
      <c r="O41" s="25" t="s">
        <v>28</v>
      </c>
      <c r="P41" s="25" t="s">
        <v>32</v>
      </c>
    </row>
    <row r="42" spans="1:16" x14ac:dyDescent="0.3">
      <c r="A42" s="25">
        <v>41</v>
      </c>
      <c r="B42" s="26">
        <v>45333</v>
      </c>
      <c r="C42" s="25" t="s">
        <v>54</v>
      </c>
      <c r="D42" s="25" t="s">
        <v>22</v>
      </c>
      <c r="E42" s="25" t="s">
        <v>92</v>
      </c>
      <c r="F42" s="25">
        <v>4</v>
      </c>
      <c r="G42" s="25" t="s">
        <v>91</v>
      </c>
      <c r="H42" s="25">
        <v>260</v>
      </c>
      <c r="I42" s="25">
        <v>220</v>
      </c>
      <c r="J42" s="25">
        <v>1040</v>
      </c>
      <c r="K42" s="25">
        <v>880</v>
      </c>
      <c r="L42" s="25">
        <v>160</v>
      </c>
      <c r="M42" s="27">
        <v>18.181818181818201</v>
      </c>
      <c r="N42" s="25" t="s">
        <v>55</v>
      </c>
      <c r="O42" s="25" t="s">
        <v>28</v>
      </c>
      <c r="P42" s="25" t="s">
        <v>32</v>
      </c>
    </row>
    <row r="43" spans="1:16" x14ac:dyDescent="0.3">
      <c r="A43" s="25">
        <v>42</v>
      </c>
      <c r="B43" s="26">
        <v>45333</v>
      </c>
      <c r="C43" s="25" t="s">
        <v>54</v>
      </c>
      <c r="D43" s="25" t="s">
        <v>22</v>
      </c>
      <c r="E43" s="25" t="s">
        <v>92</v>
      </c>
      <c r="F43" s="25">
        <v>0.5</v>
      </c>
      <c r="G43" s="25" t="s">
        <v>91</v>
      </c>
      <c r="H43" s="25">
        <v>260</v>
      </c>
      <c r="I43" s="25">
        <v>220</v>
      </c>
      <c r="J43" s="25">
        <v>130</v>
      </c>
      <c r="K43" s="25">
        <v>110</v>
      </c>
      <c r="L43" s="25">
        <v>20</v>
      </c>
      <c r="M43" s="27">
        <v>18.181818181818201</v>
      </c>
      <c r="N43" s="25" t="s">
        <v>55</v>
      </c>
      <c r="O43" s="25" t="s">
        <v>28</v>
      </c>
      <c r="P43" s="25" t="s">
        <v>32</v>
      </c>
    </row>
    <row r="44" spans="1:16" x14ac:dyDescent="0.3">
      <c r="A44" s="25">
        <v>43</v>
      </c>
      <c r="B44" s="26">
        <v>45333</v>
      </c>
      <c r="C44" s="25" t="s">
        <v>54</v>
      </c>
      <c r="D44" s="25" t="s">
        <v>22</v>
      </c>
      <c r="E44" s="25" t="s">
        <v>103</v>
      </c>
      <c r="F44" s="25">
        <v>2</v>
      </c>
      <c r="G44" s="25" t="s">
        <v>102</v>
      </c>
      <c r="H44" s="25">
        <v>30</v>
      </c>
      <c r="I44" s="25">
        <v>20</v>
      </c>
      <c r="J44" s="25">
        <v>60</v>
      </c>
      <c r="K44" s="25">
        <v>40</v>
      </c>
      <c r="L44" s="25">
        <v>20</v>
      </c>
      <c r="M44" s="27">
        <v>50</v>
      </c>
      <c r="N44" s="25" t="s">
        <v>55</v>
      </c>
      <c r="O44" s="25" t="s">
        <v>28</v>
      </c>
      <c r="P44" s="25" t="s">
        <v>32</v>
      </c>
    </row>
    <row r="45" spans="1:16" x14ac:dyDescent="0.3">
      <c r="A45" s="25">
        <v>44</v>
      </c>
      <c r="B45" s="26">
        <v>45334</v>
      </c>
      <c r="C45" s="25" t="s">
        <v>54</v>
      </c>
      <c r="D45" s="25" t="s">
        <v>21</v>
      </c>
      <c r="E45" s="25" t="s">
        <v>88</v>
      </c>
      <c r="F45" s="25">
        <v>2</v>
      </c>
      <c r="G45" s="25" t="s">
        <v>89</v>
      </c>
      <c r="H45" s="25">
        <v>130</v>
      </c>
      <c r="I45" s="25">
        <v>100</v>
      </c>
      <c r="J45" s="25">
        <v>260</v>
      </c>
      <c r="K45" s="25">
        <v>200</v>
      </c>
      <c r="L45" s="25">
        <v>60</v>
      </c>
      <c r="M45" s="27">
        <v>30</v>
      </c>
      <c r="N45" s="25" t="s">
        <v>55</v>
      </c>
      <c r="O45" s="25" t="s">
        <v>27</v>
      </c>
      <c r="P45" s="25" t="s">
        <v>32</v>
      </c>
    </row>
    <row r="46" spans="1:16" x14ac:dyDescent="0.3">
      <c r="A46" s="25">
        <v>45</v>
      </c>
      <c r="B46" s="26">
        <v>45334</v>
      </c>
      <c r="C46" s="25" t="s">
        <v>54</v>
      </c>
      <c r="D46" s="25" t="s">
        <v>22</v>
      </c>
      <c r="E46" s="25" t="s">
        <v>92</v>
      </c>
      <c r="F46" s="25">
        <v>2</v>
      </c>
      <c r="G46" s="25" t="s">
        <v>91</v>
      </c>
      <c r="H46" s="25">
        <v>260</v>
      </c>
      <c r="I46" s="25">
        <v>220</v>
      </c>
      <c r="J46" s="25">
        <v>520</v>
      </c>
      <c r="K46" s="25">
        <v>440</v>
      </c>
      <c r="L46" s="25">
        <v>80</v>
      </c>
      <c r="M46" s="27">
        <v>18.181818181818201</v>
      </c>
      <c r="N46" s="25" t="s">
        <v>55</v>
      </c>
      <c r="O46" s="25" t="s">
        <v>28</v>
      </c>
      <c r="P46" s="25" t="s">
        <v>32</v>
      </c>
    </row>
    <row r="47" spans="1:16" x14ac:dyDescent="0.3">
      <c r="A47" s="25">
        <v>46</v>
      </c>
      <c r="B47" s="26">
        <v>45334</v>
      </c>
      <c r="C47" s="25" t="s">
        <v>54</v>
      </c>
      <c r="D47" s="25" t="s">
        <v>21</v>
      </c>
      <c r="E47" s="25" t="s">
        <v>88</v>
      </c>
      <c r="F47" s="25">
        <v>4</v>
      </c>
      <c r="G47" s="25" t="s">
        <v>89</v>
      </c>
      <c r="H47" s="25">
        <v>130</v>
      </c>
      <c r="I47" s="25">
        <v>100</v>
      </c>
      <c r="J47" s="25">
        <v>520</v>
      </c>
      <c r="K47" s="25">
        <v>400</v>
      </c>
      <c r="L47" s="25">
        <v>120</v>
      </c>
      <c r="M47" s="27">
        <v>30</v>
      </c>
      <c r="N47" s="25" t="s">
        <v>55</v>
      </c>
      <c r="O47" s="25" t="s">
        <v>27</v>
      </c>
      <c r="P47" s="25" t="s">
        <v>32</v>
      </c>
    </row>
    <row r="48" spans="1:16" x14ac:dyDescent="0.3">
      <c r="A48" s="25">
        <v>47</v>
      </c>
      <c r="B48" s="26">
        <v>45334</v>
      </c>
      <c r="C48" s="25" t="s">
        <v>54</v>
      </c>
      <c r="D48" s="25" t="s">
        <v>22</v>
      </c>
      <c r="E48" s="25" t="s">
        <v>90</v>
      </c>
      <c r="F48" s="25">
        <v>1</v>
      </c>
      <c r="G48" s="25" t="s">
        <v>91</v>
      </c>
      <c r="H48" s="25">
        <v>280</v>
      </c>
      <c r="I48" s="25">
        <v>240</v>
      </c>
      <c r="J48" s="25">
        <v>280</v>
      </c>
      <c r="K48" s="25">
        <v>240</v>
      </c>
      <c r="L48" s="25">
        <v>40</v>
      </c>
      <c r="M48" s="27">
        <v>16.6666666666667</v>
      </c>
      <c r="N48" s="25" t="s">
        <v>55</v>
      </c>
      <c r="O48" s="25" t="s">
        <v>28</v>
      </c>
      <c r="P48" s="25" t="s">
        <v>32</v>
      </c>
    </row>
    <row r="49" spans="1:16" x14ac:dyDescent="0.3">
      <c r="A49" s="25">
        <v>48</v>
      </c>
      <c r="B49" s="26">
        <v>45334</v>
      </c>
      <c r="C49" s="25" t="s">
        <v>54</v>
      </c>
      <c r="D49" s="25" t="s">
        <v>22</v>
      </c>
      <c r="E49" s="25" t="s">
        <v>90</v>
      </c>
      <c r="F49" s="25">
        <v>4</v>
      </c>
      <c r="G49" s="25" t="s">
        <v>91</v>
      </c>
      <c r="H49" s="25">
        <v>280</v>
      </c>
      <c r="I49" s="25">
        <v>240</v>
      </c>
      <c r="J49" s="25">
        <v>1120</v>
      </c>
      <c r="K49" s="25">
        <v>960</v>
      </c>
      <c r="L49" s="25">
        <v>160</v>
      </c>
      <c r="M49" s="27">
        <v>16.6666666666667</v>
      </c>
      <c r="N49" s="25" t="s">
        <v>55</v>
      </c>
      <c r="O49" s="25" t="s">
        <v>28</v>
      </c>
      <c r="P49" s="25" t="s">
        <v>32</v>
      </c>
    </row>
    <row r="50" spans="1:16" x14ac:dyDescent="0.3">
      <c r="A50" s="25">
        <v>49</v>
      </c>
      <c r="B50" s="26">
        <v>45334</v>
      </c>
      <c r="C50" s="25" t="s">
        <v>54</v>
      </c>
      <c r="D50" s="25" t="s">
        <v>22</v>
      </c>
      <c r="E50" s="25" t="s">
        <v>92</v>
      </c>
      <c r="F50" s="25">
        <v>2</v>
      </c>
      <c r="G50" s="25" t="s">
        <v>91</v>
      </c>
      <c r="H50" s="25">
        <v>260</v>
      </c>
      <c r="I50" s="25">
        <v>220</v>
      </c>
      <c r="J50" s="25">
        <v>520</v>
      </c>
      <c r="K50" s="25">
        <v>440</v>
      </c>
      <c r="L50" s="25">
        <v>80</v>
      </c>
      <c r="M50" s="27">
        <v>18.181818181818201</v>
      </c>
      <c r="N50" s="25" t="s">
        <v>55</v>
      </c>
      <c r="O50" s="25" t="s">
        <v>28</v>
      </c>
      <c r="P50" s="25" t="s">
        <v>32</v>
      </c>
    </row>
    <row r="51" spans="1:16" x14ac:dyDescent="0.3">
      <c r="A51" s="25">
        <v>50</v>
      </c>
      <c r="B51" s="26">
        <v>45334</v>
      </c>
      <c r="C51" s="25" t="s">
        <v>54</v>
      </c>
      <c r="D51" s="25" t="s">
        <v>21</v>
      </c>
      <c r="E51" s="25" t="s">
        <v>88</v>
      </c>
      <c r="F51" s="25">
        <v>3</v>
      </c>
      <c r="G51" s="25" t="s">
        <v>89</v>
      </c>
      <c r="H51" s="25">
        <v>130</v>
      </c>
      <c r="I51" s="25">
        <v>100</v>
      </c>
      <c r="J51" s="25">
        <v>390</v>
      </c>
      <c r="K51" s="25">
        <v>300</v>
      </c>
      <c r="L51" s="25">
        <v>90</v>
      </c>
      <c r="M51" s="27">
        <v>30</v>
      </c>
      <c r="N51" s="25" t="s">
        <v>55</v>
      </c>
      <c r="O51" s="25" t="s">
        <v>27</v>
      </c>
      <c r="P51" s="25" t="s">
        <v>32</v>
      </c>
    </row>
    <row r="52" spans="1:16" x14ac:dyDescent="0.3">
      <c r="A52" s="25">
        <v>51</v>
      </c>
      <c r="B52" s="26">
        <v>45334</v>
      </c>
      <c r="C52" s="25" t="s">
        <v>54</v>
      </c>
      <c r="D52" s="25" t="s">
        <v>22</v>
      </c>
      <c r="E52" s="25" t="s">
        <v>90</v>
      </c>
      <c r="F52" s="25">
        <v>2</v>
      </c>
      <c r="G52" s="25" t="s">
        <v>91</v>
      </c>
      <c r="H52" s="25">
        <v>280</v>
      </c>
      <c r="I52" s="25">
        <v>240</v>
      </c>
      <c r="J52" s="25">
        <v>560</v>
      </c>
      <c r="K52" s="25">
        <v>480</v>
      </c>
      <c r="L52" s="25">
        <v>80</v>
      </c>
      <c r="M52" s="27">
        <v>16.6666666666667</v>
      </c>
      <c r="N52" s="25" t="s">
        <v>55</v>
      </c>
      <c r="O52" s="25" t="s">
        <v>28</v>
      </c>
      <c r="P52" s="25" t="s">
        <v>32</v>
      </c>
    </row>
    <row r="53" spans="1:16" x14ac:dyDescent="0.3">
      <c r="A53" s="25">
        <v>52</v>
      </c>
      <c r="B53" s="26">
        <v>45334</v>
      </c>
      <c r="C53" s="25" t="s">
        <v>54</v>
      </c>
      <c r="D53" s="25" t="s">
        <v>22</v>
      </c>
      <c r="E53" s="25" t="s">
        <v>96</v>
      </c>
      <c r="F53" s="25">
        <v>1</v>
      </c>
      <c r="G53" s="25" t="s">
        <v>97</v>
      </c>
      <c r="H53" s="25">
        <v>300</v>
      </c>
      <c r="I53" s="25">
        <v>265</v>
      </c>
      <c r="J53" s="25">
        <v>300</v>
      </c>
      <c r="K53" s="25">
        <v>265</v>
      </c>
      <c r="L53" s="25">
        <v>35</v>
      </c>
      <c r="M53" s="27">
        <v>13.207547169811299</v>
      </c>
      <c r="N53" s="25" t="s">
        <v>55</v>
      </c>
      <c r="O53" s="25" t="s">
        <v>28</v>
      </c>
      <c r="P53" s="25" t="s">
        <v>32</v>
      </c>
    </row>
    <row r="54" spans="1:16" x14ac:dyDescent="0.3">
      <c r="A54" s="25">
        <v>53</v>
      </c>
      <c r="B54" s="26">
        <v>45334</v>
      </c>
      <c r="C54" s="25" t="s">
        <v>54</v>
      </c>
      <c r="D54" s="25" t="s">
        <v>22</v>
      </c>
      <c r="E54" s="25" t="s">
        <v>92</v>
      </c>
      <c r="F54" s="25">
        <v>2</v>
      </c>
      <c r="G54" s="25" t="s">
        <v>91</v>
      </c>
      <c r="H54" s="25">
        <v>260</v>
      </c>
      <c r="I54" s="25">
        <v>220</v>
      </c>
      <c r="J54" s="25">
        <v>520</v>
      </c>
      <c r="K54" s="25">
        <v>440</v>
      </c>
      <c r="L54" s="25">
        <v>80</v>
      </c>
      <c r="M54" s="27">
        <v>18.181818181818201</v>
      </c>
      <c r="N54" s="25" t="s">
        <v>55</v>
      </c>
      <c r="O54" s="25" t="s">
        <v>28</v>
      </c>
      <c r="P54" s="25" t="s">
        <v>32</v>
      </c>
    </row>
    <row r="55" spans="1:16" x14ac:dyDescent="0.3">
      <c r="A55" s="25">
        <v>54</v>
      </c>
      <c r="B55" s="26">
        <v>45334</v>
      </c>
      <c r="C55" s="25" t="s">
        <v>54</v>
      </c>
      <c r="D55" s="25" t="s">
        <v>22</v>
      </c>
      <c r="E55" s="25" t="s">
        <v>103</v>
      </c>
      <c r="F55" s="25">
        <v>1</v>
      </c>
      <c r="G55" s="25" t="s">
        <v>102</v>
      </c>
      <c r="H55" s="25">
        <v>30</v>
      </c>
      <c r="I55" s="25">
        <v>20</v>
      </c>
      <c r="J55" s="25">
        <v>30</v>
      </c>
      <c r="K55" s="25">
        <v>20</v>
      </c>
      <c r="L55" s="25">
        <v>10</v>
      </c>
      <c r="M55" s="27">
        <v>50</v>
      </c>
      <c r="N55" s="25" t="s">
        <v>55</v>
      </c>
      <c r="O55" s="25" t="s">
        <v>28</v>
      </c>
      <c r="P55" s="25" t="s">
        <v>32</v>
      </c>
    </row>
    <row r="56" spans="1:16" x14ac:dyDescent="0.3">
      <c r="A56" s="25">
        <v>55</v>
      </c>
      <c r="B56" s="26">
        <v>45335</v>
      </c>
      <c r="C56" s="25" t="s">
        <v>54</v>
      </c>
      <c r="D56" s="25" t="s">
        <v>21</v>
      </c>
      <c r="E56" s="25" t="s">
        <v>95</v>
      </c>
      <c r="F56" s="25">
        <v>5</v>
      </c>
      <c r="G56" s="25" t="s">
        <v>89</v>
      </c>
      <c r="H56" s="25">
        <v>150</v>
      </c>
      <c r="I56" s="25">
        <v>100</v>
      </c>
      <c r="J56" s="25">
        <v>750</v>
      </c>
      <c r="K56" s="25">
        <v>500</v>
      </c>
      <c r="L56" s="25">
        <v>250</v>
      </c>
      <c r="M56" s="27">
        <v>50</v>
      </c>
      <c r="N56" s="25" t="s">
        <v>55</v>
      </c>
      <c r="O56" s="25" t="s">
        <v>28</v>
      </c>
      <c r="P56" s="25" t="s">
        <v>32</v>
      </c>
    </row>
    <row r="57" spans="1:16" x14ac:dyDescent="0.3">
      <c r="A57" s="25">
        <v>56</v>
      </c>
      <c r="B57" s="26">
        <v>45335</v>
      </c>
      <c r="C57" s="25" t="s">
        <v>54</v>
      </c>
      <c r="D57" s="25" t="s">
        <v>22</v>
      </c>
      <c r="E57" s="25" t="s">
        <v>90</v>
      </c>
      <c r="F57" s="25">
        <v>2</v>
      </c>
      <c r="G57" s="25" t="s">
        <v>91</v>
      </c>
      <c r="H57" s="25">
        <v>280</v>
      </c>
      <c r="I57" s="25">
        <v>240</v>
      </c>
      <c r="J57" s="25">
        <v>560</v>
      </c>
      <c r="K57" s="25">
        <v>480</v>
      </c>
      <c r="L57" s="25">
        <v>80</v>
      </c>
      <c r="M57" s="27">
        <v>16.6666666666667</v>
      </c>
      <c r="N57" s="25" t="s">
        <v>55</v>
      </c>
      <c r="O57" s="25" t="s">
        <v>28</v>
      </c>
      <c r="P57" s="25" t="s">
        <v>32</v>
      </c>
    </row>
    <row r="58" spans="1:16" x14ac:dyDescent="0.3">
      <c r="A58" s="25">
        <v>57</v>
      </c>
      <c r="B58" s="26">
        <v>45335</v>
      </c>
      <c r="C58" s="25" t="s">
        <v>54</v>
      </c>
      <c r="D58" s="25" t="s">
        <v>22</v>
      </c>
      <c r="E58" s="25" t="s">
        <v>90</v>
      </c>
      <c r="F58" s="25">
        <v>1</v>
      </c>
      <c r="G58" s="25" t="s">
        <v>91</v>
      </c>
      <c r="H58" s="25">
        <v>280</v>
      </c>
      <c r="I58" s="25">
        <v>240</v>
      </c>
      <c r="J58" s="25">
        <v>280</v>
      </c>
      <c r="K58" s="25">
        <v>240</v>
      </c>
      <c r="L58" s="25">
        <v>40</v>
      </c>
      <c r="M58" s="27">
        <v>16.6666666666667</v>
      </c>
      <c r="N58" s="25" t="s">
        <v>55</v>
      </c>
      <c r="O58" s="25" t="s">
        <v>28</v>
      </c>
      <c r="P58" s="25" t="s">
        <v>32</v>
      </c>
    </row>
    <row r="59" spans="1:16" x14ac:dyDescent="0.3">
      <c r="A59" s="25">
        <v>58</v>
      </c>
      <c r="B59" s="26">
        <v>45335</v>
      </c>
      <c r="C59" s="25" t="s">
        <v>54</v>
      </c>
      <c r="D59" s="25" t="s">
        <v>22</v>
      </c>
      <c r="E59" s="25" t="s">
        <v>92</v>
      </c>
      <c r="F59" s="25">
        <v>3</v>
      </c>
      <c r="G59" s="25" t="s">
        <v>91</v>
      </c>
      <c r="H59" s="25">
        <v>260</v>
      </c>
      <c r="I59" s="25">
        <v>220</v>
      </c>
      <c r="J59" s="25">
        <v>780</v>
      </c>
      <c r="K59" s="25">
        <v>660</v>
      </c>
      <c r="L59" s="25">
        <v>120</v>
      </c>
      <c r="M59" s="27">
        <v>18.181818181818201</v>
      </c>
      <c r="N59" s="25" t="s">
        <v>55</v>
      </c>
      <c r="O59" s="25" t="s">
        <v>28</v>
      </c>
      <c r="P59" s="25" t="s">
        <v>32</v>
      </c>
    </row>
    <row r="60" spans="1:16" x14ac:dyDescent="0.3">
      <c r="A60" s="25">
        <v>59</v>
      </c>
      <c r="B60" s="26">
        <v>45335</v>
      </c>
      <c r="C60" s="25" t="s">
        <v>54</v>
      </c>
      <c r="D60" s="25" t="s">
        <v>21</v>
      </c>
      <c r="E60" s="25" t="s">
        <v>88</v>
      </c>
      <c r="F60" s="25">
        <v>3</v>
      </c>
      <c r="G60" s="25" t="s">
        <v>89</v>
      </c>
      <c r="H60" s="25">
        <v>130</v>
      </c>
      <c r="I60" s="25">
        <v>100</v>
      </c>
      <c r="J60" s="25">
        <v>390</v>
      </c>
      <c r="K60" s="25">
        <v>300</v>
      </c>
      <c r="L60" s="25">
        <v>90</v>
      </c>
      <c r="M60" s="27">
        <v>30</v>
      </c>
      <c r="N60" s="25" t="s">
        <v>55</v>
      </c>
      <c r="O60" s="25" t="s">
        <v>27</v>
      </c>
      <c r="P60" s="25" t="s">
        <v>32</v>
      </c>
    </row>
    <row r="61" spans="1:16" x14ac:dyDescent="0.3">
      <c r="A61" s="25">
        <v>60</v>
      </c>
      <c r="B61" s="26">
        <v>45335</v>
      </c>
      <c r="C61" s="25" t="s">
        <v>54</v>
      </c>
      <c r="D61" s="25" t="s">
        <v>22</v>
      </c>
      <c r="E61" s="25" t="s">
        <v>90</v>
      </c>
      <c r="F61" s="25">
        <v>2.5</v>
      </c>
      <c r="G61" s="25" t="s">
        <v>91</v>
      </c>
      <c r="H61" s="25">
        <v>280</v>
      </c>
      <c r="I61" s="25">
        <v>240</v>
      </c>
      <c r="J61" s="25">
        <v>700</v>
      </c>
      <c r="K61" s="25">
        <v>600</v>
      </c>
      <c r="L61" s="25">
        <v>100</v>
      </c>
      <c r="M61" s="27">
        <v>16.6666666666667</v>
      </c>
      <c r="N61" s="25" t="s">
        <v>55</v>
      </c>
      <c r="O61" s="25" t="s">
        <v>28</v>
      </c>
      <c r="P61" s="25" t="s">
        <v>32</v>
      </c>
    </row>
    <row r="62" spans="1:16" x14ac:dyDescent="0.3">
      <c r="A62" s="25">
        <v>61</v>
      </c>
      <c r="B62" s="26">
        <v>45335</v>
      </c>
      <c r="C62" s="25" t="s">
        <v>54</v>
      </c>
      <c r="D62" s="25" t="s">
        <v>22</v>
      </c>
      <c r="E62" s="25" t="s">
        <v>90</v>
      </c>
      <c r="F62" s="25">
        <v>0.5</v>
      </c>
      <c r="G62" s="25" t="s">
        <v>91</v>
      </c>
      <c r="H62" s="25">
        <v>280</v>
      </c>
      <c r="I62" s="25">
        <v>240</v>
      </c>
      <c r="J62" s="25">
        <v>140</v>
      </c>
      <c r="K62" s="25">
        <v>120</v>
      </c>
      <c r="L62" s="25">
        <v>20</v>
      </c>
      <c r="M62" s="27">
        <v>16.6666666666667</v>
      </c>
      <c r="N62" s="25" t="s">
        <v>55</v>
      </c>
      <c r="O62" s="25" t="s">
        <v>28</v>
      </c>
      <c r="P62" s="25" t="s">
        <v>32</v>
      </c>
    </row>
    <row r="63" spans="1:16" x14ac:dyDescent="0.3">
      <c r="A63" s="25">
        <v>62</v>
      </c>
      <c r="B63" s="26">
        <v>45335</v>
      </c>
      <c r="C63" s="25" t="s">
        <v>54</v>
      </c>
      <c r="D63" s="25" t="s">
        <v>22</v>
      </c>
      <c r="E63" s="25" t="s">
        <v>90</v>
      </c>
      <c r="F63" s="25">
        <v>1</v>
      </c>
      <c r="G63" s="25" t="s">
        <v>91</v>
      </c>
      <c r="H63" s="25">
        <v>280</v>
      </c>
      <c r="I63" s="25">
        <v>240</v>
      </c>
      <c r="J63" s="25">
        <v>280</v>
      </c>
      <c r="K63" s="25">
        <v>240</v>
      </c>
      <c r="L63" s="25">
        <v>40</v>
      </c>
      <c r="M63" s="27">
        <v>16.6666666666667</v>
      </c>
      <c r="N63" s="25" t="s">
        <v>55</v>
      </c>
      <c r="O63" s="25" t="s">
        <v>28</v>
      </c>
      <c r="P63" s="25" t="s">
        <v>32</v>
      </c>
    </row>
    <row r="64" spans="1:16" x14ac:dyDescent="0.3">
      <c r="A64" s="25">
        <v>63</v>
      </c>
      <c r="B64" s="26">
        <v>45336</v>
      </c>
      <c r="C64" s="25" t="s">
        <v>54</v>
      </c>
      <c r="D64" s="25" t="s">
        <v>21</v>
      </c>
      <c r="E64" s="25" t="s">
        <v>88</v>
      </c>
      <c r="F64" s="25">
        <v>4</v>
      </c>
      <c r="G64" s="25" t="s">
        <v>89</v>
      </c>
      <c r="H64" s="25">
        <v>130</v>
      </c>
      <c r="I64" s="25">
        <v>100</v>
      </c>
      <c r="J64" s="25">
        <v>520</v>
      </c>
      <c r="K64" s="25">
        <v>400</v>
      </c>
      <c r="L64" s="25">
        <v>120</v>
      </c>
      <c r="M64" s="27">
        <v>30</v>
      </c>
      <c r="N64" s="25" t="s">
        <v>55</v>
      </c>
      <c r="O64" s="25" t="s">
        <v>27</v>
      </c>
      <c r="P64" s="25" t="s">
        <v>32</v>
      </c>
    </row>
    <row r="65" spans="1:16" x14ac:dyDescent="0.3">
      <c r="A65" s="25">
        <v>64</v>
      </c>
      <c r="B65" s="26">
        <v>45336</v>
      </c>
      <c r="C65" s="25" t="s">
        <v>54</v>
      </c>
      <c r="D65" s="25" t="s">
        <v>22</v>
      </c>
      <c r="E65" s="25" t="s">
        <v>92</v>
      </c>
      <c r="F65" s="25">
        <v>2</v>
      </c>
      <c r="G65" s="25" t="s">
        <v>91</v>
      </c>
      <c r="H65" s="25">
        <v>260</v>
      </c>
      <c r="I65" s="25">
        <v>220</v>
      </c>
      <c r="J65" s="25">
        <v>520</v>
      </c>
      <c r="K65" s="25">
        <v>440</v>
      </c>
      <c r="L65" s="25">
        <v>80</v>
      </c>
      <c r="M65" s="27">
        <v>18.181818181818201</v>
      </c>
      <c r="N65" s="25" t="s">
        <v>55</v>
      </c>
      <c r="O65" s="25" t="s">
        <v>28</v>
      </c>
      <c r="P65" s="25" t="s">
        <v>32</v>
      </c>
    </row>
    <row r="66" spans="1:16" x14ac:dyDescent="0.3">
      <c r="A66" s="25">
        <v>65</v>
      </c>
      <c r="B66" s="26">
        <v>45336</v>
      </c>
      <c r="C66" s="25" t="s">
        <v>54</v>
      </c>
      <c r="D66" s="25" t="s">
        <v>22</v>
      </c>
      <c r="E66" s="25" t="s">
        <v>92</v>
      </c>
      <c r="F66" s="25">
        <v>2</v>
      </c>
      <c r="G66" s="25" t="s">
        <v>91</v>
      </c>
      <c r="H66" s="25">
        <v>260</v>
      </c>
      <c r="I66" s="25">
        <v>220</v>
      </c>
      <c r="J66" s="25">
        <v>520</v>
      </c>
      <c r="K66" s="25">
        <v>440</v>
      </c>
      <c r="L66" s="25">
        <v>80</v>
      </c>
      <c r="M66" s="27">
        <v>18.181818181818201</v>
      </c>
      <c r="N66" s="25" t="s">
        <v>55</v>
      </c>
      <c r="O66" s="25" t="s">
        <v>28</v>
      </c>
      <c r="P66" s="25" t="s">
        <v>32</v>
      </c>
    </row>
    <row r="67" spans="1:16" x14ac:dyDescent="0.3">
      <c r="A67" s="25">
        <v>66</v>
      </c>
      <c r="B67" s="26">
        <v>45336</v>
      </c>
      <c r="C67" s="25" t="s">
        <v>54</v>
      </c>
      <c r="D67" s="25" t="s">
        <v>22</v>
      </c>
      <c r="E67" s="25" t="s">
        <v>90</v>
      </c>
      <c r="F67" s="25">
        <v>3</v>
      </c>
      <c r="G67" s="25" t="s">
        <v>91</v>
      </c>
      <c r="H67" s="25">
        <v>280</v>
      </c>
      <c r="I67" s="25">
        <v>240</v>
      </c>
      <c r="J67" s="25">
        <v>840</v>
      </c>
      <c r="K67" s="25">
        <v>720</v>
      </c>
      <c r="L67" s="25">
        <v>120</v>
      </c>
      <c r="M67" s="27">
        <v>16.6666666666667</v>
      </c>
      <c r="N67" s="25" t="s">
        <v>55</v>
      </c>
      <c r="O67" s="25" t="s">
        <v>28</v>
      </c>
      <c r="P67" s="25" t="s">
        <v>32</v>
      </c>
    </row>
    <row r="68" spans="1:16" x14ac:dyDescent="0.3">
      <c r="A68" s="25">
        <v>67</v>
      </c>
      <c r="B68" s="26">
        <v>45336</v>
      </c>
      <c r="C68" s="25" t="s">
        <v>54</v>
      </c>
      <c r="D68" s="25" t="s">
        <v>21</v>
      </c>
      <c r="E68" s="25" t="s">
        <v>88</v>
      </c>
      <c r="F68" s="25">
        <v>1</v>
      </c>
      <c r="G68" s="25" t="s">
        <v>89</v>
      </c>
      <c r="H68" s="25">
        <v>130</v>
      </c>
      <c r="I68" s="25">
        <v>100</v>
      </c>
      <c r="J68" s="25">
        <v>130</v>
      </c>
      <c r="K68" s="25">
        <v>100</v>
      </c>
      <c r="L68" s="25">
        <v>30</v>
      </c>
      <c r="M68" s="27">
        <v>30</v>
      </c>
      <c r="N68" s="25" t="s">
        <v>55</v>
      </c>
      <c r="O68" s="25" t="s">
        <v>27</v>
      </c>
      <c r="P68" s="25" t="s">
        <v>32</v>
      </c>
    </row>
    <row r="69" spans="1:16" x14ac:dyDescent="0.3">
      <c r="A69" s="25">
        <v>68</v>
      </c>
      <c r="B69" s="26">
        <v>45336</v>
      </c>
      <c r="C69" s="25" t="s">
        <v>54</v>
      </c>
      <c r="D69" s="25" t="s">
        <v>22</v>
      </c>
      <c r="E69" s="25" t="s">
        <v>90</v>
      </c>
      <c r="F69" s="25">
        <v>2</v>
      </c>
      <c r="G69" s="25" t="s">
        <v>91</v>
      </c>
      <c r="H69" s="25">
        <v>280</v>
      </c>
      <c r="I69" s="25">
        <v>240</v>
      </c>
      <c r="J69" s="25">
        <v>560</v>
      </c>
      <c r="K69" s="25">
        <v>480</v>
      </c>
      <c r="L69" s="25">
        <v>80</v>
      </c>
      <c r="M69" s="27">
        <v>16.6666666666667</v>
      </c>
      <c r="N69" s="25" t="s">
        <v>55</v>
      </c>
      <c r="O69" s="25" t="s">
        <v>28</v>
      </c>
      <c r="P69" s="25" t="s">
        <v>33</v>
      </c>
    </row>
    <row r="70" spans="1:16" x14ac:dyDescent="0.3">
      <c r="A70" s="25">
        <v>69</v>
      </c>
      <c r="B70" s="26">
        <v>45337</v>
      </c>
      <c r="C70" s="25" t="s">
        <v>54</v>
      </c>
      <c r="D70" s="25" t="s">
        <v>21</v>
      </c>
      <c r="E70" s="25" t="s">
        <v>88</v>
      </c>
      <c r="F70" s="25">
        <v>4</v>
      </c>
      <c r="G70" s="25" t="s">
        <v>89</v>
      </c>
      <c r="H70" s="25">
        <v>130</v>
      </c>
      <c r="I70" s="25">
        <v>100</v>
      </c>
      <c r="J70" s="25">
        <v>520</v>
      </c>
      <c r="K70" s="25">
        <v>400</v>
      </c>
      <c r="L70" s="25">
        <v>120</v>
      </c>
      <c r="M70" s="27">
        <v>30</v>
      </c>
      <c r="N70" s="25" t="s">
        <v>55</v>
      </c>
      <c r="O70" s="25" t="s">
        <v>27</v>
      </c>
      <c r="P70" s="25" t="s">
        <v>32</v>
      </c>
    </row>
    <row r="71" spans="1:16" x14ac:dyDescent="0.3">
      <c r="A71" s="25">
        <v>70</v>
      </c>
      <c r="B71" s="26">
        <v>45337</v>
      </c>
      <c r="C71" s="25" t="s">
        <v>54</v>
      </c>
      <c r="D71" s="25" t="s">
        <v>22</v>
      </c>
      <c r="E71" s="25" t="s">
        <v>92</v>
      </c>
      <c r="F71" s="25">
        <v>2.5</v>
      </c>
      <c r="G71" s="25" t="s">
        <v>91</v>
      </c>
      <c r="H71" s="25">
        <v>260</v>
      </c>
      <c r="I71" s="25">
        <v>220</v>
      </c>
      <c r="J71" s="25">
        <v>650</v>
      </c>
      <c r="K71" s="25">
        <v>550</v>
      </c>
      <c r="L71" s="25">
        <v>100</v>
      </c>
      <c r="M71" s="27">
        <v>18.181818181818201</v>
      </c>
      <c r="N71" s="25" t="s">
        <v>55</v>
      </c>
      <c r="O71" s="25" t="s">
        <v>28</v>
      </c>
      <c r="P71" s="25" t="s">
        <v>33</v>
      </c>
    </row>
    <row r="72" spans="1:16" x14ac:dyDescent="0.3">
      <c r="A72" s="25">
        <v>71</v>
      </c>
      <c r="B72" s="26">
        <v>45337</v>
      </c>
      <c r="C72" s="25" t="s">
        <v>54</v>
      </c>
      <c r="D72" s="25" t="s">
        <v>21</v>
      </c>
      <c r="E72" s="25" t="s">
        <v>88</v>
      </c>
      <c r="F72" s="25">
        <v>2</v>
      </c>
      <c r="G72" s="25" t="s">
        <v>89</v>
      </c>
      <c r="H72" s="25">
        <v>130</v>
      </c>
      <c r="I72" s="25">
        <v>100</v>
      </c>
      <c r="J72" s="25">
        <v>260</v>
      </c>
      <c r="K72" s="25">
        <v>200</v>
      </c>
      <c r="L72" s="25">
        <v>60</v>
      </c>
      <c r="M72" s="27">
        <v>30</v>
      </c>
      <c r="N72" s="25" t="s">
        <v>55</v>
      </c>
      <c r="O72" s="25" t="s">
        <v>27</v>
      </c>
      <c r="P72" s="25" t="s">
        <v>32</v>
      </c>
    </row>
    <row r="73" spans="1:16" x14ac:dyDescent="0.3">
      <c r="A73" s="25">
        <v>72</v>
      </c>
      <c r="B73" s="26">
        <v>45337</v>
      </c>
      <c r="C73" s="25" t="s">
        <v>54</v>
      </c>
      <c r="D73" s="25" t="s">
        <v>21</v>
      </c>
      <c r="E73" s="25" t="s">
        <v>88</v>
      </c>
      <c r="F73" s="25">
        <v>1</v>
      </c>
      <c r="G73" s="25" t="s">
        <v>89</v>
      </c>
      <c r="H73" s="25">
        <v>130</v>
      </c>
      <c r="I73" s="25">
        <v>100</v>
      </c>
      <c r="J73" s="25">
        <v>130</v>
      </c>
      <c r="K73" s="25">
        <v>100</v>
      </c>
      <c r="L73" s="25">
        <v>30</v>
      </c>
      <c r="M73" s="27">
        <v>30</v>
      </c>
      <c r="N73" s="25" t="s">
        <v>55</v>
      </c>
      <c r="O73" s="25" t="s">
        <v>27</v>
      </c>
      <c r="P73" s="25" t="s">
        <v>32</v>
      </c>
    </row>
    <row r="74" spans="1:16" x14ac:dyDescent="0.3">
      <c r="A74" s="25">
        <v>73</v>
      </c>
      <c r="B74" s="26">
        <v>45337</v>
      </c>
      <c r="C74" s="25" t="s">
        <v>54</v>
      </c>
      <c r="D74" s="25" t="s">
        <v>22</v>
      </c>
      <c r="E74" s="25" t="s">
        <v>96</v>
      </c>
      <c r="F74" s="25">
        <v>1</v>
      </c>
      <c r="G74" s="25" t="s">
        <v>97</v>
      </c>
      <c r="H74" s="25">
        <v>300</v>
      </c>
      <c r="I74" s="25">
        <v>265</v>
      </c>
      <c r="J74" s="25">
        <v>300</v>
      </c>
      <c r="K74" s="25">
        <v>265</v>
      </c>
      <c r="L74" s="25">
        <v>35</v>
      </c>
      <c r="M74" s="27">
        <v>13.207547169811299</v>
      </c>
      <c r="N74" s="25" t="s">
        <v>55</v>
      </c>
      <c r="O74" s="25" t="s">
        <v>28</v>
      </c>
      <c r="P74" s="25" t="s">
        <v>32</v>
      </c>
    </row>
    <row r="75" spans="1:16" x14ac:dyDescent="0.3">
      <c r="A75" s="25">
        <v>74</v>
      </c>
      <c r="B75" s="26">
        <v>45337</v>
      </c>
      <c r="C75" s="25" t="s">
        <v>54</v>
      </c>
      <c r="D75" s="25" t="s">
        <v>22</v>
      </c>
      <c r="E75" s="25" t="s">
        <v>101</v>
      </c>
      <c r="F75" s="25">
        <v>15</v>
      </c>
      <c r="G75" s="25" t="s">
        <v>102</v>
      </c>
      <c r="H75" s="25">
        <v>6</v>
      </c>
      <c r="I75" s="25">
        <v>4</v>
      </c>
      <c r="J75" s="25">
        <v>90</v>
      </c>
      <c r="K75" s="25">
        <v>60</v>
      </c>
      <c r="L75" s="25">
        <v>30</v>
      </c>
      <c r="M75" s="27">
        <v>50</v>
      </c>
      <c r="N75" s="25" t="s">
        <v>55</v>
      </c>
      <c r="O75" s="25" t="s">
        <v>28</v>
      </c>
      <c r="P75" s="25" t="s">
        <v>32</v>
      </c>
    </row>
    <row r="76" spans="1:16" x14ac:dyDescent="0.3">
      <c r="A76" s="25">
        <v>75</v>
      </c>
      <c r="B76" s="26">
        <v>45337</v>
      </c>
      <c r="C76" s="25" t="s">
        <v>54</v>
      </c>
      <c r="D76" s="25" t="s">
        <v>22</v>
      </c>
      <c r="E76" s="25" t="s">
        <v>99</v>
      </c>
      <c r="F76" s="25">
        <v>2</v>
      </c>
      <c r="G76" s="25" t="s">
        <v>100</v>
      </c>
      <c r="H76" s="25">
        <v>200</v>
      </c>
      <c r="I76" s="25">
        <v>160</v>
      </c>
      <c r="J76" s="25">
        <v>400</v>
      </c>
      <c r="K76" s="25">
        <v>320</v>
      </c>
      <c r="L76" s="25">
        <v>80</v>
      </c>
      <c r="M76" s="27">
        <v>25</v>
      </c>
      <c r="N76" s="25" t="s">
        <v>55</v>
      </c>
      <c r="O76" s="25" t="s">
        <v>28</v>
      </c>
      <c r="P76" s="25" t="s">
        <v>32</v>
      </c>
    </row>
    <row r="77" spans="1:16" x14ac:dyDescent="0.3">
      <c r="A77" s="25">
        <v>76</v>
      </c>
      <c r="B77" s="26">
        <v>45337</v>
      </c>
      <c r="C77" s="25" t="s">
        <v>54</v>
      </c>
      <c r="D77" s="25" t="s">
        <v>21</v>
      </c>
      <c r="E77" s="25" t="s">
        <v>88</v>
      </c>
      <c r="F77" s="25">
        <v>3</v>
      </c>
      <c r="G77" s="25" t="s">
        <v>89</v>
      </c>
      <c r="H77" s="25">
        <v>130</v>
      </c>
      <c r="I77" s="25">
        <v>100</v>
      </c>
      <c r="J77" s="25">
        <v>390</v>
      </c>
      <c r="K77" s="25">
        <v>300</v>
      </c>
      <c r="L77" s="25">
        <v>90</v>
      </c>
      <c r="M77" s="27">
        <v>30</v>
      </c>
      <c r="N77" s="25" t="s">
        <v>55</v>
      </c>
      <c r="O77" s="25" t="s">
        <v>27</v>
      </c>
      <c r="P77" s="25" t="s">
        <v>32</v>
      </c>
    </row>
    <row r="78" spans="1:16" x14ac:dyDescent="0.3">
      <c r="A78" s="25">
        <v>77</v>
      </c>
      <c r="B78" s="26">
        <v>45337</v>
      </c>
      <c r="C78" s="25" t="s">
        <v>54</v>
      </c>
      <c r="D78" s="25" t="s">
        <v>22</v>
      </c>
      <c r="E78" s="25" t="s">
        <v>90</v>
      </c>
      <c r="F78" s="25">
        <v>3.5</v>
      </c>
      <c r="G78" s="25" t="s">
        <v>91</v>
      </c>
      <c r="H78" s="25">
        <v>280</v>
      </c>
      <c r="I78" s="25">
        <v>240</v>
      </c>
      <c r="J78" s="25">
        <v>980</v>
      </c>
      <c r="K78" s="25">
        <v>840</v>
      </c>
      <c r="L78" s="25">
        <v>140</v>
      </c>
      <c r="M78" s="27">
        <v>16.6666666666667</v>
      </c>
      <c r="N78" s="25" t="s">
        <v>55</v>
      </c>
      <c r="O78" s="25" t="s">
        <v>28</v>
      </c>
      <c r="P78" s="25" t="s">
        <v>32</v>
      </c>
    </row>
    <row r="79" spans="1:16" x14ac:dyDescent="0.3">
      <c r="A79" s="25">
        <v>78</v>
      </c>
      <c r="B79" s="26">
        <v>45337</v>
      </c>
      <c r="C79" s="25" t="s">
        <v>54</v>
      </c>
      <c r="D79" s="25" t="s">
        <v>22</v>
      </c>
      <c r="E79" s="25" t="s">
        <v>103</v>
      </c>
      <c r="F79" s="25">
        <v>2</v>
      </c>
      <c r="G79" s="25" t="s">
        <v>102</v>
      </c>
      <c r="H79" s="25">
        <v>30</v>
      </c>
      <c r="I79" s="25">
        <v>20</v>
      </c>
      <c r="J79" s="25">
        <v>60</v>
      </c>
      <c r="K79" s="25">
        <v>40</v>
      </c>
      <c r="L79" s="25">
        <v>20</v>
      </c>
      <c r="M79" s="27">
        <v>50</v>
      </c>
      <c r="N79" s="25" t="s">
        <v>55</v>
      </c>
      <c r="O79" s="25" t="s">
        <v>28</v>
      </c>
      <c r="P79" s="25" t="s">
        <v>32</v>
      </c>
    </row>
    <row r="80" spans="1:16" x14ac:dyDescent="0.3">
      <c r="A80" s="25">
        <v>79</v>
      </c>
      <c r="B80" s="26">
        <v>45338</v>
      </c>
      <c r="C80" s="25" t="s">
        <v>54</v>
      </c>
      <c r="D80" s="25" t="s">
        <v>21</v>
      </c>
      <c r="E80" s="25" t="s">
        <v>95</v>
      </c>
      <c r="F80" s="25">
        <v>4</v>
      </c>
      <c r="G80" s="25" t="s">
        <v>89</v>
      </c>
      <c r="H80" s="25">
        <v>150</v>
      </c>
      <c r="I80" s="25">
        <v>100</v>
      </c>
      <c r="J80" s="25">
        <v>600</v>
      </c>
      <c r="K80" s="25">
        <v>400</v>
      </c>
      <c r="L80" s="25">
        <v>200</v>
      </c>
      <c r="M80" s="27">
        <v>50</v>
      </c>
      <c r="N80" s="25" t="s">
        <v>55</v>
      </c>
      <c r="O80" s="25" t="s">
        <v>28</v>
      </c>
      <c r="P80" s="25" t="s">
        <v>32</v>
      </c>
    </row>
    <row r="81" spans="1:16" x14ac:dyDescent="0.3">
      <c r="A81" s="25">
        <v>80</v>
      </c>
      <c r="B81" s="26">
        <v>45338</v>
      </c>
      <c r="C81" s="25" t="s">
        <v>54</v>
      </c>
      <c r="D81" s="25" t="s">
        <v>22</v>
      </c>
      <c r="E81" s="25" t="s">
        <v>90</v>
      </c>
      <c r="F81" s="25">
        <v>3</v>
      </c>
      <c r="G81" s="25" t="s">
        <v>91</v>
      </c>
      <c r="H81" s="25">
        <v>280</v>
      </c>
      <c r="I81" s="25">
        <v>240</v>
      </c>
      <c r="J81" s="25">
        <v>840</v>
      </c>
      <c r="K81" s="25">
        <v>720</v>
      </c>
      <c r="L81" s="25">
        <v>120</v>
      </c>
      <c r="M81" s="27">
        <v>16.6666666666667</v>
      </c>
      <c r="N81" s="25" t="s">
        <v>55</v>
      </c>
      <c r="O81" s="25" t="s">
        <v>28</v>
      </c>
      <c r="P81" s="25" t="s">
        <v>32</v>
      </c>
    </row>
    <row r="82" spans="1:16" x14ac:dyDescent="0.3">
      <c r="A82" s="25">
        <v>81</v>
      </c>
      <c r="B82" s="26">
        <v>45338</v>
      </c>
      <c r="C82" s="25" t="s">
        <v>54</v>
      </c>
      <c r="D82" s="25" t="s">
        <v>22</v>
      </c>
      <c r="E82" s="25" t="s">
        <v>90</v>
      </c>
      <c r="F82" s="25">
        <v>0.5</v>
      </c>
      <c r="G82" s="25" t="s">
        <v>91</v>
      </c>
      <c r="H82" s="25">
        <v>280</v>
      </c>
      <c r="I82" s="25">
        <v>240</v>
      </c>
      <c r="J82" s="25">
        <v>140</v>
      </c>
      <c r="K82" s="25">
        <v>120</v>
      </c>
      <c r="L82" s="25">
        <v>20</v>
      </c>
      <c r="M82" s="27">
        <v>16.6666666666667</v>
      </c>
      <c r="N82" s="25" t="s">
        <v>55</v>
      </c>
      <c r="O82" s="25" t="s">
        <v>28</v>
      </c>
      <c r="P82" s="25" t="s">
        <v>32</v>
      </c>
    </row>
    <row r="83" spans="1:16" x14ac:dyDescent="0.3">
      <c r="A83" s="25">
        <v>82</v>
      </c>
      <c r="B83" s="26">
        <v>45338</v>
      </c>
      <c r="C83" s="25" t="s">
        <v>54</v>
      </c>
      <c r="D83" s="25" t="s">
        <v>22</v>
      </c>
      <c r="E83" s="25" t="s">
        <v>99</v>
      </c>
      <c r="F83" s="25">
        <v>1</v>
      </c>
      <c r="G83" s="25" t="s">
        <v>100</v>
      </c>
      <c r="H83" s="25">
        <v>200</v>
      </c>
      <c r="I83" s="25">
        <v>160</v>
      </c>
      <c r="J83" s="25">
        <v>200</v>
      </c>
      <c r="K83" s="25">
        <v>160</v>
      </c>
      <c r="L83" s="25">
        <v>40</v>
      </c>
      <c r="M83" s="27">
        <v>25</v>
      </c>
      <c r="N83" s="25" t="s">
        <v>55</v>
      </c>
      <c r="O83" s="25" t="s">
        <v>28</v>
      </c>
      <c r="P83" s="25" t="s">
        <v>32</v>
      </c>
    </row>
    <row r="84" spans="1:16" x14ac:dyDescent="0.3">
      <c r="A84" s="25">
        <v>83</v>
      </c>
      <c r="B84" s="26">
        <v>45338</v>
      </c>
      <c r="C84" s="25" t="s">
        <v>54</v>
      </c>
      <c r="D84" s="25" t="s">
        <v>21</v>
      </c>
      <c r="E84" s="25" t="s">
        <v>88</v>
      </c>
      <c r="F84" s="25">
        <v>3</v>
      </c>
      <c r="G84" s="25" t="s">
        <v>89</v>
      </c>
      <c r="H84" s="25">
        <v>130</v>
      </c>
      <c r="I84" s="25">
        <v>100</v>
      </c>
      <c r="J84" s="25">
        <v>390</v>
      </c>
      <c r="K84" s="25">
        <v>300</v>
      </c>
      <c r="L84" s="25">
        <v>90</v>
      </c>
      <c r="M84" s="27">
        <v>30</v>
      </c>
      <c r="N84" s="25" t="s">
        <v>55</v>
      </c>
      <c r="O84" s="25" t="s">
        <v>27</v>
      </c>
      <c r="P84" s="25" t="s">
        <v>32</v>
      </c>
    </row>
    <row r="85" spans="1:16" x14ac:dyDescent="0.3">
      <c r="A85" s="25">
        <v>84</v>
      </c>
      <c r="B85" s="26">
        <v>45338</v>
      </c>
      <c r="C85" s="25" t="s">
        <v>54</v>
      </c>
      <c r="D85" s="25" t="s">
        <v>22</v>
      </c>
      <c r="E85" s="25" t="s">
        <v>90</v>
      </c>
      <c r="F85" s="25">
        <v>2.5</v>
      </c>
      <c r="G85" s="25" t="s">
        <v>91</v>
      </c>
      <c r="H85" s="25">
        <v>280</v>
      </c>
      <c r="I85" s="25">
        <v>240</v>
      </c>
      <c r="J85" s="25">
        <v>700</v>
      </c>
      <c r="K85" s="25">
        <v>600</v>
      </c>
      <c r="L85" s="25">
        <v>100</v>
      </c>
      <c r="M85" s="27">
        <v>16.6666666666667</v>
      </c>
      <c r="N85" s="25" t="s">
        <v>55</v>
      </c>
      <c r="O85" s="25" t="s">
        <v>28</v>
      </c>
      <c r="P85" s="25" t="s">
        <v>32</v>
      </c>
    </row>
    <row r="86" spans="1:16" x14ac:dyDescent="0.3">
      <c r="A86" s="25">
        <v>85</v>
      </c>
      <c r="B86" s="26">
        <v>45338</v>
      </c>
      <c r="C86" s="25" t="s">
        <v>54</v>
      </c>
      <c r="D86" s="25" t="s">
        <v>22</v>
      </c>
      <c r="E86" s="25" t="s">
        <v>92</v>
      </c>
      <c r="F86" s="25">
        <v>2</v>
      </c>
      <c r="G86" s="25" t="s">
        <v>91</v>
      </c>
      <c r="H86" s="25">
        <v>260</v>
      </c>
      <c r="I86" s="25">
        <v>220</v>
      </c>
      <c r="J86" s="25">
        <v>520</v>
      </c>
      <c r="K86" s="25">
        <v>440</v>
      </c>
      <c r="L86" s="25">
        <v>80</v>
      </c>
      <c r="M86" s="27">
        <v>18.181818181818201</v>
      </c>
      <c r="N86" s="25" t="s">
        <v>55</v>
      </c>
      <c r="O86" s="25" t="s">
        <v>28</v>
      </c>
      <c r="P86" s="25" t="s">
        <v>32</v>
      </c>
    </row>
    <row r="87" spans="1:16" x14ac:dyDescent="0.3">
      <c r="A87" s="25">
        <v>86</v>
      </c>
      <c r="B87" s="26">
        <v>45338</v>
      </c>
      <c r="C87" s="25" t="s">
        <v>54</v>
      </c>
      <c r="D87" s="25" t="s">
        <v>22</v>
      </c>
      <c r="E87" s="25" t="s">
        <v>92</v>
      </c>
      <c r="F87" s="25">
        <v>3</v>
      </c>
      <c r="G87" s="25" t="s">
        <v>91</v>
      </c>
      <c r="H87" s="25">
        <v>260</v>
      </c>
      <c r="I87" s="25">
        <v>220</v>
      </c>
      <c r="J87" s="25">
        <v>780</v>
      </c>
      <c r="K87" s="25">
        <v>660</v>
      </c>
      <c r="L87" s="25">
        <v>120</v>
      </c>
      <c r="M87" s="27">
        <v>18.181818181818201</v>
      </c>
      <c r="N87" s="25" t="s">
        <v>55</v>
      </c>
      <c r="O87" s="25" t="s">
        <v>28</v>
      </c>
      <c r="P87" s="25" t="s">
        <v>32</v>
      </c>
    </row>
    <row r="88" spans="1:16" x14ac:dyDescent="0.3">
      <c r="A88" s="25">
        <v>87</v>
      </c>
      <c r="B88" s="26">
        <v>45339</v>
      </c>
      <c r="C88" s="25" t="s">
        <v>54</v>
      </c>
      <c r="D88" s="25" t="s">
        <v>21</v>
      </c>
      <c r="E88" s="25" t="s">
        <v>88</v>
      </c>
      <c r="F88" s="25">
        <v>2</v>
      </c>
      <c r="G88" s="25" t="s">
        <v>89</v>
      </c>
      <c r="H88" s="25">
        <v>130</v>
      </c>
      <c r="I88" s="25">
        <v>100</v>
      </c>
      <c r="J88" s="25">
        <v>260</v>
      </c>
      <c r="K88" s="25">
        <v>200</v>
      </c>
      <c r="L88" s="25">
        <v>60</v>
      </c>
      <c r="M88" s="27">
        <v>30</v>
      </c>
      <c r="N88" s="25" t="s">
        <v>55</v>
      </c>
      <c r="O88" s="25" t="s">
        <v>27</v>
      </c>
      <c r="P88" s="25" t="s">
        <v>32</v>
      </c>
    </row>
    <row r="89" spans="1:16" x14ac:dyDescent="0.3">
      <c r="A89" s="25">
        <v>88</v>
      </c>
      <c r="B89" s="26">
        <v>45339</v>
      </c>
      <c r="C89" s="25" t="s">
        <v>54</v>
      </c>
      <c r="D89" s="25" t="s">
        <v>22</v>
      </c>
      <c r="E89" s="25" t="s">
        <v>90</v>
      </c>
      <c r="F89" s="25">
        <v>2</v>
      </c>
      <c r="G89" s="25" t="s">
        <v>91</v>
      </c>
      <c r="H89" s="25">
        <v>280</v>
      </c>
      <c r="I89" s="25">
        <v>240</v>
      </c>
      <c r="J89" s="25">
        <v>560</v>
      </c>
      <c r="K89" s="25">
        <v>480</v>
      </c>
      <c r="L89" s="25">
        <v>80</v>
      </c>
      <c r="M89" s="27">
        <v>16.6666666666667</v>
      </c>
      <c r="N89" s="25" t="s">
        <v>55</v>
      </c>
      <c r="O89" s="25" t="s">
        <v>28</v>
      </c>
      <c r="P89" s="25" t="s">
        <v>32</v>
      </c>
    </row>
    <row r="90" spans="1:16" x14ac:dyDescent="0.3">
      <c r="A90" s="25">
        <v>89</v>
      </c>
      <c r="B90" s="26">
        <v>45339</v>
      </c>
      <c r="C90" s="25" t="s">
        <v>54</v>
      </c>
      <c r="D90" s="25" t="s">
        <v>22</v>
      </c>
      <c r="E90" s="25" t="s">
        <v>90</v>
      </c>
      <c r="F90" s="25">
        <v>4</v>
      </c>
      <c r="G90" s="25" t="s">
        <v>91</v>
      </c>
      <c r="H90" s="25">
        <v>280</v>
      </c>
      <c r="I90" s="25">
        <v>240</v>
      </c>
      <c r="J90" s="25">
        <v>1120</v>
      </c>
      <c r="K90" s="25">
        <v>960</v>
      </c>
      <c r="L90" s="25">
        <v>160</v>
      </c>
      <c r="M90" s="27">
        <v>16.6666666666667</v>
      </c>
      <c r="N90" s="25" t="s">
        <v>55</v>
      </c>
      <c r="O90" s="25" t="s">
        <v>28</v>
      </c>
      <c r="P90" s="25" t="s">
        <v>32</v>
      </c>
    </row>
    <row r="91" spans="1:16" x14ac:dyDescent="0.3">
      <c r="A91" s="25">
        <v>90</v>
      </c>
      <c r="B91" s="26">
        <v>45339</v>
      </c>
      <c r="C91" s="25" t="s">
        <v>54</v>
      </c>
      <c r="D91" s="25" t="s">
        <v>21</v>
      </c>
      <c r="E91" s="25" t="s">
        <v>88</v>
      </c>
      <c r="F91" s="25">
        <v>2</v>
      </c>
      <c r="G91" s="25" t="s">
        <v>89</v>
      </c>
      <c r="H91" s="25">
        <v>130</v>
      </c>
      <c r="I91" s="25">
        <v>100</v>
      </c>
      <c r="J91" s="25">
        <v>260</v>
      </c>
      <c r="K91" s="25">
        <v>200</v>
      </c>
      <c r="L91" s="25">
        <v>60</v>
      </c>
      <c r="M91" s="27">
        <v>30</v>
      </c>
      <c r="N91" s="25" t="s">
        <v>55</v>
      </c>
      <c r="O91" s="25" t="s">
        <v>27</v>
      </c>
      <c r="P91" s="25" t="s">
        <v>32</v>
      </c>
    </row>
    <row r="92" spans="1:16" x14ac:dyDescent="0.3">
      <c r="A92" s="25">
        <v>91</v>
      </c>
      <c r="B92" s="26">
        <v>45339</v>
      </c>
      <c r="C92" s="25" t="s">
        <v>54</v>
      </c>
      <c r="D92" s="25" t="s">
        <v>22</v>
      </c>
      <c r="E92" s="25" t="s">
        <v>92</v>
      </c>
      <c r="F92" s="25">
        <v>2</v>
      </c>
      <c r="G92" s="25" t="s">
        <v>91</v>
      </c>
      <c r="H92" s="25">
        <v>260</v>
      </c>
      <c r="I92" s="25">
        <v>220</v>
      </c>
      <c r="J92" s="25">
        <v>520</v>
      </c>
      <c r="K92" s="25">
        <v>440</v>
      </c>
      <c r="L92" s="25">
        <v>80</v>
      </c>
      <c r="M92" s="27">
        <v>18.181818181818201</v>
      </c>
      <c r="N92" s="25" t="s">
        <v>55</v>
      </c>
      <c r="O92" s="25" t="s">
        <v>28</v>
      </c>
      <c r="P92" s="25" t="s">
        <v>32</v>
      </c>
    </row>
    <row r="93" spans="1:16" x14ac:dyDescent="0.3">
      <c r="A93" s="25">
        <v>92</v>
      </c>
      <c r="B93" s="26">
        <v>45339</v>
      </c>
      <c r="C93" s="25" t="s">
        <v>54</v>
      </c>
      <c r="D93" s="25" t="s">
        <v>21</v>
      </c>
      <c r="E93" s="25" t="s">
        <v>88</v>
      </c>
      <c r="F93" s="25">
        <v>2</v>
      </c>
      <c r="G93" s="25" t="s">
        <v>89</v>
      </c>
      <c r="H93" s="25">
        <v>130</v>
      </c>
      <c r="I93" s="25">
        <v>100</v>
      </c>
      <c r="J93" s="25">
        <v>260</v>
      </c>
      <c r="K93" s="25">
        <v>200</v>
      </c>
      <c r="L93" s="25">
        <v>60</v>
      </c>
      <c r="M93" s="27">
        <v>30</v>
      </c>
      <c r="N93" s="25" t="s">
        <v>55</v>
      </c>
      <c r="O93" s="25" t="s">
        <v>27</v>
      </c>
      <c r="P93" s="25" t="s">
        <v>32</v>
      </c>
    </row>
    <row r="94" spans="1:16" x14ac:dyDescent="0.3">
      <c r="A94" s="25">
        <v>93</v>
      </c>
      <c r="B94" s="26">
        <v>45339</v>
      </c>
      <c r="C94" s="25" t="s">
        <v>54</v>
      </c>
      <c r="D94" s="25" t="s">
        <v>22</v>
      </c>
      <c r="E94" s="25" t="s">
        <v>96</v>
      </c>
      <c r="F94" s="25">
        <v>2</v>
      </c>
      <c r="G94" s="25" t="s">
        <v>97</v>
      </c>
      <c r="H94" s="25">
        <v>300</v>
      </c>
      <c r="I94" s="25">
        <v>265</v>
      </c>
      <c r="J94" s="25">
        <v>600</v>
      </c>
      <c r="K94" s="25">
        <v>530</v>
      </c>
      <c r="L94" s="25">
        <v>70</v>
      </c>
      <c r="M94" s="27">
        <v>13.207547169811299</v>
      </c>
      <c r="N94" s="25" t="s">
        <v>55</v>
      </c>
      <c r="O94" s="25" t="s">
        <v>28</v>
      </c>
      <c r="P94" s="25" t="s">
        <v>33</v>
      </c>
    </row>
    <row r="95" spans="1:16" x14ac:dyDescent="0.3">
      <c r="A95" s="25">
        <v>94</v>
      </c>
      <c r="B95" s="26">
        <v>45339</v>
      </c>
      <c r="C95" s="25" t="s">
        <v>54</v>
      </c>
      <c r="D95" s="25" t="s">
        <v>22</v>
      </c>
      <c r="E95" s="25" t="s">
        <v>103</v>
      </c>
      <c r="F95" s="25">
        <v>2</v>
      </c>
      <c r="G95" s="25" t="s">
        <v>102</v>
      </c>
      <c r="H95" s="25">
        <v>30</v>
      </c>
      <c r="I95" s="25">
        <v>20</v>
      </c>
      <c r="J95" s="25">
        <v>60</v>
      </c>
      <c r="K95" s="25">
        <v>40</v>
      </c>
      <c r="L95" s="25">
        <v>20</v>
      </c>
      <c r="M95" s="27">
        <v>50</v>
      </c>
      <c r="N95" s="25" t="s">
        <v>55</v>
      </c>
      <c r="O95" s="25" t="s">
        <v>28</v>
      </c>
      <c r="P95" s="25" t="s">
        <v>33</v>
      </c>
    </row>
    <row r="96" spans="1:16" x14ac:dyDescent="0.3">
      <c r="A96" s="25">
        <v>95</v>
      </c>
      <c r="B96" s="26">
        <v>45339</v>
      </c>
      <c r="C96" s="25" t="s">
        <v>54</v>
      </c>
      <c r="D96" s="25" t="s">
        <v>22</v>
      </c>
      <c r="E96" s="25" t="s">
        <v>99</v>
      </c>
      <c r="F96" s="25">
        <v>1</v>
      </c>
      <c r="G96" s="25" t="s">
        <v>100</v>
      </c>
      <c r="H96" s="25">
        <v>200</v>
      </c>
      <c r="I96" s="25">
        <v>160</v>
      </c>
      <c r="J96" s="25">
        <v>200</v>
      </c>
      <c r="K96" s="25">
        <v>160</v>
      </c>
      <c r="L96" s="25">
        <v>40</v>
      </c>
      <c r="M96" s="27">
        <v>25</v>
      </c>
      <c r="N96" s="25" t="s">
        <v>55</v>
      </c>
      <c r="O96" s="25" t="s">
        <v>28</v>
      </c>
      <c r="P96" s="25" t="s">
        <v>32</v>
      </c>
    </row>
    <row r="97" spans="1:16" x14ac:dyDescent="0.3">
      <c r="A97" s="25">
        <v>96</v>
      </c>
      <c r="B97" s="26">
        <v>45339</v>
      </c>
      <c r="C97" s="25" t="s">
        <v>54</v>
      </c>
      <c r="D97" s="25" t="s">
        <v>22</v>
      </c>
      <c r="E97" s="25" t="s">
        <v>92</v>
      </c>
      <c r="F97" s="25">
        <v>2.5</v>
      </c>
      <c r="G97" s="25" t="s">
        <v>91</v>
      </c>
      <c r="H97" s="25">
        <v>260</v>
      </c>
      <c r="I97" s="25">
        <v>220</v>
      </c>
      <c r="J97" s="25">
        <v>650</v>
      </c>
      <c r="K97" s="25">
        <v>550</v>
      </c>
      <c r="L97" s="25">
        <v>100</v>
      </c>
      <c r="M97" s="27">
        <v>18.181818181818201</v>
      </c>
      <c r="N97" s="25" t="s">
        <v>55</v>
      </c>
      <c r="O97" s="25" t="s">
        <v>28</v>
      </c>
      <c r="P97" s="25" t="s">
        <v>32</v>
      </c>
    </row>
    <row r="98" spans="1:16" x14ac:dyDescent="0.3">
      <c r="A98" s="25">
        <v>97</v>
      </c>
      <c r="B98" s="26">
        <v>45340</v>
      </c>
      <c r="C98" s="25" t="s">
        <v>54</v>
      </c>
      <c r="D98" s="25" t="s">
        <v>21</v>
      </c>
      <c r="E98" s="25" t="s">
        <v>88</v>
      </c>
      <c r="F98" s="25">
        <v>2</v>
      </c>
      <c r="G98" s="25" t="s">
        <v>89</v>
      </c>
      <c r="H98" s="25">
        <v>130</v>
      </c>
      <c r="I98" s="25">
        <v>100</v>
      </c>
      <c r="J98" s="25">
        <v>260</v>
      </c>
      <c r="K98" s="25">
        <v>200</v>
      </c>
      <c r="L98" s="25">
        <v>60</v>
      </c>
      <c r="M98" s="27">
        <v>30</v>
      </c>
      <c r="N98" s="25" t="s">
        <v>55</v>
      </c>
      <c r="O98" s="25" t="s">
        <v>27</v>
      </c>
      <c r="P98" s="25" t="s">
        <v>32</v>
      </c>
    </row>
    <row r="99" spans="1:16" x14ac:dyDescent="0.3">
      <c r="A99" s="25">
        <v>98</v>
      </c>
      <c r="B99" s="26">
        <v>45340</v>
      </c>
      <c r="C99" s="25" t="s">
        <v>54</v>
      </c>
      <c r="D99" s="25" t="s">
        <v>21</v>
      </c>
      <c r="E99" s="25" t="s">
        <v>88</v>
      </c>
      <c r="F99" s="25">
        <v>3</v>
      </c>
      <c r="G99" s="25" t="s">
        <v>89</v>
      </c>
      <c r="H99" s="25">
        <v>130</v>
      </c>
      <c r="I99" s="25">
        <v>100</v>
      </c>
      <c r="J99" s="25">
        <v>390</v>
      </c>
      <c r="K99" s="25">
        <v>300</v>
      </c>
      <c r="L99" s="25">
        <v>90</v>
      </c>
      <c r="M99" s="27">
        <v>30</v>
      </c>
      <c r="N99" s="25" t="s">
        <v>55</v>
      </c>
      <c r="O99" s="25" t="s">
        <v>27</v>
      </c>
      <c r="P99" s="25" t="s">
        <v>32</v>
      </c>
    </row>
    <row r="100" spans="1:16" x14ac:dyDescent="0.3">
      <c r="A100" s="25">
        <v>99</v>
      </c>
      <c r="B100" s="26">
        <v>45340</v>
      </c>
      <c r="C100" s="25" t="s">
        <v>54</v>
      </c>
      <c r="D100" s="25" t="s">
        <v>22</v>
      </c>
      <c r="E100" s="25" t="s">
        <v>92</v>
      </c>
      <c r="F100" s="25">
        <v>3</v>
      </c>
      <c r="G100" s="25" t="s">
        <v>91</v>
      </c>
      <c r="H100" s="25">
        <v>260</v>
      </c>
      <c r="I100" s="25">
        <v>220</v>
      </c>
      <c r="J100" s="25">
        <v>780</v>
      </c>
      <c r="K100" s="25">
        <v>660</v>
      </c>
      <c r="L100" s="25">
        <v>120</v>
      </c>
      <c r="M100" s="27">
        <v>18.181818181818201</v>
      </c>
      <c r="N100" s="25" t="s">
        <v>55</v>
      </c>
      <c r="O100" s="25" t="s">
        <v>28</v>
      </c>
      <c r="P100" s="25" t="s">
        <v>32</v>
      </c>
    </row>
    <row r="101" spans="1:16" x14ac:dyDescent="0.3">
      <c r="A101" s="25">
        <v>100</v>
      </c>
      <c r="B101" s="26">
        <v>45340</v>
      </c>
      <c r="C101" s="25" t="s">
        <v>54</v>
      </c>
      <c r="D101" s="25" t="s">
        <v>22</v>
      </c>
      <c r="E101" s="25" t="s">
        <v>92</v>
      </c>
      <c r="F101" s="25">
        <v>1</v>
      </c>
      <c r="G101" s="25" t="s">
        <v>91</v>
      </c>
      <c r="H101" s="25">
        <v>260</v>
      </c>
      <c r="I101" s="25">
        <v>220</v>
      </c>
      <c r="J101" s="25">
        <v>260</v>
      </c>
      <c r="K101" s="25">
        <v>220</v>
      </c>
      <c r="L101" s="25">
        <v>40</v>
      </c>
      <c r="M101" s="27">
        <v>18.181818181818201</v>
      </c>
      <c r="N101" s="25" t="s">
        <v>55</v>
      </c>
      <c r="O101" s="25" t="s">
        <v>28</v>
      </c>
      <c r="P101" s="25" t="s">
        <v>32</v>
      </c>
    </row>
    <row r="102" spans="1:16" x14ac:dyDescent="0.3">
      <c r="A102" s="25">
        <v>101</v>
      </c>
      <c r="B102" s="26">
        <v>45340</v>
      </c>
      <c r="C102" s="25" t="s">
        <v>54</v>
      </c>
      <c r="D102" s="25" t="s">
        <v>21</v>
      </c>
      <c r="E102" s="25" t="s">
        <v>88</v>
      </c>
      <c r="F102" s="25">
        <v>2</v>
      </c>
      <c r="G102" s="25" t="s">
        <v>89</v>
      </c>
      <c r="H102" s="25">
        <v>130</v>
      </c>
      <c r="I102" s="25">
        <v>100</v>
      </c>
      <c r="J102" s="25">
        <v>260</v>
      </c>
      <c r="K102" s="25">
        <v>200</v>
      </c>
      <c r="L102" s="25">
        <v>60</v>
      </c>
      <c r="M102" s="27">
        <v>30</v>
      </c>
      <c r="N102" s="25" t="s">
        <v>55</v>
      </c>
      <c r="O102" s="25" t="s">
        <v>27</v>
      </c>
      <c r="P102" s="25" t="s">
        <v>33</v>
      </c>
    </row>
    <row r="103" spans="1:16" x14ac:dyDescent="0.3">
      <c r="A103" s="25">
        <v>102</v>
      </c>
      <c r="B103" s="26">
        <v>45340</v>
      </c>
      <c r="C103" s="25" t="s">
        <v>54</v>
      </c>
      <c r="D103" s="25" t="s">
        <v>22</v>
      </c>
      <c r="E103" s="25" t="s">
        <v>90</v>
      </c>
      <c r="F103" s="25">
        <v>1</v>
      </c>
      <c r="G103" s="25" t="s">
        <v>91</v>
      </c>
      <c r="H103" s="25">
        <v>280</v>
      </c>
      <c r="I103" s="25">
        <v>240</v>
      </c>
      <c r="J103" s="25">
        <v>280</v>
      </c>
      <c r="K103" s="25">
        <v>240</v>
      </c>
      <c r="L103" s="25">
        <v>40</v>
      </c>
      <c r="M103" s="27">
        <v>16.6666666666667</v>
      </c>
      <c r="N103" s="25" t="s">
        <v>55</v>
      </c>
      <c r="O103" s="25" t="s">
        <v>28</v>
      </c>
      <c r="P103" s="25" t="s">
        <v>32</v>
      </c>
    </row>
    <row r="104" spans="1:16" x14ac:dyDescent="0.3">
      <c r="A104" s="25">
        <v>103</v>
      </c>
      <c r="B104" s="26">
        <v>45340</v>
      </c>
      <c r="C104" s="25" t="s">
        <v>54</v>
      </c>
      <c r="D104" s="25" t="s">
        <v>22</v>
      </c>
      <c r="E104" s="25" t="s">
        <v>90</v>
      </c>
      <c r="F104" s="25">
        <v>3</v>
      </c>
      <c r="G104" s="25" t="s">
        <v>91</v>
      </c>
      <c r="H104" s="25">
        <v>280</v>
      </c>
      <c r="I104" s="25">
        <v>240</v>
      </c>
      <c r="J104" s="25">
        <v>840</v>
      </c>
      <c r="K104" s="25">
        <v>720</v>
      </c>
      <c r="L104" s="25">
        <v>120</v>
      </c>
      <c r="M104" s="27">
        <v>16.6666666666667</v>
      </c>
      <c r="N104" s="25" t="s">
        <v>55</v>
      </c>
      <c r="O104" s="25" t="s">
        <v>28</v>
      </c>
      <c r="P104" s="25" t="s">
        <v>32</v>
      </c>
    </row>
    <row r="105" spans="1:16" x14ac:dyDescent="0.3">
      <c r="A105" s="25">
        <v>104</v>
      </c>
      <c r="B105" s="26">
        <v>45341</v>
      </c>
      <c r="C105" s="25" t="s">
        <v>54</v>
      </c>
      <c r="D105" s="25" t="s">
        <v>21</v>
      </c>
      <c r="E105" s="25" t="s">
        <v>88</v>
      </c>
      <c r="F105" s="25">
        <v>3</v>
      </c>
      <c r="G105" s="25" t="s">
        <v>89</v>
      </c>
      <c r="H105" s="25">
        <v>130</v>
      </c>
      <c r="I105" s="25">
        <v>100</v>
      </c>
      <c r="J105" s="25">
        <v>390</v>
      </c>
      <c r="K105" s="25">
        <v>300</v>
      </c>
      <c r="L105" s="25">
        <v>90</v>
      </c>
      <c r="M105" s="27">
        <v>30</v>
      </c>
      <c r="N105" s="25" t="s">
        <v>55</v>
      </c>
      <c r="O105" s="25" t="s">
        <v>27</v>
      </c>
      <c r="P105" s="25" t="s">
        <v>32</v>
      </c>
    </row>
    <row r="106" spans="1:16" x14ac:dyDescent="0.3">
      <c r="A106" s="25">
        <v>105</v>
      </c>
      <c r="B106" s="26">
        <v>45341</v>
      </c>
      <c r="C106" s="25" t="s">
        <v>54</v>
      </c>
      <c r="D106" s="25" t="s">
        <v>21</v>
      </c>
      <c r="E106" s="25" t="s">
        <v>88</v>
      </c>
      <c r="F106" s="25">
        <v>4</v>
      </c>
      <c r="G106" s="25" t="s">
        <v>89</v>
      </c>
      <c r="H106" s="25">
        <v>130</v>
      </c>
      <c r="I106" s="25">
        <v>100</v>
      </c>
      <c r="J106" s="25">
        <v>520</v>
      </c>
      <c r="K106" s="25">
        <v>400</v>
      </c>
      <c r="L106" s="25">
        <v>120</v>
      </c>
      <c r="M106" s="27">
        <v>30</v>
      </c>
      <c r="N106" s="25" t="s">
        <v>55</v>
      </c>
      <c r="O106" s="25" t="s">
        <v>27</v>
      </c>
      <c r="P106" s="25" t="s">
        <v>32</v>
      </c>
    </row>
    <row r="107" spans="1:16" x14ac:dyDescent="0.3">
      <c r="A107" s="25">
        <v>106</v>
      </c>
      <c r="B107" s="26">
        <v>45341</v>
      </c>
      <c r="C107" s="25" t="s">
        <v>54</v>
      </c>
      <c r="D107" s="25" t="s">
        <v>22</v>
      </c>
      <c r="E107" s="25" t="s">
        <v>90</v>
      </c>
      <c r="F107" s="25">
        <v>4</v>
      </c>
      <c r="G107" s="25" t="s">
        <v>91</v>
      </c>
      <c r="H107" s="25">
        <v>280</v>
      </c>
      <c r="I107" s="25">
        <v>240</v>
      </c>
      <c r="J107" s="25">
        <v>1120</v>
      </c>
      <c r="K107" s="25">
        <v>960</v>
      </c>
      <c r="L107" s="25">
        <v>160</v>
      </c>
      <c r="M107" s="27">
        <v>16.6666666666667</v>
      </c>
      <c r="N107" s="25" t="s">
        <v>55</v>
      </c>
      <c r="O107" s="25" t="s">
        <v>28</v>
      </c>
      <c r="P107" s="25" t="s">
        <v>32</v>
      </c>
    </row>
    <row r="108" spans="1:16" x14ac:dyDescent="0.3">
      <c r="A108" s="25">
        <v>107</v>
      </c>
      <c r="B108" s="26">
        <v>45341</v>
      </c>
      <c r="C108" s="25" t="s">
        <v>54</v>
      </c>
      <c r="D108" s="25" t="s">
        <v>22</v>
      </c>
      <c r="E108" s="25" t="s">
        <v>92</v>
      </c>
      <c r="F108" s="25">
        <v>3</v>
      </c>
      <c r="G108" s="25" t="s">
        <v>91</v>
      </c>
      <c r="H108" s="25">
        <v>260</v>
      </c>
      <c r="I108" s="25">
        <v>220</v>
      </c>
      <c r="J108" s="25">
        <v>780</v>
      </c>
      <c r="K108" s="25">
        <v>660</v>
      </c>
      <c r="L108" s="25">
        <v>120</v>
      </c>
      <c r="M108" s="27">
        <v>18.181818181818201</v>
      </c>
      <c r="N108" s="25" t="s">
        <v>55</v>
      </c>
      <c r="O108" s="25" t="s">
        <v>28</v>
      </c>
      <c r="P108" s="25" t="s">
        <v>32</v>
      </c>
    </row>
    <row r="109" spans="1:16" x14ac:dyDescent="0.3">
      <c r="A109" s="25">
        <v>108</v>
      </c>
      <c r="B109" s="26">
        <v>45341</v>
      </c>
      <c r="C109" s="25" t="s">
        <v>54</v>
      </c>
      <c r="D109" s="25" t="s">
        <v>21</v>
      </c>
      <c r="E109" s="25" t="s">
        <v>88</v>
      </c>
      <c r="F109" s="25">
        <v>2</v>
      </c>
      <c r="G109" s="25" t="s">
        <v>89</v>
      </c>
      <c r="H109" s="25">
        <v>130</v>
      </c>
      <c r="I109" s="25">
        <v>100</v>
      </c>
      <c r="J109" s="25">
        <v>260</v>
      </c>
      <c r="K109" s="25">
        <v>200</v>
      </c>
      <c r="L109" s="25">
        <v>60</v>
      </c>
      <c r="M109" s="27">
        <v>30</v>
      </c>
      <c r="N109" s="25" t="s">
        <v>55</v>
      </c>
      <c r="O109" s="25" t="s">
        <v>27</v>
      </c>
      <c r="P109" s="25" t="s">
        <v>32</v>
      </c>
    </row>
    <row r="110" spans="1:16" x14ac:dyDescent="0.3">
      <c r="A110" s="25">
        <v>109</v>
      </c>
      <c r="B110" s="26">
        <v>45341</v>
      </c>
      <c r="C110" s="25" t="s">
        <v>54</v>
      </c>
      <c r="D110" s="25" t="s">
        <v>22</v>
      </c>
      <c r="E110" s="25" t="s">
        <v>90</v>
      </c>
      <c r="F110" s="25">
        <v>2</v>
      </c>
      <c r="G110" s="25" t="s">
        <v>91</v>
      </c>
      <c r="H110" s="25">
        <v>280</v>
      </c>
      <c r="I110" s="25">
        <v>240</v>
      </c>
      <c r="J110" s="25">
        <v>560</v>
      </c>
      <c r="K110" s="25">
        <v>480</v>
      </c>
      <c r="L110" s="25">
        <v>80</v>
      </c>
      <c r="M110" s="27">
        <v>16.6666666666667</v>
      </c>
      <c r="N110" s="25" t="s">
        <v>55</v>
      </c>
      <c r="O110" s="25" t="s">
        <v>28</v>
      </c>
      <c r="P110" s="25" t="s">
        <v>32</v>
      </c>
    </row>
    <row r="111" spans="1:16" x14ac:dyDescent="0.3">
      <c r="A111" s="25">
        <v>110</v>
      </c>
      <c r="B111" s="26">
        <v>45341</v>
      </c>
      <c r="C111" s="25" t="s">
        <v>54</v>
      </c>
      <c r="D111" s="25" t="s">
        <v>21</v>
      </c>
      <c r="E111" s="25" t="s">
        <v>88</v>
      </c>
      <c r="F111" s="25">
        <v>5</v>
      </c>
      <c r="G111" s="25" t="s">
        <v>89</v>
      </c>
      <c r="H111" s="25">
        <v>130</v>
      </c>
      <c r="I111" s="25">
        <v>100</v>
      </c>
      <c r="J111" s="25">
        <v>650</v>
      </c>
      <c r="K111" s="25">
        <v>500</v>
      </c>
      <c r="L111" s="25">
        <v>150</v>
      </c>
      <c r="M111" s="27">
        <v>30</v>
      </c>
      <c r="N111" s="25" t="s">
        <v>55</v>
      </c>
      <c r="O111" s="25" t="s">
        <v>27</v>
      </c>
      <c r="P111" s="25" t="s">
        <v>32</v>
      </c>
    </row>
    <row r="112" spans="1:16" x14ac:dyDescent="0.3">
      <c r="A112" s="25">
        <v>111</v>
      </c>
      <c r="B112" s="26">
        <v>45341</v>
      </c>
      <c r="C112" s="25" t="s">
        <v>54</v>
      </c>
      <c r="D112" s="25" t="s">
        <v>21</v>
      </c>
      <c r="E112" s="25" t="s">
        <v>95</v>
      </c>
      <c r="F112" s="25">
        <v>11</v>
      </c>
      <c r="G112" s="25" t="s">
        <v>89</v>
      </c>
      <c r="H112" s="25">
        <v>150</v>
      </c>
      <c r="I112" s="25">
        <v>100</v>
      </c>
      <c r="J112" s="25">
        <v>1650</v>
      </c>
      <c r="K112" s="25">
        <v>1100</v>
      </c>
      <c r="L112" s="25">
        <v>550</v>
      </c>
      <c r="M112" s="27">
        <v>50</v>
      </c>
      <c r="N112" s="25" t="s">
        <v>55</v>
      </c>
      <c r="O112" s="25" t="s">
        <v>28</v>
      </c>
      <c r="P112" s="25" t="s">
        <v>32</v>
      </c>
    </row>
    <row r="113" spans="1:16" x14ac:dyDescent="0.3">
      <c r="A113" s="25">
        <v>112</v>
      </c>
      <c r="B113" s="26">
        <v>45342</v>
      </c>
      <c r="C113" s="25" t="s">
        <v>54</v>
      </c>
      <c r="D113" s="25" t="s">
        <v>21</v>
      </c>
      <c r="E113" s="25" t="s">
        <v>88</v>
      </c>
      <c r="F113" s="25">
        <v>6</v>
      </c>
      <c r="G113" s="25" t="s">
        <v>89</v>
      </c>
      <c r="H113" s="25">
        <v>130</v>
      </c>
      <c r="I113" s="25">
        <v>100</v>
      </c>
      <c r="J113" s="25">
        <v>780</v>
      </c>
      <c r="K113" s="25">
        <v>600</v>
      </c>
      <c r="L113" s="25">
        <v>180</v>
      </c>
      <c r="M113" s="27">
        <v>30</v>
      </c>
      <c r="N113" s="25" t="s">
        <v>55</v>
      </c>
      <c r="O113" s="25" t="s">
        <v>27</v>
      </c>
      <c r="P113" s="25" t="s">
        <v>32</v>
      </c>
    </row>
    <row r="114" spans="1:16" x14ac:dyDescent="0.3">
      <c r="A114" s="25">
        <v>113</v>
      </c>
      <c r="B114" s="26">
        <v>45342</v>
      </c>
      <c r="C114" s="25" t="s">
        <v>54</v>
      </c>
      <c r="D114" s="25" t="s">
        <v>22</v>
      </c>
      <c r="E114" s="25" t="s">
        <v>92</v>
      </c>
      <c r="F114" s="25">
        <v>3</v>
      </c>
      <c r="G114" s="25" t="s">
        <v>91</v>
      </c>
      <c r="H114" s="25">
        <v>260</v>
      </c>
      <c r="I114" s="25">
        <v>220</v>
      </c>
      <c r="J114" s="25">
        <v>780</v>
      </c>
      <c r="K114" s="25">
        <v>660</v>
      </c>
      <c r="L114" s="25">
        <v>120</v>
      </c>
      <c r="M114" s="27">
        <v>18.181818181818201</v>
      </c>
      <c r="N114" s="25" t="s">
        <v>55</v>
      </c>
      <c r="O114" s="25" t="s">
        <v>28</v>
      </c>
      <c r="P114" s="25" t="s">
        <v>32</v>
      </c>
    </row>
    <row r="115" spans="1:16" x14ac:dyDescent="0.3">
      <c r="A115" s="25">
        <v>114</v>
      </c>
      <c r="B115" s="26">
        <v>45342</v>
      </c>
      <c r="C115" s="25" t="s">
        <v>54</v>
      </c>
      <c r="D115" s="25" t="s">
        <v>22</v>
      </c>
      <c r="E115" s="25" t="s">
        <v>96</v>
      </c>
      <c r="F115" s="25">
        <v>1</v>
      </c>
      <c r="G115" s="25" t="s">
        <v>97</v>
      </c>
      <c r="H115" s="25">
        <v>300</v>
      </c>
      <c r="I115" s="25">
        <v>265</v>
      </c>
      <c r="J115" s="25">
        <v>300</v>
      </c>
      <c r="K115" s="25">
        <v>265</v>
      </c>
      <c r="L115" s="25">
        <v>35</v>
      </c>
      <c r="M115" s="27">
        <v>13.207547169811299</v>
      </c>
      <c r="N115" s="25" t="s">
        <v>55</v>
      </c>
      <c r="O115" s="25" t="s">
        <v>28</v>
      </c>
      <c r="P115" s="25" t="s">
        <v>32</v>
      </c>
    </row>
    <row r="116" spans="1:16" x14ac:dyDescent="0.3">
      <c r="A116" s="25">
        <v>115</v>
      </c>
      <c r="B116" s="26">
        <v>45342</v>
      </c>
      <c r="C116" s="25" t="s">
        <v>54</v>
      </c>
      <c r="D116" s="25" t="s">
        <v>22</v>
      </c>
      <c r="E116" s="25" t="s">
        <v>90</v>
      </c>
      <c r="F116" s="25">
        <v>2</v>
      </c>
      <c r="G116" s="25" t="s">
        <v>91</v>
      </c>
      <c r="H116" s="25">
        <v>280</v>
      </c>
      <c r="I116" s="25">
        <v>240</v>
      </c>
      <c r="J116" s="25">
        <v>560</v>
      </c>
      <c r="K116" s="25">
        <v>480</v>
      </c>
      <c r="L116" s="25">
        <v>80</v>
      </c>
      <c r="M116" s="27">
        <v>16.6666666666667</v>
      </c>
      <c r="N116" s="25" t="s">
        <v>55</v>
      </c>
      <c r="O116" s="25" t="s">
        <v>28</v>
      </c>
      <c r="P116" s="25" t="s">
        <v>32</v>
      </c>
    </row>
    <row r="117" spans="1:16" x14ac:dyDescent="0.3">
      <c r="A117" s="25">
        <v>116</v>
      </c>
      <c r="B117" s="26">
        <v>45342</v>
      </c>
      <c r="C117" s="25" t="s">
        <v>54</v>
      </c>
      <c r="D117" s="25" t="s">
        <v>22</v>
      </c>
      <c r="E117" s="25" t="s">
        <v>92</v>
      </c>
      <c r="F117" s="25">
        <v>6</v>
      </c>
      <c r="G117" s="25" t="s">
        <v>91</v>
      </c>
      <c r="H117" s="25">
        <v>260</v>
      </c>
      <c r="I117" s="25">
        <v>220</v>
      </c>
      <c r="J117" s="25">
        <v>1560</v>
      </c>
      <c r="K117" s="25">
        <v>1320</v>
      </c>
      <c r="L117" s="25">
        <v>240</v>
      </c>
      <c r="M117" s="27">
        <v>18.181818181818201</v>
      </c>
      <c r="N117" s="25" t="s">
        <v>55</v>
      </c>
      <c r="O117" s="25" t="s">
        <v>28</v>
      </c>
      <c r="P117" s="25" t="s">
        <v>32</v>
      </c>
    </row>
    <row r="118" spans="1:16" x14ac:dyDescent="0.3">
      <c r="A118" s="25">
        <v>117</v>
      </c>
      <c r="B118" s="26">
        <v>45342</v>
      </c>
      <c r="C118" s="25" t="s">
        <v>54</v>
      </c>
      <c r="D118" s="25" t="s">
        <v>22</v>
      </c>
      <c r="E118" s="25" t="s">
        <v>92</v>
      </c>
      <c r="F118" s="25">
        <v>3</v>
      </c>
      <c r="G118" s="25" t="s">
        <v>91</v>
      </c>
      <c r="H118" s="25">
        <v>260</v>
      </c>
      <c r="I118" s="25">
        <v>220</v>
      </c>
      <c r="J118" s="25">
        <v>780</v>
      </c>
      <c r="K118" s="25">
        <v>660</v>
      </c>
      <c r="L118" s="25">
        <v>120</v>
      </c>
      <c r="M118" s="27">
        <v>18.181818181818201</v>
      </c>
      <c r="N118" s="25" t="s">
        <v>55</v>
      </c>
      <c r="O118" s="25" t="s">
        <v>28</v>
      </c>
      <c r="P118" s="25" t="s">
        <v>32</v>
      </c>
    </row>
    <row r="119" spans="1:16" x14ac:dyDescent="0.3">
      <c r="A119" s="25">
        <v>118</v>
      </c>
      <c r="B119" s="26">
        <v>45343</v>
      </c>
      <c r="C119" s="25" t="s">
        <v>54</v>
      </c>
      <c r="D119" s="25" t="s">
        <v>21</v>
      </c>
      <c r="E119" s="25" t="s">
        <v>88</v>
      </c>
      <c r="F119" s="25">
        <v>3</v>
      </c>
      <c r="G119" s="25" t="s">
        <v>89</v>
      </c>
      <c r="H119" s="25">
        <v>130</v>
      </c>
      <c r="I119" s="25">
        <v>100</v>
      </c>
      <c r="J119" s="25">
        <v>390</v>
      </c>
      <c r="K119" s="25">
        <v>300</v>
      </c>
      <c r="L119" s="25">
        <v>90</v>
      </c>
      <c r="M119" s="27">
        <v>30</v>
      </c>
      <c r="N119" s="25" t="s">
        <v>55</v>
      </c>
      <c r="O119" s="25" t="s">
        <v>27</v>
      </c>
      <c r="P119" s="25" t="s">
        <v>32</v>
      </c>
    </row>
    <row r="120" spans="1:16" x14ac:dyDescent="0.3">
      <c r="A120" s="25">
        <v>119</v>
      </c>
      <c r="B120" s="26">
        <v>45343</v>
      </c>
      <c r="C120" s="25" t="s">
        <v>54</v>
      </c>
      <c r="D120" s="25" t="s">
        <v>21</v>
      </c>
      <c r="E120" s="25" t="s">
        <v>88</v>
      </c>
      <c r="F120" s="25">
        <v>6</v>
      </c>
      <c r="G120" s="25" t="s">
        <v>89</v>
      </c>
      <c r="H120" s="25">
        <v>130</v>
      </c>
      <c r="I120" s="25">
        <v>100</v>
      </c>
      <c r="J120" s="25">
        <v>780</v>
      </c>
      <c r="K120" s="25">
        <v>600</v>
      </c>
      <c r="L120" s="25">
        <v>180</v>
      </c>
      <c r="M120" s="27">
        <v>30</v>
      </c>
      <c r="N120" s="25" t="s">
        <v>55</v>
      </c>
      <c r="O120" s="25" t="s">
        <v>27</v>
      </c>
      <c r="P120" s="25" t="s">
        <v>32</v>
      </c>
    </row>
    <row r="121" spans="1:16" x14ac:dyDescent="0.3">
      <c r="A121" s="25">
        <v>120</v>
      </c>
      <c r="B121" s="26">
        <v>45343</v>
      </c>
      <c r="C121" s="25" t="s">
        <v>54</v>
      </c>
      <c r="D121" s="25" t="s">
        <v>22</v>
      </c>
      <c r="E121" s="25" t="s">
        <v>103</v>
      </c>
      <c r="F121" s="25">
        <v>2</v>
      </c>
      <c r="G121" s="25" t="s">
        <v>102</v>
      </c>
      <c r="H121" s="25">
        <v>30</v>
      </c>
      <c r="I121" s="25">
        <v>20</v>
      </c>
      <c r="J121" s="25">
        <v>60</v>
      </c>
      <c r="K121" s="25">
        <v>40</v>
      </c>
      <c r="L121" s="25">
        <v>20</v>
      </c>
      <c r="M121" s="27">
        <v>50</v>
      </c>
      <c r="N121" s="25" t="s">
        <v>55</v>
      </c>
      <c r="O121" s="25" t="s">
        <v>28</v>
      </c>
      <c r="P121" s="25" t="s">
        <v>32</v>
      </c>
    </row>
    <row r="122" spans="1:16" x14ac:dyDescent="0.3">
      <c r="A122" s="25">
        <v>121</v>
      </c>
      <c r="B122" s="26">
        <v>45343</v>
      </c>
      <c r="C122" s="25" t="s">
        <v>54</v>
      </c>
      <c r="D122" s="25" t="s">
        <v>22</v>
      </c>
      <c r="E122" s="25" t="s">
        <v>101</v>
      </c>
      <c r="F122" s="25">
        <v>8</v>
      </c>
      <c r="G122" s="25" t="s">
        <v>102</v>
      </c>
      <c r="H122" s="25">
        <v>6</v>
      </c>
      <c r="I122" s="25">
        <v>4</v>
      </c>
      <c r="J122" s="25">
        <v>48</v>
      </c>
      <c r="K122" s="25">
        <v>32</v>
      </c>
      <c r="L122" s="25">
        <v>16</v>
      </c>
      <c r="M122" s="27">
        <v>50</v>
      </c>
      <c r="N122" s="25" t="s">
        <v>55</v>
      </c>
      <c r="O122" s="25" t="s">
        <v>28</v>
      </c>
      <c r="P122" s="25" t="s">
        <v>32</v>
      </c>
    </row>
    <row r="123" spans="1:16" x14ac:dyDescent="0.3">
      <c r="A123" s="25">
        <v>122</v>
      </c>
      <c r="B123" s="26">
        <v>45343</v>
      </c>
      <c r="C123" s="25" t="s">
        <v>54</v>
      </c>
      <c r="D123" s="25" t="s">
        <v>22</v>
      </c>
      <c r="E123" s="25" t="s">
        <v>90</v>
      </c>
      <c r="F123" s="25">
        <v>2.5</v>
      </c>
      <c r="G123" s="25" t="s">
        <v>91</v>
      </c>
      <c r="H123" s="25">
        <v>280</v>
      </c>
      <c r="I123" s="25">
        <v>240</v>
      </c>
      <c r="J123" s="25">
        <v>700</v>
      </c>
      <c r="K123" s="25">
        <v>600</v>
      </c>
      <c r="L123" s="25">
        <v>100</v>
      </c>
      <c r="M123" s="27">
        <v>16.6666666666667</v>
      </c>
      <c r="N123" s="25" t="s">
        <v>55</v>
      </c>
      <c r="O123" s="25" t="s">
        <v>28</v>
      </c>
      <c r="P123" s="25" t="s">
        <v>32</v>
      </c>
    </row>
    <row r="124" spans="1:16" x14ac:dyDescent="0.3">
      <c r="A124" s="25">
        <v>123</v>
      </c>
      <c r="B124" s="26">
        <v>45344</v>
      </c>
      <c r="C124" s="25" t="s">
        <v>54</v>
      </c>
      <c r="D124" s="25" t="s">
        <v>21</v>
      </c>
      <c r="E124" s="25" t="s">
        <v>88</v>
      </c>
      <c r="F124" s="25">
        <v>4</v>
      </c>
      <c r="G124" s="25" t="s">
        <v>89</v>
      </c>
      <c r="H124" s="25">
        <v>130</v>
      </c>
      <c r="I124" s="25">
        <v>100</v>
      </c>
      <c r="J124" s="25">
        <v>520</v>
      </c>
      <c r="K124" s="25">
        <v>400</v>
      </c>
      <c r="L124" s="25">
        <v>120</v>
      </c>
      <c r="M124" s="27">
        <v>30</v>
      </c>
      <c r="N124" s="25" t="s">
        <v>55</v>
      </c>
      <c r="O124" s="25" t="s">
        <v>27</v>
      </c>
      <c r="P124" s="25" t="s">
        <v>32</v>
      </c>
    </row>
    <row r="125" spans="1:16" x14ac:dyDescent="0.3">
      <c r="A125" s="25">
        <v>124</v>
      </c>
      <c r="B125" s="26">
        <v>45344</v>
      </c>
      <c r="C125" s="25" t="s">
        <v>54</v>
      </c>
      <c r="D125" s="25" t="s">
        <v>22</v>
      </c>
      <c r="E125" s="25" t="s">
        <v>90</v>
      </c>
      <c r="F125" s="25">
        <v>3.5</v>
      </c>
      <c r="G125" s="25" t="s">
        <v>91</v>
      </c>
      <c r="H125" s="25">
        <v>280</v>
      </c>
      <c r="I125" s="25">
        <v>240</v>
      </c>
      <c r="J125" s="25">
        <v>980</v>
      </c>
      <c r="K125" s="25">
        <v>840</v>
      </c>
      <c r="L125" s="25">
        <v>140</v>
      </c>
      <c r="M125" s="27">
        <v>16.6666666666667</v>
      </c>
      <c r="N125" s="25" t="s">
        <v>55</v>
      </c>
      <c r="O125" s="25" t="s">
        <v>28</v>
      </c>
      <c r="P125" s="25" t="s">
        <v>33</v>
      </c>
    </row>
    <row r="126" spans="1:16" x14ac:dyDescent="0.3">
      <c r="A126" s="25">
        <v>125</v>
      </c>
      <c r="B126" s="26">
        <v>45344</v>
      </c>
      <c r="C126" s="25" t="s">
        <v>54</v>
      </c>
      <c r="D126" s="25" t="s">
        <v>21</v>
      </c>
      <c r="E126" s="25" t="s">
        <v>88</v>
      </c>
      <c r="F126" s="25">
        <v>4</v>
      </c>
      <c r="G126" s="25" t="s">
        <v>89</v>
      </c>
      <c r="H126" s="25">
        <v>130</v>
      </c>
      <c r="I126" s="25">
        <v>100</v>
      </c>
      <c r="J126" s="25">
        <v>520</v>
      </c>
      <c r="K126" s="25">
        <v>400</v>
      </c>
      <c r="L126" s="25">
        <v>120</v>
      </c>
      <c r="M126" s="27">
        <v>30</v>
      </c>
      <c r="N126" s="25" t="s">
        <v>55</v>
      </c>
      <c r="O126" s="25" t="s">
        <v>27</v>
      </c>
      <c r="P126" s="25" t="s">
        <v>32</v>
      </c>
    </row>
    <row r="127" spans="1:16" x14ac:dyDescent="0.3">
      <c r="A127" s="25">
        <v>126</v>
      </c>
      <c r="B127" s="26">
        <v>45344</v>
      </c>
      <c r="C127" s="25" t="s">
        <v>54</v>
      </c>
      <c r="D127" s="25" t="s">
        <v>21</v>
      </c>
      <c r="E127" s="25" t="s">
        <v>88</v>
      </c>
      <c r="F127" s="25">
        <v>2</v>
      </c>
      <c r="G127" s="25" t="s">
        <v>89</v>
      </c>
      <c r="H127" s="25">
        <v>130</v>
      </c>
      <c r="I127" s="25">
        <v>100</v>
      </c>
      <c r="J127" s="25">
        <v>260</v>
      </c>
      <c r="K127" s="25">
        <v>200</v>
      </c>
      <c r="L127" s="25">
        <v>60</v>
      </c>
      <c r="M127" s="27">
        <v>30</v>
      </c>
      <c r="N127" s="25" t="s">
        <v>55</v>
      </c>
      <c r="O127" s="25" t="s">
        <v>27</v>
      </c>
      <c r="P127" s="25" t="s">
        <v>32</v>
      </c>
    </row>
    <row r="128" spans="1:16" x14ac:dyDescent="0.3">
      <c r="A128" s="25">
        <v>127</v>
      </c>
      <c r="B128" s="26">
        <v>45344</v>
      </c>
      <c r="C128" s="25" t="s">
        <v>54</v>
      </c>
      <c r="D128" s="25" t="s">
        <v>22</v>
      </c>
      <c r="E128" s="25" t="s">
        <v>92</v>
      </c>
      <c r="F128" s="25">
        <v>4</v>
      </c>
      <c r="G128" s="25" t="s">
        <v>91</v>
      </c>
      <c r="H128" s="25">
        <v>260</v>
      </c>
      <c r="I128" s="25">
        <v>220</v>
      </c>
      <c r="J128" s="25">
        <v>1040</v>
      </c>
      <c r="K128" s="25">
        <v>880</v>
      </c>
      <c r="L128" s="25">
        <v>160</v>
      </c>
      <c r="M128" s="27">
        <v>18.181818181818201</v>
      </c>
      <c r="N128" s="25" t="s">
        <v>55</v>
      </c>
      <c r="O128" s="25" t="s">
        <v>28</v>
      </c>
      <c r="P128" s="25" t="s">
        <v>32</v>
      </c>
    </row>
    <row r="129" spans="1:16" x14ac:dyDescent="0.3">
      <c r="A129" s="25">
        <v>128</v>
      </c>
      <c r="B129" s="26">
        <v>45344</v>
      </c>
      <c r="C129" s="25" t="s">
        <v>54</v>
      </c>
      <c r="D129" s="25" t="s">
        <v>22</v>
      </c>
      <c r="E129" s="25" t="s">
        <v>103</v>
      </c>
      <c r="F129" s="25">
        <v>3</v>
      </c>
      <c r="G129" s="25" t="s">
        <v>102</v>
      </c>
      <c r="H129" s="25">
        <v>30</v>
      </c>
      <c r="I129" s="25">
        <v>20</v>
      </c>
      <c r="J129" s="25">
        <v>90</v>
      </c>
      <c r="K129" s="25">
        <v>60</v>
      </c>
      <c r="L129" s="25">
        <v>30</v>
      </c>
      <c r="M129" s="27">
        <v>50</v>
      </c>
      <c r="N129" s="25" t="s">
        <v>55</v>
      </c>
      <c r="O129" s="25" t="s">
        <v>28</v>
      </c>
      <c r="P129" s="25" t="s">
        <v>32</v>
      </c>
    </row>
    <row r="130" spans="1:16" x14ac:dyDescent="0.3">
      <c r="A130" s="25">
        <v>129</v>
      </c>
      <c r="B130" s="26">
        <v>45344</v>
      </c>
      <c r="C130" s="25" t="s">
        <v>54</v>
      </c>
      <c r="D130" s="25" t="s">
        <v>22</v>
      </c>
      <c r="E130" s="25" t="s">
        <v>99</v>
      </c>
      <c r="F130" s="25">
        <v>2</v>
      </c>
      <c r="G130" s="25" t="s">
        <v>100</v>
      </c>
      <c r="H130" s="25">
        <v>200</v>
      </c>
      <c r="I130" s="25">
        <v>160</v>
      </c>
      <c r="J130" s="25">
        <v>400</v>
      </c>
      <c r="K130" s="25">
        <v>320</v>
      </c>
      <c r="L130" s="25">
        <v>80</v>
      </c>
      <c r="M130" s="27">
        <v>25</v>
      </c>
      <c r="N130" s="25" t="s">
        <v>55</v>
      </c>
      <c r="O130" s="25" t="s">
        <v>28</v>
      </c>
      <c r="P130" s="25" t="s">
        <v>32</v>
      </c>
    </row>
    <row r="131" spans="1:16" x14ac:dyDescent="0.3">
      <c r="A131" s="25">
        <v>130</v>
      </c>
      <c r="B131" s="26">
        <v>45345</v>
      </c>
      <c r="C131" s="25" t="s">
        <v>54</v>
      </c>
      <c r="D131" s="25" t="s">
        <v>21</v>
      </c>
      <c r="E131" s="25" t="s">
        <v>95</v>
      </c>
      <c r="F131" s="25">
        <v>4</v>
      </c>
      <c r="G131" s="25" t="s">
        <v>89</v>
      </c>
      <c r="H131" s="25">
        <v>150</v>
      </c>
      <c r="I131" s="25">
        <v>100</v>
      </c>
      <c r="J131" s="25">
        <v>600</v>
      </c>
      <c r="K131" s="25">
        <v>400</v>
      </c>
      <c r="L131" s="25">
        <v>200</v>
      </c>
      <c r="M131" s="27">
        <v>50</v>
      </c>
      <c r="N131" s="25" t="s">
        <v>55</v>
      </c>
      <c r="O131" s="25" t="s">
        <v>28</v>
      </c>
      <c r="P131" s="25" t="s">
        <v>32</v>
      </c>
    </row>
    <row r="132" spans="1:16" x14ac:dyDescent="0.3">
      <c r="A132" s="25">
        <v>131</v>
      </c>
      <c r="B132" s="26">
        <v>45345</v>
      </c>
      <c r="C132" s="25" t="s">
        <v>54</v>
      </c>
      <c r="D132" s="25" t="s">
        <v>22</v>
      </c>
      <c r="E132" s="25" t="s">
        <v>96</v>
      </c>
      <c r="F132" s="25">
        <v>1</v>
      </c>
      <c r="G132" s="25" t="s">
        <v>97</v>
      </c>
      <c r="H132" s="25">
        <v>300</v>
      </c>
      <c r="I132" s="25">
        <v>265</v>
      </c>
      <c r="J132" s="25">
        <v>300</v>
      </c>
      <c r="K132" s="25">
        <v>265</v>
      </c>
      <c r="L132" s="25">
        <v>35</v>
      </c>
      <c r="M132" s="27">
        <v>13.207547169811299</v>
      </c>
      <c r="N132" s="25" t="s">
        <v>55</v>
      </c>
      <c r="O132" s="25" t="s">
        <v>28</v>
      </c>
      <c r="P132" s="25" t="s">
        <v>32</v>
      </c>
    </row>
    <row r="133" spans="1:16" x14ac:dyDescent="0.3">
      <c r="A133" s="25">
        <v>132</v>
      </c>
      <c r="B133" s="26">
        <v>45345</v>
      </c>
      <c r="C133" s="25" t="s">
        <v>54</v>
      </c>
      <c r="D133" s="25" t="s">
        <v>22</v>
      </c>
      <c r="E133" s="25" t="s">
        <v>90</v>
      </c>
      <c r="F133" s="25">
        <v>2.5</v>
      </c>
      <c r="G133" s="25" t="s">
        <v>91</v>
      </c>
      <c r="H133" s="25">
        <v>280</v>
      </c>
      <c r="I133" s="25">
        <v>240</v>
      </c>
      <c r="J133" s="25">
        <v>700</v>
      </c>
      <c r="K133" s="25">
        <v>600</v>
      </c>
      <c r="L133" s="25">
        <v>100</v>
      </c>
      <c r="M133" s="27">
        <v>16.6666666666667</v>
      </c>
      <c r="N133" s="25" t="s">
        <v>55</v>
      </c>
      <c r="O133" s="25" t="s">
        <v>28</v>
      </c>
      <c r="P133" s="25" t="s">
        <v>32</v>
      </c>
    </row>
    <row r="134" spans="1:16" x14ac:dyDescent="0.3">
      <c r="A134" s="25">
        <v>133</v>
      </c>
      <c r="B134" s="26">
        <v>45345</v>
      </c>
      <c r="C134" s="25" t="s">
        <v>54</v>
      </c>
      <c r="D134" s="25" t="s">
        <v>22</v>
      </c>
      <c r="E134" s="25" t="s">
        <v>90</v>
      </c>
      <c r="F134" s="25">
        <v>2</v>
      </c>
      <c r="G134" s="25" t="s">
        <v>91</v>
      </c>
      <c r="H134" s="25">
        <v>280</v>
      </c>
      <c r="I134" s="25">
        <v>240</v>
      </c>
      <c r="J134" s="25">
        <v>560</v>
      </c>
      <c r="K134" s="25">
        <v>480</v>
      </c>
      <c r="L134" s="25">
        <v>80</v>
      </c>
      <c r="M134" s="27">
        <v>16.6666666666667</v>
      </c>
      <c r="N134" s="25" t="s">
        <v>55</v>
      </c>
      <c r="O134" s="25" t="s">
        <v>28</v>
      </c>
      <c r="P134" s="25" t="s">
        <v>32</v>
      </c>
    </row>
    <row r="135" spans="1:16" x14ac:dyDescent="0.3">
      <c r="A135" s="25">
        <v>134</v>
      </c>
      <c r="B135" s="26">
        <v>45345</v>
      </c>
      <c r="C135" s="25" t="s">
        <v>54</v>
      </c>
      <c r="D135" s="25" t="s">
        <v>22</v>
      </c>
      <c r="E135" s="25" t="s">
        <v>92</v>
      </c>
      <c r="F135" s="25">
        <v>4</v>
      </c>
      <c r="G135" s="25" t="s">
        <v>91</v>
      </c>
      <c r="H135" s="25">
        <v>260</v>
      </c>
      <c r="I135" s="25">
        <v>220</v>
      </c>
      <c r="J135" s="25">
        <v>1040</v>
      </c>
      <c r="K135" s="25">
        <v>880</v>
      </c>
      <c r="L135" s="25">
        <v>160</v>
      </c>
      <c r="M135" s="27">
        <v>18.181818181818201</v>
      </c>
      <c r="N135" s="25" t="s">
        <v>55</v>
      </c>
      <c r="O135" s="25" t="s">
        <v>28</v>
      </c>
      <c r="P135" s="25" t="s">
        <v>32</v>
      </c>
    </row>
    <row r="136" spans="1:16" x14ac:dyDescent="0.3">
      <c r="A136" s="25">
        <v>135</v>
      </c>
      <c r="B136" s="26">
        <v>45345</v>
      </c>
      <c r="C136" s="25" t="s">
        <v>54</v>
      </c>
      <c r="D136" s="25" t="s">
        <v>22</v>
      </c>
      <c r="E136" s="25" t="s">
        <v>92</v>
      </c>
      <c r="F136" s="25">
        <v>3</v>
      </c>
      <c r="G136" s="25" t="s">
        <v>91</v>
      </c>
      <c r="H136" s="25">
        <v>260</v>
      </c>
      <c r="I136" s="25">
        <v>220</v>
      </c>
      <c r="J136" s="25">
        <v>780</v>
      </c>
      <c r="K136" s="25">
        <v>660</v>
      </c>
      <c r="L136" s="25">
        <v>120</v>
      </c>
      <c r="M136" s="27">
        <v>18.181818181818201</v>
      </c>
      <c r="N136" s="25" t="s">
        <v>55</v>
      </c>
      <c r="O136" s="25" t="s">
        <v>28</v>
      </c>
      <c r="P136" s="25" t="s">
        <v>32</v>
      </c>
    </row>
    <row r="137" spans="1:16" x14ac:dyDescent="0.3">
      <c r="A137" s="25">
        <v>136</v>
      </c>
      <c r="B137" s="26">
        <v>45345</v>
      </c>
      <c r="C137" s="25" t="s">
        <v>54</v>
      </c>
      <c r="D137" s="25" t="s">
        <v>22</v>
      </c>
      <c r="E137" s="25" t="s">
        <v>92</v>
      </c>
      <c r="F137" s="25">
        <v>1</v>
      </c>
      <c r="G137" s="25" t="s">
        <v>91</v>
      </c>
      <c r="H137" s="25">
        <v>260</v>
      </c>
      <c r="I137" s="25">
        <v>220</v>
      </c>
      <c r="J137" s="25">
        <v>260</v>
      </c>
      <c r="K137" s="25">
        <v>220</v>
      </c>
      <c r="L137" s="25">
        <v>40</v>
      </c>
      <c r="M137" s="27">
        <v>18.181818181818201</v>
      </c>
      <c r="N137" s="25" t="s">
        <v>55</v>
      </c>
      <c r="O137" s="25" t="s">
        <v>28</v>
      </c>
      <c r="P137" s="25" t="s">
        <v>32</v>
      </c>
    </row>
    <row r="138" spans="1:16" x14ac:dyDescent="0.3">
      <c r="A138" s="25">
        <v>137</v>
      </c>
      <c r="B138" s="26">
        <v>45345</v>
      </c>
      <c r="C138" s="25" t="s">
        <v>54</v>
      </c>
      <c r="D138" s="25" t="s">
        <v>22</v>
      </c>
      <c r="E138" s="25" t="s">
        <v>103</v>
      </c>
      <c r="F138" s="25">
        <v>2</v>
      </c>
      <c r="G138" s="25" t="s">
        <v>102</v>
      </c>
      <c r="H138" s="25">
        <v>30</v>
      </c>
      <c r="I138" s="25">
        <v>20</v>
      </c>
      <c r="J138" s="25">
        <v>60</v>
      </c>
      <c r="K138" s="25">
        <v>40</v>
      </c>
      <c r="L138" s="25">
        <v>20</v>
      </c>
      <c r="M138" s="27">
        <v>50</v>
      </c>
      <c r="N138" s="25" t="s">
        <v>55</v>
      </c>
      <c r="O138" s="25" t="s">
        <v>28</v>
      </c>
      <c r="P138" s="25" t="s">
        <v>32</v>
      </c>
    </row>
    <row r="139" spans="1:16" x14ac:dyDescent="0.3">
      <c r="A139" s="25">
        <v>138</v>
      </c>
      <c r="B139" s="26">
        <v>45345</v>
      </c>
      <c r="C139" s="25" t="s">
        <v>54</v>
      </c>
      <c r="D139" s="25" t="s">
        <v>22</v>
      </c>
      <c r="E139" s="25" t="s">
        <v>101</v>
      </c>
      <c r="F139" s="25">
        <v>16</v>
      </c>
      <c r="G139" s="25" t="s">
        <v>102</v>
      </c>
      <c r="H139" s="25">
        <v>6</v>
      </c>
      <c r="I139" s="25">
        <v>4</v>
      </c>
      <c r="J139" s="25">
        <v>96</v>
      </c>
      <c r="K139" s="25">
        <v>64</v>
      </c>
      <c r="L139" s="25">
        <v>32</v>
      </c>
      <c r="M139" s="27">
        <v>50</v>
      </c>
      <c r="N139" s="25" t="s">
        <v>55</v>
      </c>
      <c r="O139" s="25" t="s">
        <v>28</v>
      </c>
      <c r="P139" s="25" t="s">
        <v>32</v>
      </c>
    </row>
    <row r="140" spans="1:16" x14ac:dyDescent="0.3">
      <c r="A140" s="25">
        <v>139</v>
      </c>
      <c r="B140" s="26">
        <v>45346</v>
      </c>
      <c r="C140" s="25" t="s">
        <v>54</v>
      </c>
      <c r="D140" s="25" t="s">
        <v>21</v>
      </c>
      <c r="E140" s="25" t="s">
        <v>88</v>
      </c>
      <c r="F140" s="25">
        <v>6</v>
      </c>
      <c r="G140" s="25" t="s">
        <v>89</v>
      </c>
      <c r="H140" s="25">
        <v>130</v>
      </c>
      <c r="I140" s="25">
        <v>100</v>
      </c>
      <c r="J140" s="25">
        <v>780</v>
      </c>
      <c r="K140" s="25">
        <v>600</v>
      </c>
      <c r="L140" s="25">
        <v>180</v>
      </c>
      <c r="M140" s="27">
        <v>30</v>
      </c>
      <c r="N140" s="25" t="s">
        <v>55</v>
      </c>
      <c r="O140" s="25" t="s">
        <v>27</v>
      </c>
      <c r="P140" s="25" t="s">
        <v>32</v>
      </c>
    </row>
    <row r="141" spans="1:16" x14ac:dyDescent="0.3">
      <c r="A141" s="25">
        <v>140</v>
      </c>
      <c r="B141" s="26">
        <v>45346</v>
      </c>
      <c r="C141" s="25" t="s">
        <v>54</v>
      </c>
      <c r="D141" s="25" t="s">
        <v>22</v>
      </c>
      <c r="E141" s="25" t="s">
        <v>96</v>
      </c>
      <c r="F141" s="25">
        <v>1</v>
      </c>
      <c r="G141" s="25" t="s">
        <v>97</v>
      </c>
      <c r="H141" s="25">
        <v>300</v>
      </c>
      <c r="I141" s="25">
        <v>265</v>
      </c>
      <c r="J141" s="25">
        <v>300</v>
      </c>
      <c r="K141" s="25">
        <v>265</v>
      </c>
      <c r="L141" s="25">
        <v>35</v>
      </c>
      <c r="M141" s="27">
        <v>13.207547169811299</v>
      </c>
      <c r="N141" s="25" t="s">
        <v>55</v>
      </c>
      <c r="O141" s="25" t="s">
        <v>28</v>
      </c>
      <c r="P141" s="25" t="s">
        <v>32</v>
      </c>
    </row>
    <row r="142" spans="1:16" x14ac:dyDescent="0.3">
      <c r="A142" s="25">
        <v>141</v>
      </c>
      <c r="B142" s="26">
        <v>45346</v>
      </c>
      <c r="C142" s="25" t="s">
        <v>54</v>
      </c>
      <c r="D142" s="25" t="s">
        <v>21</v>
      </c>
      <c r="E142" s="25" t="s">
        <v>88</v>
      </c>
      <c r="F142" s="25">
        <v>4</v>
      </c>
      <c r="G142" s="25" t="s">
        <v>89</v>
      </c>
      <c r="H142" s="25">
        <v>130</v>
      </c>
      <c r="I142" s="25">
        <v>100</v>
      </c>
      <c r="J142" s="25">
        <v>520</v>
      </c>
      <c r="K142" s="25">
        <v>400</v>
      </c>
      <c r="L142" s="25">
        <v>120</v>
      </c>
      <c r="M142" s="27">
        <v>30</v>
      </c>
      <c r="N142" s="25" t="s">
        <v>55</v>
      </c>
      <c r="O142" s="25" t="s">
        <v>27</v>
      </c>
      <c r="P142" s="25" t="s">
        <v>32</v>
      </c>
    </row>
    <row r="143" spans="1:16" x14ac:dyDescent="0.3">
      <c r="A143" s="25">
        <v>142</v>
      </c>
      <c r="B143" s="26">
        <v>45346</v>
      </c>
      <c r="C143" s="25" t="s">
        <v>54</v>
      </c>
      <c r="D143" s="25" t="s">
        <v>22</v>
      </c>
      <c r="E143" s="25" t="s">
        <v>99</v>
      </c>
      <c r="F143" s="25">
        <v>2</v>
      </c>
      <c r="G143" s="25" t="s">
        <v>100</v>
      </c>
      <c r="H143" s="25">
        <v>200</v>
      </c>
      <c r="I143" s="25">
        <v>160</v>
      </c>
      <c r="J143" s="25">
        <v>400</v>
      </c>
      <c r="K143" s="25">
        <v>320</v>
      </c>
      <c r="L143" s="25">
        <v>80</v>
      </c>
      <c r="M143" s="27">
        <v>25</v>
      </c>
      <c r="N143" s="25" t="s">
        <v>55</v>
      </c>
      <c r="O143" s="25" t="s">
        <v>28</v>
      </c>
      <c r="P143" s="25" t="s">
        <v>32</v>
      </c>
    </row>
    <row r="144" spans="1:16" x14ac:dyDescent="0.3">
      <c r="A144" s="25">
        <v>143</v>
      </c>
      <c r="B144" s="26">
        <v>45346</v>
      </c>
      <c r="C144" s="25" t="s">
        <v>54</v>
      </c>
      <c r="D144" s="25" t="s">
        <v>22</v>
      </c>
      <c r="E144" s="25" t="s">
        <v>90</v>
      </c>
      <c r="F144" s="25">
        <v>3</v>
      </c>
      <c r="G144" s="25" t="s">
        <v>91</v>
      </c>
      <c r="H144" s="25">
        <v>280</v>
      </c>
      <c r="I144" s="25">
        <v>240</v>
      </c>
      <c r="J144" s="25">
        <v>840</v>
      </c>
      <c r="K144" s="25">
        <v>720</v>
      </c>
      <c r="L144" s="25">
        <v>120</v>
      </c>
      <c r="M144" s="27">
        <v>16.6666666666667</v>
      </c>
      <c r="N144" s="25" t="s">
        <v>55</v>
      </c>
      <c r="O144" s="25" t="s">
        <v>28</v>
      </c>
      <c r="P144" s="25" t="s">
        <v>32</v>
      </c>
    </row>
    <row r="145" spans="1:16" x14ac:dyDescent="0.3">
      <c r="A145" s="25">
        <v>144</v>
      </c>
      <c r="B145" s="26">
        <v>45346</v>
      </c>
      <c r="C145" s="25" t="s">
        <v>54</v>
      </c>
      <c r="D145" s="25" t="s">
        <v>21</v>
      </c>
      <c r="E145" s="25" t="s">
        <v>88</v>
      </c>
      <c r="F145" s="25">
        <v>3</v>
      </c>
      <c r="G145" s="25" t="s">
        <v>89</v>
      </c>
      <c r="H145" s="25">
        <v>130</v>
      </c>
      <c r="I145" s="25">
        <v>100</v>
      </c>
      <c r="J145" s="25">
        <v>390</v>
      </c>
      <c r="K145" s="25">
        <v>300</v>
      </c>
      <c r="L145" s="25">
        <v>90</v>
      </c>
      <c r="M145" s="27">
        <v>30</v>
      </c>
      <c r="N145" s="25" t="s">
        <v>55</v>
      </c>
      <c r="O145" s="25" t="s">
        <v>27</v>
      </c>
      <c r="P145" s="25" t="s">
        <v>32</v>
      </c>
    </row>
    <row r="146" spans="1:16" x14ac:dyDescent="0.3">
      <c r="A146" s="25">
        <v>145</v>
      </c>
      <c r="B146" s="26">
        <v>45346</v>
      </c>
      <c r="C146" s="25" t="s">
        <v>54</v>
      </c>
      <c r="D146" s="25" t="s">
        <v>22</v>
      </c>
      <c r="E146" s="25" t="s">
        <v>90</v>
      </c>
      <c r="F146" s="25">
        <v>3</v>
      </c>
      <c r="G146" s="25" t="s">
        <v>91</v>
      </c>
      <c r="H146" s="25">
        <v>280</v>
      </c>
      <c r="I146" s="25">
        <v>240</v>
      </c>
      <c r="J146" s="25">
        <v>840</v>
      </c>
      <c r="K146" s="25">
        <v>720</v>
      </c>
      <c r="L146" s="25">
        <v>120</v>
      </c>
      <c r="M146" s="27">
        <v>16.6666666666667</v>
      </c>
      <c r="N146" s="25" t="s">
        <v>55</v>
      </c>
      <c r="O146" s="25" t="s">
        <v>28</v>
      </c>
      <c r="P146" s="25" t="s">
        <v>32</v>
      </c>
    </row>
    <row r="147" spans="1:16" x14ac:dyDescent="0.3">
      <c r="A147" s="25">
        <v>146</v>
      </c>
      <c r="B147" s="26">
        <v>45347</v>
      </c>
      <c r="C147" s="25" t="s">
        <v>54</v>
      </c>
      <c r="D147" s="25" t="s">
        <v>21</v>
      </c>
      <c r="E147" s="25" t="s">
        <v>88</v>
      </c>
      <c r="F147" s="25">
        <v>2</v>
      </c>
      <c r="G147" s="25" t="s">
        <v>89</v>
      </c>
      <c r="H147" s="25">
        <v>130</v>
      </c>
      <c r="I147" s="25">
        <v>100</v>
      </c>
      <c r="J147" s="25">
        <v>260</v>
      </c>
      <c r="K147" s="25">
        <v>200</v>
      </c>
      <c r="L147" s="25">
        <v>60</v>
      </c>
      <c r="M147" s="27">
        <v>30</v>
      </c>
      <c r="N147" s="25" t="s">
        <v>55</v>
      </c>
      <c r="O147" s="25" t="s">
        <v>27</v>
      </c>
      <c r="P147" s="25" t="s">
        <v>32</v>
      </c>
    </row>
    <row r="148" spans="1:16" x14ac:dyDescent="0.3">
      <c r="A148" s="25">
        <v>147</v>
      </c>
      <c r="B148" s="26">
        <v>45347</v>
      </c>
      <c r="C148" s="25" t="s">
        <v>54</v>
      </c>
      <c r="D148" s="25" t="s">
        <v>22</v>
      </c>
      <c r="E148" s="25" t="s">
        <v>90</v>
      </c>
      <c r="F148" s="25">
        <v>2.5</v>
      </c>
      <c r="G148" s="25" t="s">
        <v>91</v>
      </c>
      <c r="H148" s="25">
        <v>280</v>
      </c>
      <c r="I148" s="25">
        <v>240</v>
      </c>
      <c r="J148" s="25">
        <v>700</v>
      </c>
      <c r="K148" s="25">
        <v>600</v>
      </c>
      <c r="L148" s="25">
        <v>100</v>
      </c>
      <c r="M148" s="27">
        <v>16.6666666666667</v>
      </c>
      <c r="N148" s="25" t="s">
        <v>55</v>
      </c>
      <c r="O148" s="25" t="s">
        <v>28</v>
      </c>
      <c r="P148" s="25" t="s">
        <v>32</v>
      </c>
    </row>
    <row r="149" spans="1:16" x14ac:dyDescent="0.3">
      <c r="A149" s="25">
        <v>148</v>
      </c>
      <c r="B149" s="26">
        <v>45347</v>
      </c>
      <c r="C149" s="25" t="s">
        <v>54</v>
      </c>
      <c r="D149" s="25" t="s">
        <v>22</v>
      </c>
      <c r="E149" s="25" t="s">
        <v>90</v>
      </c>
      <c r="F149" s="25">
        <v>2.5</v>
      </c>
      <c r="G149" s="25" t="s">
        <v>91</v>
      </c>
      <c r="H149" s="25">
        <v>280</v>
      </c>
      <c r="I149" s="25">
        <v>240</v>
      </c>
      <c r="J149" s="25">
        <v>700</v>
      </c>
      <c r="K149" s="25">
        <v>600</v>
      </c>
      <c r="L149" s="25">
        <v>100</v>
      </c>
      <c r="M149" s="27">
        <v>16.6666666666667</v>
      </c>
      <c r="N149" s="25" t="s">
        <v>55</v>
      </c>
      <c r="O149" s="25" t="s">
        <v>28</v>
      </c>
      <c r="P149" s="25" t="s">
        <v>32</v>
      </c>
    </row>
    <row r="150" spans="1:16" x14ac:dyDescent="0.3">
      <c r="A150" s="25">
        <v>149</v>
      </c>
      <c r="B150" s="26">
        <v>45347</v>
      </c>
      <c r="C150" s="25" t="s">
        <v>54</v>
      </c>
      <c r="D150" s="25" t="s">
        <v>22</v>
      </c>
      <c r="E150" s="25" t="s">
        <v>96</v>
      </c>
      <c r="F150" s="25">
        <v>1</v>
      </c>
      <c r="G150" s="25" t="s">
        <v>97</v>
      </c>
      <c r="H150" s="25">
        <v>300</v>
      </c>
      <c r="I150" s="25">
        <v>265</v>
      </c>
      <c r="J150" s="25">
        <v>300</v>
      </c>
      <c r="K150" s="25">
        <v>265</v>
      </c>
      <c r="L150" s="25">
        <v>35</v>
      </c>
      <c r="M150" s="27">
        <v>13.207547169811299</v>
      </c>
      <c r="N150" s="25" t="s">
        <v>55</v>
      </c>
      <c r="O150" s="25" t="s">
        <v>28</v>
      </c>
      <c r="P150" s="25" t="s">
        <v>32</v>
      </c>
    </row>
    <row r="151" spans="1:16" x14ac:dyDescent="0.3">
      <c r="A151" s="25">
        <v>150</v>
      </c>
      <c r="B151" s="26">
        <v>45347</v>
      </c>
      <c r="C151" s="25" t="s">
        <v>54</v>
      </c>
      <c r="D151" s="25" t="s">
        <v>21</v>
      </c>
      <c r="E151" s="25" t="s">
        <v>88</v>
      </c>
      <c r="F151" s="25">
        <v>2</v>
      </c>
      <c r="G151" s="25" t="s">
        <v>89</v>
      </c>
      <c r="H151" s="25">
        <v>130</v>
      </c>
      <c r="I151" s="25">
        <v>100</v>
      </c>
      <c r="J151" s="25">
        <v>260</v>
      </c>
      <c r="K151" s="25">
        <v>200</v>
      </c>
      <c r="L151" s="25">
        <v>60</v>
      </c>
      <c r="M151" s="27">
        <v>30</v>
      </c>
      <c r="N151" s="25" t="s">
        <v>55</v>
      </c>
      <c r="O151" s="25" t="s">
        <v>27</v>
      </c>
      <c r="P151" s="25" t="s">
        <v>32</v>
      </c>
    </row>
    <row r="152" spans="1:16" x14ac:dyDescent="0.3">
      <c r="A152" s="25">
        <v>151</v>
      </c>
      <c r="B152" s="26">
        <v>45347</v>
      </c>
      <c r="C152" s="25" t="s">
        <v>54</v>
      </c>
      <c r="D152" s="25" t="s">
        <v>22</v>
      </c>
      <c r="E152" s="25" t="s">
        <v>92</v>
      </c>
      <c r="F152" s="25">
        <v>3</v>
      </c>
      <c r="G152" s="25" t="s">
        <v>91</v>
      </c>
      <c r="H152" s="25">
        <v>260</v>
      </c>
      <c r="I152" s="25">
        <v>220</v>
      </c>
      <c r="J152" s="25">
        <v>780</v>
      </c>
      <c r="K152" s="25">
        <v>660</v>
      </c>
      <c r="L152" s="25">
        <v>120</v>
      </c>
      <c r="M152" s="27">
        <v>18.181818181818201</v>
      </c>
      <c r="N152" s="25" t="s">
        <v>55</v>
      </c>
      <c r="O152" s="25" t="s">
        <v>28</v>
      </c>
      <c r="P152" s="25" t="s">
        <v>32</v>
      </c>
    </row>
    <row r="153" spans="1:16" x14ac:dyDescent="0.3">
      <c r="A153" s="25">
        <v>152</v>
      </c>
      <c r="B153" s="26">
        <v>45347</v>
      </c>
      <c r="C153" s="25" t="s">
        <v>54</v>
      </c>
      <c r="D153" s="25" t="s">
        <v>22</v>
      </c>
      <c r="E153" s="25" t="s">
        <v>92</v>
      </c>
      <c r="F153" s="25">
        <v>1.5</v>
      </c>
      <c r="G153" s="25" t="s">
        <v>91</v>
      </c>
      <c r="H153" s="25">
        <v>260</v>
      </c>
      <c r="I153" s="25">
        <v>220</v>
      </c>
      <c r="J153" s="25">
        <v>390</v>
      </c>
      <c r="K153" s="25">
        <v>330</v>
      </c>
      <c r="L153" s="25">
        <v>60</v>
      </c>
      <c r="M153" s="27">
        <v>18.181818181818201</v>
      </c>
      <c r="N153" s="25" t="s">
        <v>55</v>
      </c>
      <c r="O153" s="25" t="s">
        <v>28</v>
      </c>
      <c r="P153" s="25" t="s">
        <v>32</v>
      </c>
    </row>
    <row r="154" spans="1:16" x14ac:dyDescent="0.3">
      <c r="A154" s="25">
        <v>153</v>
      </c>
      <c r="B154" s="26">
        <v>45348</v>
      </c>
      <c r="C154" s="25" t="s">
        <v>54</v>
      </c>
      <c r="D154" s="25" t="s">
        <v>21</v>
      </c>
      <c r="E154" s="25" t="s">
        <v>88</v>
      </c>
      <c r="F154" s="25">
        <v>2</v>
      </c>
      <c r="G154" s="25" t="s">
        <v>89</v>
      </c>
      <c r="H154" s="25">
        <v>130</v>
      </c>
      <c r="I154" s="25">
        <v>100</v>
      </c>
      <c r="J154" s="25">
        <v>260</v>
      </c>
      <c r="K154" s="25">
        <v>200</v>
      </c>
      <c r="L154" s="25">
        <v>60</v>
      </c>
      <c r="M154" s="27">
        <v>30</v>
      </c>
      <c r="N154" s="25" t="s">
        <v>55</v>
      </c>
      <c r="O154" s="25" t="s">
        <v>27</v>
      </c>
      <c r="P154" s="25" t="s">
        <v>32</v>
      </c>
    </row>
    <row r="155" spans="1:16" x14ac:dyDescent="0.3">
      <c r="A155" s="25">
        <v>154</v>
      </c>
      <c r="B155" s="26">
        <v>45348</v>
      </c>
      <c r="C155" s="25" t="s">
        <v>54</v>
      </c>
      <c r="D155" s="25" t="s">
        <v>21</v>
      </c>
      <c r="E155" s="25" t="s">
        <v>95</v>
      </c>
      <c r="F155" s="25">
        <v>3</v>
      </c>
      <c r="G155" s="25" t="s">
        <v>89</v>
      </c>
      <c r="H155" s="25">
        <v>150</v>
      </c>
      <c r="I155" s="25">
        <v>100</v>
      </c>
      <c r="J155" s="25">
        <v>450</v>
      </c>
      <c r="K155" s="25">
        <v>300</v>
      </c>
      <c r="L155" s="25">
        <v>150</v>
      </c>
      <c r="M155" s="27">
        <v>50</v>
      </c>
      <c r="N155" s="25" t="s">
        <v>55</v>
      </c>
      <c r="O155" s="25" t="s">
        <v>28</v>
      </c>
      <c r="P155" s="25" t="s">
        <v>32</v>
      </c>
    </row>
    <row r="156" spans="1:16" x14ac:dyDescent="0.3">
      <c r="A156" s="25">
        <v>155</v>
      </c>
      <c r="B156" s="26">
        <v>45348</v>
      </c>
      <c r="C156" s="25" t="s">
        <v>54</v>
      </c>
      <c r="D156" s="25" t="s">
        <v>22</v>
      </c>
      <c r="E156" s="25" t="s">
        <v>90</v>
      </c>
      <c r="F156" s="25">
        <v>2.5</v>
      </c>
      <c r="G156" s="25" t="s">
        <v>91</v>
      </c>
      <c r="H156" s="25">
        <v>280</v>
      </c>
      <c r="I156" s="25">
        <v>240</v>
      </c>
      <c r="J156" s="25">
        <v>700</v>
      </c>
      <c r="K156" s="25">
        <v>600</v>
      </c>
      <c r="L156" s="25">
        <v>100</v>
      </c>
      <c r="M156" s="27">
        <v>16.6666666666667</v>
      </c>
      <c r="N156" s="25" t="s">
        <v>55</v>
      </c>
      <c r="O156" s="25" t="s">
        <v>28</v>
      </c>
      <c r="P156" s="25" t="s">
        <v>32</v>
      </c>
    </row>
    <row r="157" spans="1:16" x14ac:dyDescent="0.3">
      <c r="A157" s="25">
        <v>156</v>
      </c>
      <c r="B157" s="26">
        <v>45348</v>
      </c>
      <c r="C157" s="25" t="s">
        <v>54</v>
      </c>
      <c r="D157" s="25" t="s">
        <v>22</v>
      </c>
      <c r="E157" s="25" t="s">
        <v>90</v>
      </c>
      <c r="F157" s="25">
        <v>2</v>
      </c>
      <c r="G157" s="25" t="s">
        <v>91</v>
      </c>
      <c r="H157" s="25">
        <v>280</v>
      </c>
      <c r="I157" s="25">
        <v>240</v>
      </c>
      <c r="J157" s="25">
        <v>560</v>
      </c>
      <c r="K157" s="25">
        <v>480</v>
      </c>
      <c r="L157" s="25">
        <v>80</v>
      </c>
      <c r="M157" s="27">
        <v>16.6666666666667</v>
      </c>
      <c r="N157" s="25" t="s">
        <v>55</v>
      </c>
      <c r="O157" s="25" t="s">
        <v>28</v>
      </c>
      <c r="P157" s="25" t="s">
        <v>33</v>
      </c>
    </row>
    <row r="158" spans="1:16" x14ac:dyDescent="0.3">
      <c r="A158" s="25">
        <v>157</v>
      </c>
      <c r="B158" s="26">
        <v>45348</v>
      </c>
      <c r="C158" s="25" t="s">
        <v>54</v>
      </c>
      <c r="D158" s="25" t="s">
        <v>22</v>
      </c>
      <c r="E158" s="25" t="s">
        <v>103</v>
      </c>
      <c r="F158" s="25">
        <v>4</v>
      </c>
      <c r="G158" s="25" t="s">
        <v>102</v>
      </c>
      <c r="H158" s="25">
        <v>30</v>
      </c>
      <c r="I158" s="25">
        <v>20</v>
      </c>
      <c r="J158" s="25">
        <v>120</v>
      </c>
      <c r="K158" s="25">
        <v>80</v>
      </c>
      <c r="L158" s="25">
        <v>40</v>
      </c>
      <c r="M158" s="27">
        <v>50</v>
      </c>
      <c r="N158" s="25" t="s">
        <v>55</v>
      </c>
      <c r="O158" s="25" t="s">
        <v>28</v>
      </c>
      <c r="P158" s="25" t="s">
        <v>33</v>
      </c>
    </row>
    <row r="159" spans="1:16" x14ac:dyDescent="0.3">
      <c r="A159" s="25">
        <v>158</v>
      </c>
      <c r="B159" s="26">
        <v>45348</v>
      </c>
      <c r="C159" s="25" t="s">
        <v>54</v>
      </c>
      <c r="D159" s="25" t="s">
        <v>22</v>
      </c>
      <c r="E159" s="25" t="s">
        <v>101</v>
      </c>
      <c r="F159" s="25">
        <v>16</v>
      </c>
      <c r="G159" s="25" t="s">
        <v>102</v>
      </c>
      <c r="H159" s="25">
        <v>6</v>
      </c>
      <c r="I159" s="25">
        <v>4</v>
      </c>
      <c r="J159" s="25">
        <v>96</v>
      </c>
      <c r="K159" s="25">
        <v>64</v>
      </c>
      <c r="L159" s="25">
        <v>32</v>
      </c>
      <c r="M159" s="27">
        <v>50</v>
      </c>
      <c r="N159" s="25" t="s">
        <v>55</v>
      </c>
      <c r="O159" s="25" t="s">
        <v>28</v>
      </c>
      <c r="P159" s="25" t="s">
        <v>32</v>
      </c>
    </row>
    <row r="160" spans="1:16" x14ac:dyDescent="0.3">
      <c r="A160" s="25">
        <v>159</v>
      </c>
      <c r="B160" s="26">
        <v>45349</v>
      </c>
      <c r="C160" s="25" t="s">
        <v>54</v>
      </c>
      <c r="D160" s="25" t="s">
        <v>21</v>
      </c>
      <c r="E160" s="25" t="s">
        <v>88</v>
      </c>
      <c r="F160" s="25">
        <v>6</v>
      </c>
      <c r="G160" s="25" t="s">
        <v>89</v>
      </c>
      <c r="H160" s="25">
        <v>130</v>
      </c>
      <c r="I160" s="25">
        <v>100</v>
      </c>
      <c r="J160" s="25">
        <v>780</v>
      </c>
      <c r="K160" s="25">
        <v>600</v>
      </c>
      <c r="L160" s="25">
        <v>180</v>
      </c>
      <c r="M160" s="27">
        <v>30</v>
      </c>
      <c r="N160" s="25" t="s">
        <v>55</v>
      </c>
      <c r="O160" s="25" t="s">
        <v>27</v>
      </c>
      <c r="P160" s="25" t="s">
        <v>32</v>
      </c>
    </row>
    <row r="161" spans="1:16" x14ac:dyDescent="0.3">
      <c r="A161" s="25">
        <v>160</v>
      </c>
      <c r="B161" s="26">
        <v>45349</v>
      </c>
      <c r="C161" s="25" t="s">
        <v>54</v>
      </c>
      <c r="D161" s="25" t="s">
        <v>22</v>
      </c>
      <c r="E161" s="25" t="s">
        <v>90</v>
      </c>
      <c r="F161" s="25">
        <v>3</v>
      </c>
      <c r="G161" s="25" t="s">
        <v>91</v>
      </c>
      <c r="H161" s="25">
        <v>280</v>
      </c>
      <c r="I161" s="25">
        <v>240</v>
      </c>
      <c r="J161" s="25">
        <v>840</v>
      </c>
      <c r="K161" s="25">
        <v>720</v>
      </c>
      <c r="L161" s="25">
        <v>120</v>
      </c>
      <c r="M161" s="27">
        <v>16.6666666666667</v>
      </c>
      <c r="N161" s="25" t="s">
        <v>55</v>
      </c>
      <c r="O161" s="25" t="s">
        <v>28</v>
      </c>
      <c r="P161" s="25" t="s">
        <v>32</v>
      </c>
    </row>
    <row r="162" spans="1:16" x14ac:dyDescent="0.3">
      <c r="A162" s="25">
        <v>161</v>
      </c>
      <c r="B162" s="26">
        <v>45349</v>
      </c>
      <c r="C162" s="25" t="s">
        <v>54</v>
      </c>
      <c r="D162" s="25" t="s">
        <v>22</v>
      </c>
      <c r="E162" s="25" t="s">
        <v>90</v>
      </c>
      <c r="F162" s="25">
        <v>3.5</v>
      </c>
      <c r="G162" s="25" t="s">
        <v>91</v>
      </c>
      <c r="H162" s="25">
        <v>280</v>
      </c>
      <c r="I162" s="25">
        <v>240</v>
      </c>
      <c r="J162" s="25">
        <v>980</v>
      </c>
      <c r="K162" s="25">
        <v>840</v>
      </c>
      <c r="L162" s="25">
        <v>140</v>
      </c>
      <c r="M162" s="27">
        <v>16.6666666666667</v>
      </c>
      <c r="N162" s="25" t="s">
        <v>55</v>
      </c>
      <c r="O162" s="25" t="s">
        <v>28</v>
      </c>
      <c r="P162" s="25" t="s">
        <v>32</v>
      </c>
    </row>
    <row r="163" spans="1:16" x14ac:dyDescent="0.3">
      <c r="A163" s="25">
        <v>162</v>
      </c>
      <c r="B163" s="26">
        <v>45349</v>
      </c>
      <c r="C163" s="25" t="s">
        <v>54</v>
      </c>
      <c r="D163" s="25" t="s">
        <v>22</v>
      </c>
      <c r="E163" s="25" t="s">
        <v>90</v>
      </c>
      <c r="F163" s="25">
        <v>2.5</v>
      </c>
      <c r="G163" s="25" t="s">
        <v>91</v>
      </c>
      <c r="H163" s="25">
        <v>280</v>
      </c>
      <c r="I163" s="25">
        <v>240</v>
      </c>
      <c r="J163" s="25">
        <v>700</v>
      </c>
      <c r="K163" s="25">
        <v>600</v>
      </c>
      <c r="L163" s="25">
        <v>100</v>
      </c>
      <c r="M163" s="27">
        <v>16.6666666666667</v>
      </c>
      <c r="N163" s="25" t="s">
        <v>55</v>
      </c>
      <c r="O163" s="25" t="s">
        <v>28</v>
      </c>
      <c r="P163" s="25" t="s">
        <v>32</v>
      </c>
    </row>
    <row r="164" spans="1:16" x14ac:dyDescent="0.3">
      <c r="A164" s="25">
        <v>163</v>
      </c>
      <c r="B164" s="26">
        <v>45351</v>
      </c>
      <c r="C164" s="25" t="s">
        <v>54</v>
      </c>
      <c r="D164" s="25" t="s">
        <v>22</v>
      </c>
      <c r="E164" s="25" t="s">
        <v>90</v>
      </c>
      <c r="F164" s="25">
        <v>2</v>
      </c>
      <c r="G164" s="25" t="s">
        <v>91</v>
      </c>
      <c r="H164" s="25">
        <v>280</v>
      </c>
      <c r="I164" s="25">
        <v>240</v>
      </c>
      <c r="J164" s="25">
        <v>560</v>
      </c>
      <c r="K164" s="25">
        <v>480</v>
      </c>
      <c r="L164" s="25">
        <v>80</v>
      </c>
      <c r="M164" s="27">
        <v>16.6666666666667</v>
      </c>
      <c r="N164" s="25" t="s">
        <v>55</v>
      </c>
      <c r="O164" s="25" t="s">
        <v>28</v>
      </c>
      <c r="P164" s="25" t="s">
        <v>33</v>
      </c>
    </row>
    <row r="165" spans="1:16" x14ac:dyDescent="0.3">
      <c r="A165" s="25">
        <v>164</v>
      </c>
      <c r="B165" s="26">
        <v>45351</v>
      </c>
      <c r="C165" s="25" t="s">
        <v>54</v>
      </c>
      <c r="D165" s="25" t="s">
        <v>22</v>
      </c>
      <c r="E165" s="25" t="s">
        <v>90</v>
      </c>
      <c r="F165" s="25">
        <v>4</v>
      </c>
      <c r="G165" s="25" t="s">
        <v>91</v>
      </c>
      <c r="H165" s="25">
        <v>280</v>
      </c>
      <c r="I165" s="25">
        <v>240</v>
      </c>
      <c r="J165" s="25">
        <v>1120</v>
      </c>
      <c r="K165" s="25">
        <v>960</v>
      </c>
      <c r="L165" s="25">
        <v>160</v>
      </c>
      <c r="M165" s="27">
        <v>16.6666666666667</v>
      </c>
      <c r="N165" s="25" t="s">
        <v>55</v>
      </c>
      <c r="O165" s="25" t="s">
        <v>28</v>
      </c>
      <c r="P165" s="25" t="s">
        <v>33</v>
      </c>
    </row>
    <row r="166" spans="1:16" x14ac:dyDescent="0.3">
      <c r="A166" s="25">
        <v>165</v>
      </c>
      <c r="B166" s="26">
        <v>45351</v>
      </c>
      <c r="C166" s="25" t="s">
        <v>54</v>
      </c>
      <c r="D166" s="25" t="s">
        <v>21</v>
      </c>
      <c r="E166" s="25" t="s">
        <v>88</v>
      </c>
      <c r="F166" s="25">
        <v>7</v>
      </c>
      <c r="G166" s="25" t="s">
        <v>89</v>
      </c>
      <c r="H166" s="25">
        <v>130</v>
      </c>
      <c r="I166" s="25">
        <v>100</v>
      </c>
      <c r="J166" s="25">
        <v>910</v>
      </c>
      <c r="K166" s="25">
        <v>700</v>
      </c>
      <c r="L166" s="25">
        <v>210</v>
      </c>
      <c r="M166" s="27">
        <v>30</v>
      </c>
      <c r="N166" s="25" t="s">
        <v>55</v>
      </c>
      <c r="O166" s="25" t="s">
        <v>27</v>
      </c>
      <c r="P166" s="25" t="s">
        <v>32</v>
      </c>
    </row>
    <row r="167" spans="1:16" x14ac:dyDescent="0.3">
      <c r="A167" s="25">
        <v>166</v>
      </c>
      <c r="B167" s="26">
        <v>45351</v>
      </c>
      <c r="C167" s="25" t="s">
        <v>54</v>
      </c>
      <c r="D167" s="25" t="s">
        <v>21</v>
      </c>
      <c r="E167" s="25" t="s">
        <v>95</v>
      </c>
      <c r="F167" s="25">
        <v>5</v>
      </c>
      <c r="G167" s="25" t="s">
        <v>89</v>
      </c>
      <c r="H167" s="25">
        <v>150</v>
      </c>
      <c r="I167" s="25">
        <v>100</v>
      </c>
      <c r="J167" s="25">
        <v>750</v>
      </c>
      <c r="K167" s="25">
        <v>500</v>
      </c>
      <c r="L167" s="25">
        <v>250</v>
      </c>
      <c r="M167" s="27">
        <v>50</v>
      </c>
      <c r="N167" s="25" t="s">
        <v>55</v>
      </c>
      <c r="O167" s="25" t="s">
        <v>28</v>
      </c>
      <c r="P167" s="25" t="s">
        <v>32</v>
      </c>
    </row>
    <row r="168" spans="1:16" x14ac:dyDescent="0.3">
      <c r="A168" s="25">
        <v>167</v>
      </c>
      <c r="B168" s="26">
        <v>45351</v>
      </c>
      <c r="C168" s="25" t="s">
        <v>54</v>
      </c>
      <c r="D168" s="25" t="s">
        <v>22</v>
      </c>
      <c r="E168" s="25" t="s">
        <v>90</v>
      </c>
      <c r="F168" s="25">
        <v>3</v>
      </c>
      <c r="G168" s="25" t="s">
        <v>91</v>
      </c>
      <c r="H168" s="25">
        <v>280</v>
      </c>
      <c r="I168" s="25">
        <v>240</v>
      </c>
      <c r="J168" s="25">
        <v>840</v>
      </c>
      <c r="K168" s="25">
        <v>720</v>
      </c>
      <c r="L168" s="25">
        <v>120</v>
      </c>
      <c r="M168" s="27">
        <v>16.6666666666667</v>
      </c>
      <c r="N168" s="25" t="s">
        <v>55</v>
      </c>
      <c r="O168" s="25" t="s">
        <v>28</v>
      </c>
      <c r="P168" s="25" t="s">
        <v>32</v>
      </c>
    </row>
    <row r="169" spans="1:16" x14ac:dyDescent="0.3">
      <c r="A169" s="25">
        <v>168</v>
      </c>
      <c r="B169" s="26">
        <v>45351</v>
      </c>
      <c r="C169" s="25" t="s">
        <v>54</v>
      </c>
      <c r="D169" s="25" t="s">
        <v>22</v>
      </c>
      <c r="E169" s="25" t="s">
        <v>103</v>
      </c>
      <c r="F169" s="25">
        <v>2</v>
      </c>
      <c r="G169" s="25" t="s">
        <v>102</v>
      </c>
      <c r="H169" s="25">
        <v>30</v>
      </c>
      <c r="I169" s="25">
        <v>20</v>
      </c>
      <c r="J169" s="25">
        <v>60</v>
      </c>
      <c r="K169" s="25">
        <v>40</v>
      </c>
      <c r="L169" s="25">
        <v>20</v>
      </c>
      <c r="M169" s="27">
        <v>50</v>
      </c>
      <c r="N169" s="25" t="s">
        <v>55</v>
      </c>
      <c r="O169" s="25" t="s">
        <v>28</v>
      </c>
      <c r="P169" s="25" t="s">
        <v>32</v>
      </c>
    </row>
    <row r="170" spans="1:16" x14ac:dyDescent="0.3">
      <c r="A170" s="25">
        <v>169</v>
      </c>
      <c r="B170" s="26">
        <v>45352</v>
      </c>
      <c r="C170" s="25" t="s">
        <v>56</v>
      </c>
      <c r="D170" s="25" t="s">
        <v>22</v>
      </c>
      <c r="E170" s="25" t="s">
        <v>96</v>
      </c>
      <c r="F170" s="25">
        <v>2</v>
      </c>
      <c r="G170" s="25" t="s">
        <v>97</v>
      </c>
      <c r="H170" s="25">
        <v>300</v>
      </c>
      <c r="I170" s="25">
        <v>265</v>
      </c>
      <c r="J170" s="25">
        <v>600</v>
      </c>
      <c r="K170" s="25">
        <v>530</v>
      </c>
      <c r="L170" s="25">
        <v>70</v>
      </c>
      <c r="M170" s="27">
        <v>13.207547169811299</v>
      </c>
      <c r="N170" s="25" t="s">
        <v>57</v>
      </c>
      <c r="O170" s="25" t="s">
        <v>28</v>
      </c>
      <c r="P170" s="25" t="s">
        <v>32</v>
      </c>
    </row>
    <row r="171" spans="1:16" x14ac:dyDescent="0.3">
      <c r="A171" s="25">
        <v>170</v>
      </c>
      <c r="B171" s="26">
        <v>45352</v>
      </c>
      <c r="C171" s="25" t="s">
        <v>56</v>
      </c>
      <c r="D171" s="25" t="s">
        <v>22</v>
      </c>
      <c r="E171" s="25" t="s">
        <v>96</v>
      </c>
      <c r="F171" s="25">
        <v>1</v>
      </c>
      <c r="G171" s="25" t="s">
        <v>97</v>
      </c>
      <c r="H171" s="25">
        <v>300</v>
      </c>
      <c r="I171" s="25">
        <v>265</v>
      </c>
      <c r="J171" s="25">
        <v>300</v>
      </c>
      <c r="K171" s="25">
        <v>265</v>
      </c>
      <c r="L171" s="25">
        <v>35</v>
      </c>
      <c r="M171" s="27">
        <v>13.207547169811299</v>
      </c>
      <c r="N171" s="25" t="s">
        <v>57</v>
      </c>
      <c r="O171" s="25" t="s">
        <v>28</v>
      </c>
      <c r="P171" s="25" t="s">
        <v>32</v>
      </c>
    </row>
    <row r="172" spans="1:16" x14ac:dyDescent="0.3">
      <c r="A172" s="25">
        <v>171</v>
      </c>
      <c r="B172" s="26">
        <v>45352</v>
      </c>
      <c r="C172" s="25" t="s">
        <v>56</v>
      </c>
      <c r="D172" s="25" t="s">
        <v>21</v>
      </c>
      <c r="E172" s="25" t="s">
        <v>88</v>
      </c>
      <c r="F172" s="25">
        <v>3</v>
      </c>
      <c r="G172" s="25" t="s">
        <v>89</v>
      </c>
      <c r="H172" s="25">
        <v>130</v>
      </c>
      <c r="I172" s="25">
        <v>100</v>
      </c>
      <c r="J172" s="25">
        <v>390</v>
      </c>
      <c r="K172" s="25">
        <v>300</v>
      </c>
      <c r="L172" s="25">
        <v>90</v>
      </c>
      <c r="M172" s="27">
        <v>30</v>
      </c>
      <c r="N172" s="25" t="s">
        <v>57</v>
      </c>
      <c r="O172" s="25" t="s">
        <v>27</v>
      </c>
      <c r="P172" s="25" t="s">
        <v>32</v>
      </c>
    </row>
    <row r="173" spans="1:16" x14ac:dyDescent="0.3">
      <c r="A173" s="25">
        <v>172</v>
      </c>
      <c r="B173" s="26">
        <v>45352</v>
      </c>
      <c r="C173" s="25" t="s">
        <v>56</v>
      </c>
      <c r="D173" s="25" t="s">
        <v>22</v>
      </c>
      <c r="E173" s="25" t="s">
        <v>90</v>
      </c>
      <c r="F173" s="25">
        <v>3.5</v>
      </c>
      <c r="G173" s="25" t="s">
        <v>91</v>
      </c>
      <c r="H173" s="25">
        <v>280</v>
      </c>
      <c r="I173" s="25">
        <v>240</v>
      </c>
      <c r="J173" s="25">
        <v>980</v>
      </c>
      <c r="K173" s="25">
        <v>840</v>
      </c>
      <c r="L173" s="25">
        <v>140</v>
      </c>
      <c r="M173" s="27">
        <v>16.6666666666667</v>
      </c>
      <c r="N173" s="25" t="s">
        <v>57</v>
      </c>
      <c r="O173" s="25" t="s">
        <v>28</v>
      </c>
      <c r="P173" s="25" t="s">
        <v>32</v>
      </c>
    </row>
    <row r="174" spans="1:16" x14ac:dyDescent="0.3">
      <c r="A174" s="25">
        <v>173</v>
      </c>
      <c r="B174" s="26">
        <v>45352</v>
      </c>
      <c r="C174" s="25" t="s">
        <v>56</v>
      </c>
      <c r="D174" s="25" t="s">
        <v>22</v>
      </c>
      <c r="E174" s="25" t="s">
        <v>92</v>
      </c>
      <c r="F174" s="25">
        <v>2.5</v>
      </c>
      <c r="G174" s="25" t="s">
        <v>91</v>
      </c>
      <c r="H174" s="25">
        <v>260</v>
      </c>
      <c r="I174" s="25">
        <v>220</v>
      </c>
      <c r="J174" s="25">
        <v>650</v>
      </c>
      <c r="K174" s="25">
        <v>550</v>
      </c>
      <c r="L174" s="25">
        <v>100</v>
      </c>
      <c r="M174" s="27">
        <v>18.181818181818201</v>
      </c>
      <c r="N174" s="25" t="s">
        <v>57</v>
      </c>
      <c r="O174" s="25" t="s">
        <v>28</v>
      </c>
      <c r="P174" s="25" t="s">
        <v>32</v>
      </c>
    </row>
    <row r="175" spans="1:16" x14ac:dyDescent="0.3">
      <c r="A175" s="25">
        <v>174</v>
      </c>
      <c r="B175" s="26">
        <v>45352</v>
      </c>
      <c r="C175" s="25" t="s">
        <v>56</v>
      </c>
      <c r="D175" s="25" t="s">
        <v>22</v>
      </c>
      <c r="E175" s="25" t="s">
        <v>90</v>
      </c>
      <c r="F175" s="25">
        <v>2.5</v>
      </c>
      <c r="G175" s="25" t="s">
        <v>91</v>
      </c>
      <c r="H175" s="25">
        <v>280</v>
      </c>
      <c r="I175" s="25">
        <v>240</v>
      </c>
      <c r="J175" s="25">
        <v>700</v>
      </c>
      <c r="K175" s="25">
        <v>600</v>
      </c>
      <c r="L175" s="25">
        <v>100</v>
      </c>
      <c r="M175" s="27">
        <v>16.6666666666667</v>
      </c>
      <c r="N175" s="25" t="s">
        <v>57</v>
      </c>
      <c r="O175" s="25" t="s">
        <v>28</v>
      </c>
      <c r="P175" s="25" t="s">
        <v>32</v>
      </c>
    </row>
    <row r="176" spans="1:16" x14ac:dyDescent="0.3">
      <c r="A176" s="25">
        <v>175</v>
      </c>
      <c r="B176" s="26">
        <v>45352</v>
      </c>
      <c r="C176" s="25" t="s">
        <v>56</v>
      </c>
      <c r="D176" s="25" t="s">
        <v>21</v>
      </c>
      <c r="E176" s="25" t="s">
        <v>88</v>
      </c>
      <c r="F176" s="25">
        <v>6</v>
      </c>
      <c r="G176" s="25" t="s">
        <v>89</v>
      </c>
      <c r="H176" s="25">
        <v>130</v>
      </c>
      <c r="I176" s="25">
        <v>100</v>
      </c>
      <c r="J176" s="25">
        <v>780</v>
      </c>
      <c r="K176" s="25">
        <v>600</v>
      </c>
      <c r="L176" s="25">
        <v>180</v>
      </c>
      <c r="M176" s="27">
        <v>30</v>
      </c>
      <c r="N176" s="25" t="s">
        <v>57</v>
      </c>
      <c r="O176" s="25" t="s">
        <v>27</v>
      </c>
      <c r="P176" s="25" t="s">
        <v>32</v>
      </c>
    </row>
    <row r="177" spans="1:16" x14ac:dyDescent="0.3">
      <c r="A177" s="25">
        <v>176</v>
      </c>
      <c r="B177" s="26">
        <v>45353</v>
      </c>
      <c r="C177" s="25" t="s">
        <v>56</v>
      </c>
      <c r="D177" s="25" t="s">
        <v>21</v>
      </c>
      <c r="E177" s="25" t="s">
        <v>88</v>
      </c>
      <c r="F177" s="25">
        <v>5</v>
      </c>
      <c r="G177" s="25" t="s">
        <v>89</v>
      </c>
      <c r="H177" s="25">
        <v>130</v>
      </c>
      <c r="I177" s="25">
        <v>100</v>
      </c>
      <c r="J177" s="25">
        <v>650</v>
      </c>
      <c r="K177" s="25">
        <v>500</v>
      </c>
      <c r="L177" s="25">
        <v>150</v>
      </c>
      <c r="M177" s="27">
        <v>30</v>
      </c>
      <c r="N177" s="25" t="s">
        <v>57</v>
      </c>
      <c r="O177" s="25" t="s">
        <v>27</v>
      </c>
      <c r="P177" s="25" t="s">
        <v>32</v>
      </c>
    </row>
    <row r="178" spans="1:16" x14ac:dyDescent="0.3">
      <c r="A178" s="25">
        <v>177</v>
      </c>
      <c r="B178" s="26">
        <v>45353</v>
      </c>
      <c r="C178" s="25" t="s">
        <v>56</v>
      </c>
      <c r="D178" s="25" t="s">
        <v>21</v>
      </c>
      <c r="E178" s="25" t="s">
        <v>95</v>
      </c>
      <c r="F178" s="25">
        <v>4</v>
      </c>
      <c r="G178" s="25" t="s">
        <v>89</v>
      </c>
      <c r="H178" s="25">
        <v>150</v>
      </c>
      <c r="I178" s="25">
        <v>100</v>
      </c>
      <c r="J178" s="25">
        <v>600</v>
      </c>
      <c r="K178" s="25">
        <v>400</v>
      </c>
      <c r="L178" s="25">
        <v>200</v>
      </c>
      <c r="M178" s="27">
        <v>50</v>
      </c>
      <c r="N178" s="25" t="s">
        <v>57</v>
      </c>
      <c r="O178" s="25" t="s">
        <v>28</v>
      </c>
      <c r="P178" s="25" t="s">
        <v>32</v>
      </c>
    </row>
    <row r="179" spans="1:16" x14ac:dyDescent="0.3">
      <c r="A179" s="25">
        <v>178</v>
      </c>
      <c r="B179" s="26">
        <v>45353</v>
      </c>
      <c r="C179" s="25" t="s">
        <v>56</v>
      </c>
      <c r="D179" s="25" t="s">
        <v>21</v>
      </c>
      <c r="E179" s="25" t="s">
        <v>88</v>
      </c>
      <c r="F179" s="25">
        <v>7</v>
      </c>
      <c r="G179" s="25" t="s">
        <v>89</v>
      </c>
      <c r="H179" s="25">
        <v>130</v>
      </c>
      <c r="I179" s="25">
        <v>100</v>
      </c>
      <c r="J179" s="25">
        <v>910</v>
      </c>
      <c r="K179" s="25">
        <v>700</v>
      </c>
      <c r="L179" s="25">
        <v>210</v>
      </c>
      <c r="M179" s="27">
        <v>30</v>
      </c>
      <c r="N179" s="25" t="s">
        <v>57</v>
      </c>
      <c r="O179" s="25" t="s">
        <v>27</v>
      </c>
      <c r="P179" s="25" t="s">
        <v>32</v>
      </c>
    </row>
    <row r="180" spans="1:16" x14ac:dyDescent="0.3">
      <c r="A180" s="25">
        <v>179</v>
      </c>
      <c r="B180" s="26">
        <v>45353</v>
      </c>
      <c r="C180" s="25" t="s">
        <v>56</v>
      </c>
      <c r="D180" s="25" t="s">
        <v>22</v>
      </c>
      <c r="E180" s="25" t="s">
        <v>90</v>
      </c>
      <c r="F180" s="25">
        <v>3</v>
      </c>
      <c r="G180" s="25" t="s">
        <v>91</v>
      </c>
      <c r="H180" s="25">
        <v>280</v>
      </c>
      <c r="I180" s="25">
        <v>240</v>
      </c>
      <c r="J180" s="25">
        <v>840</v>
      </c>
      <c r="K180" s="25">
        <v>720</v>
      </c>
      <c r="L180" s="25">
        <v>120</v>
      </c>
      <c r="M180" s="27">
        <v>16.6666666666667</v>
      </c>
      <c r="N180" s="25" t="s">
        <v>57</v>
      </c>
      <c r="O180" s="25" t="s">
        <v>28</v>
      </c>
      <c r="P180" s="25" t="s">
        <v>32</v>
      </c>
    </row>
    <row r="181" spans="1:16" x14ac:dyDescent="0.3">
      <c r="A181" s="25">
        <v>180</v>
      </c>
      <c r="B181" s="26">
        <v>45353</v>
      </c>
      <c r="C181" s="25" t="s">
        <v>56</v>
      </c>
      <c r="D181" s="25" t="s">
        <v>22</v>
      </c>
      <c r="E181" s="25" t="s">
        <v>90</v>
      </c>
      <c r="F181" s="25">
        <v>1.5</v>
      </c>
      <c r="G181" s="25" t="s">
        <v>91</v>
      </c>
      <c r="H181" s="25">
        <v>280</v>
      </c>
      <c r="I181" s="25">
        <v>240</v>
      </c>
      <c r="J181" s="25">
        <v>420</v>
      </c>
      <c r="K181" s="25">
        <v>360</v>
      </c>
      <c r="L181" s="25">
        <v>60</v>
      </c>
      <c r="M181" s="27">
        <v>16.6666666666667</v>
      </c>
      <c r="N181" s="25" t="s">
        <v>57</v>
      </c>
      <c r="O181" s="25" t="s">
        <v>28</v>
      </c>
      <c r="P181" s="25" t="s">
        <v>32</v>
      </c>
    </row>
    <row r="182" spans="1:16" x14ac:dyDescent="0.3">
      <c r="A182" s="25">
        <v>181</v>
      </c>
      <c r="B182" s="26">
        <v>45353</v>
      </c>
      <c r="C182" s="25" t="s">
        <v>56</v>
      </c>
      <c r="D182" s="25" t="s">
        <v>22</v>
      </c>
      <c r="E182" s="25" t="s">
        <v>90</v>
      </c>
      <c r="F182" s="25">
        <v>1</v>
      </c>
      <c r="G182" s="25" t="s">
        <v>91</v>
      </c>
      <c r="H182" s="25">
        <v>280</v>
      </c>
      <c r="I182" s="25">
        <v>240</v>
      </c>
      <c r="J182" s="25">
        <v>280</v>
      </c>
      <c r="K182" s="25">
        <v>240</v>
      </c>
      <c r="L182" s="25">
        <v>40</v>
      </c>
      <c r="M182" s="27">
        <v>16.6666666666667</v>
      </c>
      <c r="N182" s="25" t="s">
        <v>57</v>
      </c>
      <c r="O182" s="25" t="s">
        <v>28</v>
      </c>
      <c r="P182" s="25" t="s">
        <v>33</v>
      </c>
    </row>
    <row r="183" spans="1:16" x14ac:dyDescent="0.3">
      <c r="A183" s="25">
        <v>182</v>
      </c>
      <c r="B183" s="26">
        <v>45353</v>
      </c>
      <c r="C183" s="25" t="s">
        <v>56</v>
      </c>
      <c r="D183" s="25" t="s">
        <v>22</v>
      </c>
      <c r="E183" s="25" t="s">
        <v>103</v>
      </c>
      <c r="F183" s="25">
        <v>3</v>
      </c>
      <c r="G183" s="25" t="s">
        <v>102</v>
      </c>
      <c r="H183" s="25">
        <v>30</v>
      </c>
      <c r="I183" s="25">
        <v>20</v>
      </c>
      <c r="J183" s="25">
        <v>90</v>
      </c>
      <c r="K183" s="25">
        <v>60</v>
      </c>
      <c r="L183" s="25">
        <v>30</v>
      </c>
      <c r="M183" s="27">
        <v>50</v>
      </c>
      <c r="N183" s="25" t="s">
        <v>57</v>
      </c>
      <c r="O183" s="25" t="s">
        <v>28</v>
      </c>
      <c r="P183" s="25" t="s">
        <v>32</v>
      </c>
    </row>
    <row r="184" spans="1:16" x14ac:dyDescent="0.3">
      <c r="A184" s="25">
        <v>183</v>
      </c>
      <c r="B184" s="26">
        <v>45353</v>
      </c>
      <c r="C184" s="25" t="s">
        <v>56</v>
      </c>
      <c r="D184" s="25" t="s">
        <v>22</v>
      </c>
      <c r="E184" s="25" t="s">
        <v>101</v>
      </c>
      <c r="F184" s="25">
        <v>20</v>
      </c>
      <c r="G184" s="25" t="s">
        <v>102</v>
      </c>
      <c r="H184" s="25">
        <v>6</v>
      </c>
      <c r="I184" s="25">
        <v>4</v>
      </c>
      <c r="J184" s="25">
        <v>120</v>
      </c>
      <c r="K184" s="25">
        <v>80</v>
      </c>
      <c r="L184" s="25">
        <v>40</v>
      </c>
      <c r="M184" s="27">
        <v>50</v>
      </c>
      <c r="N184" s="25" t="s">
        <v>57</v>
      </c>
      <c r="O184" s="25" t="s">
        <v>28</v>
      </c>
      <c r="P184" s="25" t="s">
        <v>32</v>
      </c>
    </row>
    <row r="185" spans="1:16" x14ac:dyDescent="0.3">
      <c r="A185" s="25">
        <v>184</v>
      </c>
      <c r="B185" s="26">
        <v>45354</v>
      </c>
      <c r="C185" s="25" t="s">
        <v>56</v>
      </c>
      <c r="D185" s="25" t="s">
        <v>22</v>
      </c>
      <c r="E185" s="25" t="s">
        <v>96</v>
      </c>
      <c r="F185" s="25">
        <v>1</v>
      </c>
      <c r="G185" s="25" t="s">
        <v>97</v>
      </c>
      <c r="H185" s="25">
        <v>300</v>
      </c>
      <c r="I185" s="25">
        <v>265</v>
      </c>
      <c r="J185" s="25">
        <v>300</v>
      </c>
      <c r="K185" s="25">
        <v>265</v>
      </c>
      <c r="L185" s="25">
        <v>35</v>
      </c>
      <c r="M185" s="27">
        <v>13.207547169811299</v>
      </c>
      <c r="N185" s="25" t="s">
        <v>57</v>
      </c>
      <c r="O185" s="25" t="s">
        <v>28</v>
      </c>
      <c r="P185" s="25" t="s">
        <v>32</v>
      </c>
    </row>
    <row r="186" spans="1:16" x14ac:dyDescent="0.3">
      <c r="A186" s="25">
        <v>185</v>
      </c>
      <c r="B186" s="26">
        <v>45354</v>
      </c>
      <c r="C186" s="25" t="s">
        <v>56</v>
      </c>
      <c r="D186" s="25" t="s">
        <v>21</v>
      </c>
      <c r="E186" s="25" t="s">
        <v>88</v>
      </c>
      <c r="F186" s="25">
        <v>2</v>
      </c>
      <c r="G186" s="25" t="s">
        <v>89</v>
      </c>
      <c r="H186" s="25">
        <v>130</v>
      </c>
      <c r="I186" s="25">
        <v>100</v>
      </c>
      <c r="J186" s="25">
        <v>260</v>
      </c>
      <c r="K186" s="25">
        <v>200</v>
      </c>
      <c r="L186" s="25">
        <v>60</v>
      </c>
      <c r="M186" s="27">
        <v>30</v>
      </c>
      <c r="N186" s="25" t="s">
        <v>57</v>
      </c>
      <c r="O186" s="25" t="s">
        <v>27</v>
      </c>
      <c r="P186" s="25" t="s">
        <v>32</v>
      </c>
    </row>
    <row r="187" spans="1:16" x14ac:dyDescent="0.3">
      <c r="A187" s="25">
        <v>186</v>
      </c>
      <c r="B187" s="26">
        <v>45354</v>
      </c>
      <c r="C187" s="25" t="s">
        <v>56</v>
      </c>
      <c r="D187" s="25" t="s">
        <v>22</v>
      </c>
      <c r="E187" s="25" t="s">
        <v>99</v>
      </c>
      <c r="F187" s="25">
        <v>2</v>
      </c>
      <c r="G187" s="25" t="s">
        <v>100</v>
      </c>
      <c r="H187" s="25">
        <v>200</v>
      </c>
      <c r="I187" s="25">
        <v>160</v>
      </c>
      <c r="J187" s="25">
        <v>400</v>
      </c>
      <c r="K187" s="25">
        <v>320</v>
      </c>
      <c r="L187" s="25">
        <v>80</v>
      </c>
      <c r="M187" s="27">
        <v>25</v>
      </c>
      <c r="N187" s="25" t="s">
        <v>57</v>
      </c>
      <c r="O187" s="25" t="s">
        <v>28</v>
      </c>
      <c r="P187" s="25" t="s">
        <v>32</v>
      </c>
    </row>
    <row r="188" spans="1:16" x14ac:dyDescent="0.3">
      <c r="A188" s="25">
        <v>187</v>
      </c>
      <c r="B188" s="26">
        <v>45354</v>
      </c>
      <c r="C188" s="25" t="s">
        <v>56</v>
      </c>
      <c r="D188" s="25" t="s">
        <v>22</v>
      </c>
      <c r="E188" s="25" t="s">
        <v>103</v>
      </c>
      <c r="F188" s="25">
        <v>2</v>
      </c>
      <c r="G188" s="25" t="s">
        <v>102</v>
      </c>
      <c r="H188" s="25">
        <v>30</v>
      </c>
      <c r="I188" s="25">
        <v>20</v>
      </c>
      <c r="J188" s="25">
        <v>60</v>
      </c>
      <c r="K188" s="25">
        <v>40</v>
      </c>
      <c r="L188" s="25">
        <v>20</v>
      </c>
      <c r="M188" s="27">
        <v>50</v>
      </c>
      <c r="N188" s="25" t="s">
        <v>57</v>
      </c>
      <c r="O188" s="25" t="s">
        <v>28</v>
      </c>
      <c r="P188" s="25" t="s">
        <v>32</v>
      </c>
    </row>
    <row r="189" spans="1:16" x14ac:dyDescent="0.3">
      <c r="A189" s="25">
        <v>188</v>
      </c>
      <c r="B189" s="26">
        <v>45354</v>
      </c>
      <c r="C189" s="25" t="s">
        <v>56</v>
      </c>
      <c r="D189" s="25" t="s">
        <v>22</v>
      </c>
      <c r="E189" s="25" t="s">
        <v>90</v>
      </c>
      <c r="F189" s="25">
        <v>3</v>
      </c>
      <c r="G189" s="25" t="s">
        <v>91</v>
      </c>
      <c r="H189" s="25">
        <v>280</v>
      </c>
      <c r="I189" s="25">
        <v>240</v>
      </c>
      <c r="J189" s="25">
        <v>840</v>
      </c>
      <c r="K189" s="25">
        <v>720</v>
      </c>
      <c r="L189" s="25">
        <v>120</v>
      </c>
      <c r="M189" s="27">
        <v>16.6666666666667</v>
      </c>
      <c r="N189" s="25" t="s">
        <v>57</v>
      </c>
      <c r="O189" s="25" t="s">
        <v>28</v>
      </c>
      <c r="P189" s="25" t="s">
        <v>32</v>
      </c>
    </row>
    <row r="190" spans="1:16" x14ac:dyDescent="0.3">
      <c r="A190" s="25">
        <v>189</v>
      </c>
      <c r="B190" s="26">
        <v>45354</v>
      </c>
      <c r="C190" s="25" t="s">
        <v>56</v>
      </c>
      <c r="D190" s="25" t="s">
        <v>21</v>
      </c>
      <c r="E190" s="25" t="s">
        <v>88</v>
      </c>
      <c r="F190" s="25">
        <v>3</v>
      </c>
      <c r="G190" s="25" t="s">
        <v>89</v>
      </c>
      <c r="H190" s="25">
        <v>130</v>
      </c>
      <c r="I190" s="25">
        <v>100</v>
      </c>
      <c r="J190" s="25">
        <v>390</v>
      </c>
      <c r="K190" s="25">
        <v>300</v>
      </c>
      <c r="L190" s="25">
        <v>90</v>
      </c>
      <c r="M190" s="27">
        <v>30</v>
      </c>
      <c r="N190" s="25" t="s">
        <v>57</v>
      </c>
      <c r="O190" s="25" t="s">
        <v>27</v>
      </c>
      <c r="P190" s="25" t="s">
        <v>32</v>
      </c>
    </row>
    <row r="191" spans="1:16" x14ac:dyDescent="0.3">
      <c r="A191" s="25">
        <v>190</v>
      </c>
      <c r="B191" s="26">
        <v>45354</v>
      </c>
      <c r="C191" s="25" t="s">
        <v>56</v>
      </c>
      <c r="D191" s="25" t="s">
        <v>22</v>
      </c>
      <c r="E191" s="25" t="s">
        <v>92</v>
      </c>
      <c r="F191" s="25">
        <v>3.5</v>
      </c>
      <c r="G191" s="25" t="s">
        <v>91</v>
      </c>
      <c r="H191" s="25">
        <v>260</v>
      </c>
      <c r="I191" s="25">
        <v>220</v>
      </c>
      <c r="J191" s="25">
        <v>910</v>
      </c>
      <c r="K191" s="25">
        <v>770</v>
      </c>
      <c r="L191" s="25">
        <v>140</v>
      </c>
      <c r="M191" s="27">
        <v>18.181818181818201</v>
      </c>
      <c r="N191" s="25" t="s">
        <v>57</v>
      </c>
      <c r="O191" s="25" t="s">
        <v>28</v>
      </c>
      <c r="P191" s="25" t="s">
        <v>32</v>
      </c>
    </row>
    <row r="192" spans="1:16" x14ac:dyDescent="0.3">
      <c r="A192" s="25">
        <v>191</v>
      </c>
      <c r="B192" s="26">
        <v>45354</v>
      </c>
      <c r="C192" s="25" t="s">
        <v>56</v>
      </c>
      <c r="D192" s="25" t="s">
        <v>22</v>
      </c>
      <c r="E192" s="25" t="s">
        <v>92</v>
      </c>
      <c r="F192" s="25">
        <v>3.5</v>
      </c>
      <c r="G192" s="25" t="s">
        <v>91</v>
      </c>
      <c r="H192" s="25">
        <v>260</v>
      </c>
      <c r="I192" s="25">
        <v>220</v>
      </c>
      <c r="J192" s="25">
        <v>910</v>
      </c>
      <c r="K192" s="25">
        <v>770</v>
      </c>
      <c r="L192" s="25">
        <v>140</v>
      </c>
      <c r="M192" s="27">
        <v>18.181818181818201</v>
      </c>
      <c r="N192" s="25" t="s">
        <v>57</v>
      </c>
      <c r="O192" s="25" t="s">
        <v>28</v>
      </c>
      <c r="P192" s="25" t="s">
        <v>32</v>
      </c>
    </row>
    <row r="193" spans="1:16" x14ac:dyDescent="0.3">
      <c r="A193" s="25">
        <v>192</v>
      </c>
      <c r="B193" s="26">
        <v>45355</v>
      </c>
      <c r="C193" s="25" t="s">
        <v>56</v>
      </c>
      <c r="D193" s="25" t="s">
        <v>21</v>
      </c>
      <c r="E193" s="25" t="s">
        <v>88</v>
      </c>
      <c r="F193" s="25">
        <v>3</v>
      </c>
      <c r="G193" s="25" t="s">
        <v>89</v>
      </c>
      <c r="H193" s="25">
        <v>130</v>
      </c>
      <c r="I193" s="25">
        <v>100</v>
      </c>
      <c r="J193" s="25">
        <v>390</v>
      </c>
      <c r="K193" s="25">
        <v>300</v>
      </c>
      <c r="L193" s="25">
        <v>90</v>
      </c>
      <c r="M193" s="27">
        <v>30</v>
      </c>
      <c r="N193" s="25" t="s">
        <v>57</v>
      </c>
      <c r="O193" s="25" t="s">
        <v>27</v>
      </c>
      <c r="P193" s="25" t="s">
        <v>32</v>
      </c>
    </row>
    <row r="194" spans="1:16" x14ac:dyDescent="0.3">
      <c r="A194" s="25">
        <v>193</v>
      </c>
      <c r="B194" s="26">
        <v>45355</v>
      </c>
      <c r="C194" s="25" t="s">
        <v>56</v>
      </c>
      <c r="D194" s="25" t="s">
        <v>21</v>
      </c>
      <c r="E194" s="25" t="s">
        <v>88</v>
      </c>
      <c r="F194" s="25">
        <v>5</v>
      </c>
      <c r="G194" s="25" t="s">
        <v>89</v>
      </c>
      <c r="H194" s="25">
        <v>130</v>
      </c>
      <c r="I194" s="25">
        <v>100</v>
      </c>
      <c r="J194" s="25">
        <v>650</v>
      </c>
      <c r="K194" s="25">
        <v>500</v>
      </c>
      <c r="L194" s="25">
        <v>150</v>
      </c>
      <c r="M194" s="27">
        <v>30</v>
      </c>
      <c r="N194" s="25" t="s">
        <v>57</v>
      </c>
      <c r="O194" s="25" t="s">
        <v>27</v>
      </c>
      <c r="P194" s="25" t="s">
        <v>32</v>
      </c>
    </row>
    <row r="195" spans="1:16" x14ac:dyDescent="0.3">
      <c r="A195" s="25">
        <v>194</v>
      </c>
      <c r="B195" s="26">
        <v>45355</v>
      </c>
      <c r="C195" s="25" t="s">
        <v>56</v>
      </c>
      <c r="D195" s="25" t="s">
        <v>22</v>
      </c>
      <c r="E195" s="25" t="s">
        <v>90</v>
      </c>
      <c r="F195" s="25">
        <v>1</v>
      </c>
      <c r="G195" s="25" t="s">
        <v>91</v>
      </c>
      <c r="H195" s="25">
        <v>280</v>
      </c>
      <c r="I195" s="25">
        <v>240</v>
      </c>
      <c r="J195" s="25">
        <v>280</v>
      </c>
      <c r="K195" s="25">
        <v>240</v>
      </c>
      <c r="L195" s="25">
        <v>40</v>
      </c>
      <c r="M195" s="27">
        <v>16.6666666666667</v>
      </c>
      <c r="N195" s="25" t="s">
        <v>57</v>
      </c>
      <c r="O195" s="25" t="s">
        <v>28</v>
      </c>
      <c r="P195" s="25" t="s">
        <v>32</v>
      </c>
    </row>
    <row r="196" spans="1:16" x14ac:dyDescent="0.3">
      <c r="A196" s="25">
        <v>195</v>
      </c>
      <c r="B196" s="26">
        <v>45355</v>
      </c>
      <c r="C196" s="25" t="s">
        <v>56</v>
      </c>
      <c r="D196" s="25" t="s">
        <v>22</v>
      </c>
      <c r="E196" s="25" t="s">
        <v>90</v>
      </c>
      <c r="F196" s="25">
        <v>1</v>
      </c>
      <c r="G196" s="25" t="s">
        <v>91</v>
      </c>
      <c r="H196" s="25">
        <v>280</v>
      </c>
      <c r="I196" s="25">
        <v>240</v>
      </c>
      <c r="J196" s="25">
        <v>280</v>
      </c>
      <c r="K196" s="25">
        <v>240</v>
      </c>
      <c r="L196" s="25">
        <v>40</v>
      </c>
      <c r="M196" s="27">
        <v>16.6666666666667</v>
      </c>
      <c r="N196" s="25" t="s">
        <v>57</v>
      </c>
      <c r="O196" s="25" t="s">
        <v>28</v>
      </c>
      <c r="P196" s="25" t="s">
        <v>32</v>
      </c>
    </row>
    <row r="197" spans="1:16" x14ac:dyDescent="0.3">
      <c r="A197" s="25">
        <v>196</v>
      </c>
      <c r="B197" s="26">
        <v>45355</v>
      </c>
      <c r="C197" s="25" t="s">
        <v>56</v>
      </c>
      <c r="D197" s="25" t="s">
        <v>22</v>
      </c>
      <c r="E197" s="25" t="s">
        <v>92</v>
      </c>
      <c r="F197" s="25">
        <v>3</v>
      </c>
      <c r="G197" s="25" t="s">
        <v>91</v>
      </c>
      <c r="H197" s="25">
        <v>260</v>
      </c>
      <c r="I197" s="25">
        <v>220</v>
      </c>
      <c r="J197" s="25">
        <v>780</v>
      </c>
      <c r="K197" s="25">
        <v>660</v>
      </c>
      <c r="L197" s="25">
        <v>120</v>
      </c>
      <c r="M197" s="27">
        <v>18.181818181818201</v>
      </c>
      <c r="N197" s="25" t="s">
        <v>57</v>
      </c>
      <c r="O197" s="25" t="s">
        <v>28</v>
      </c>
      <c r="P197" s="25" t="s">
        <v>32</v>
      </c>
    </row>
    <row r="198" spans="1:16" x14ac:dyDescent="0.3">
      <c r="A198" s="25">
        <v>197</v>
      </c>
      <c r="B198" s="26">
        <v>45355</v>
      </c>
      <c r="C198" s="25" t="s">
        <v>56</v>
      </c>
      <c r="D198" s="25" t="s">
        <v>22</v>
      </c>
      <c r="E198" s="25" t="s">
        <v>92</v>
      </c>
      <c r="F198" s="25">
        <v>4</v>
      </c>
      <c r="G198" s="25" t="s">
        <v>91</v>
      </c>
      <c r="H198" s="25">
        <v>260</v>
      </c>
      <c r="I198" s="25">
        <v>220</v>
      </c>
      <c r="J198" s="25">
        <v>1040</v>
      </c>
      <c r="K198" s="25">
        <v>880</v>
      </c>
      <c r="L198" s="25">
        <v>160</v>
      </c>
      <c r="M198" s="27">
        <v>18.181818181818201</v>
      </c>
      <c r="N198" s="25" t="s">
        <v>57</v>
      </c>
      <c r="O198" s="25" t="s">
        <v>28</v>
      </c>
      <c r="P198" s="25" t="s">
        <v>32</v>
      </c>
    </row>
    <row r="199" spans="1:16" x14ac:dyDescent="0.3">
      <c r="A199" s="25">
        <v>198</v>
      </c>
      <c r="B199" s="26">
        <v>45356</v>
      </c>
      <c r="C199" s="25" t="s">
        <v>56</v>
      </c>
      <c r="D199" s="25" t="s">
        <v>21</v>
      </c>
      <c r="E199" s="25" t="s">
        <v>88</v>
      </c>
      <c r="F199" s="25">
        <v>3</v>
      </c>
      <c r="G199" s="25" t="s">
        <v>89</v>
      </c>
      <c r="H199" s="25">
        <v>130</v>
      </c>
      <c r="I199" s="25">
        <v>100</v>
      </c>
      <c r="J199" s="25">
        <v>390</v>
      </c>
      <c r="K199" s="25">
        <v>300</v>
      </c>
      <c r="L199" s="25">
        <v>90</v>
      </c>
      <c r="M199" s="27">
        <v>30</v>
      </c>
      <c r="N199" s="25" t="s">
        <v>57</v>
      </c>
      <c r="O199" s="25" t="s">
        <v>27</v>
      </c>
      <c r="P199" s="25" t="s">
        <v>32</v>
      </c>
    </row>
    <row r="200" spans="1:16" x14ac:dyDescent="0.3">
      <c r="A200" s="25">
        <v>199</v>
      </c>
      <c r="B200" s="26">
        <v>45356</v>
      </c>
      <c r="C200" s="25" t="s">
        <v>56</v>
      </c>
      <c r="D200" s="25" t="s">
        <v>21</v>
      </c>
      <c r="E200" s="25" t="s">
        <v>88</v>
      </c>
      <c r="F200" s="25">
        <v>3</v>
      </c>
      <c r="G200" s="25" t="s">
        <v>89</v>
      </c>
      <c r="H200" s="25">
        <v>130</v>
      </c>
      <c r="I200" s="25">
        <v>100</v>
      </c>
      <c r="J200" s="25">
        <v>390</v>
      </c>
      <c r="K200" s="25">
        <v>300</v>
      </c>
      <c r="L200" s="25">
        <v>90</v>
      </c>
      <c r="M200" s="27">
        <v>30</v>
      </c>
      <c r="N200" s="25" t="s">
        <v>57</v>
      </c>
      <c r="O200" s="25" t="s">
        <v>27</v>
      </c>
      <c r="P200" s="25" t="s">
        <v>32</v>
      </c>
    </row>
    <row r="201" spans="1:16" x14ac:dyDescent="0.3">
      <c r="A201" s="25">
        <v>200</v>
      </c>
      <c r="B201" s="26">
        <v>45356</v>
      </c>
      <c r="C201" s="25" t="s">
        <v>56</v>
      </c>
      <c r="D201" s="25" t="s">
        <v>22</v>
      </c>
      <c r="E201" s="25" t="s">
        <v>90</v>
      </c>
      <c r="F201" s="25">
        <v>2.5</v>
      </c>
      <c r="G201" s="25" t="s">
        <v>91</v>
      </c>
      <c r="H201" s="25">
        <v>280</v>
      </c>
      <c r="I201" s="25">
        <v>240</v>
      </c>
      <c r="J201" s="25">
        <v>700</v>
      </c>
      <c r="K201" s="25">
        <v>600</v>
      </c>
      <c r="L201" s="25">
        <v>100</v>
      </c>
      <c r="M201" s="27">
        <v>16.6666666666667</v>
      </c>
      <c r="N201" s="25" t="s">
        <v>57</v>
      </c>
      <c r="O201" s="25" t="s">
        <v>28</v>
      </c>
      <c r="P201" s="25" t="s">
        <v>32</v>
      </c>
    </row>
    <row r="202" spans="1:16" x14ac:dyDescent="0.3">
      <c r="A202" s="25">
        <v>201</v>
      </c>
      <c r="B202" s="26">
        <v>45356</v>
      </c>
      <c r="C202" s="25" t="s">
        <v>56</v>
      </c>
      <c r="D202" s="25" t="s">
        <v>22</v>
      </c>
      <c r="E202" s="25" t="s">
        <v>90</v>
      </c>
      <c r="F202" s="25">
        <v>2.5</v>
      </c>
      <c r="G202" s="25" t="s">
        <v>91</v>
      </c>
      <c r="H202" s="25">
        <v>280</v>
      </c>
      <c r="I202" s="25">
        <v>240</v>
      </c>
      <c r="J202" s="25">
        <v>700</v>
      </c>
      <c r="K202" s="25">
        <v>600</v>
      </c>
      <c r="L202" s="25">
        <v>100</v>
      </c>
      <c r="M202" s="27">
        <v>16.6666666666667</v>
      </c>
      <c r="N202" s="25" t="s">
        <v>57</v>
      </c>
      <c r="O202" s="25" t="s">
        <v>28</v>
      </c>
      <c r="P202" s="25" t="s">
        <v>32</v>
      </c>
    </row>
    <row r="203" spans="1:16" x14ac:dyDescent="0.3">
      <c r="A203" s="25">
        <v>202</v>
      </c>
      <c r="B203" s="26">
        <v>45356</v>
      </c>
      <c r="C203" s="25" t="s">
        <v>56</v>
      </c>
      <c r="D203" s="25" t="s">
        <v>22</v>
      </c>
      <c r="E203" s="25" t="s">
        <v>90</v>
      </c>
      <c r="F203" s="25">
        <v>1</v>
      </c>
      <c r="G203" s="25" t="s">
        <v>91</v>
      </c>
      <c r="H203" s="25">
        <v>280</v>
      </c>
      <c r="I203" s="25">
        <v>240</v>
      </c>
      <c r="J203" s="25">
        <v>280</v>
      </c>
      <c r="K203" s="25">
        <v>240</v>
      </c>
      <c r="L203" s="25">
        <v>40</v>
      </c>
      <c r="M203" s="27">
        <v>16.6666666666667</v>
      </c>
      <c r="N203" s="25" t="s">
        <v>57</v>
      </c>
      <c r="O203" s="25" t="s">
        <v>28</v>
      </c>
      <c r="P203" s="25" t="s">
        <v>32</v>
      </c>
    </row>
    <row r="204" spans="1:16" x14ac:dyDescent="0.3">
      <c r="A204" s="25">
        <v>203</v>
      </c>
      <c r="B204" s="26">
        <v>45358</v>
      </c>
      <c r="C204" s="25" t="s">
        <v>56</v>
      </c>
      <c r="D204" s="25" t="s">
        <v>21</v>
      </c>
      <c r="E204" s="25" t="s">
        <v>88</v>
      </c>
      <c r="F204" s="25">
        <v>3</v>
      </c>
      <c r="G204" s="25" t="s">
        <v>89</v>
      </c>
      <c r="H204" s="25">
        <v>130</v>
      </c>
      <c r="I204" s="25">
        <v>100</v>
      </c>
      <c r="J204" s="25">
        <v>390</v>
      </c>
      <c r="K204" s="25">
        <v>300</v>
      </c>
      <c r="L204" s="25">
        <v>90</v>
      </c>
      <c r="M204" s="27">
        <v>30</v>
      </c>
      <c r="N204" s="25" t="s">
        <v>57</v>
      </c>
      <c r="O204" s="25" t="s">
        <v>27</v>
      </c>
      <c r="P204" s="25" t="s">
        <v>32</v>
      </c>
    </row>
    <row r="205" spans="1:16" x14ac:dyDescent="0.3">
      <c r="A205" s="25">
        <v>204</v>
      </c>
      <c r="B205" s="26">
        <v>45358</v>
      </c>
      <c r="C205" s="25" t="s">
        <v>56</v>
      </c>
      <c r="D205" s="25" t="s">
        <v>21</v>
      </c>
      <c r="E205" s="25" t="s">
        <v>88</v>
      </c>
      <c r="F205" s="25">
        <v>4</v>
      </c>
      <c r="G205" s="25" t="s">
        <v>89</v>
      </c>
      <c r="H205" s="25">
        <v>130</v>
      </c>
      <c r="I205" s="25">
        <v>100</v>
      </c>
      <c r="J205" s="25">
        <v>520</v>
      </c>
      <c r="K205" s="25">
        <v>400</v>
      </c>
      <c r="L205" s="25">
        <v>120</v>
      </c>
      <c r="M205" s="27">
        <v>30</v>
      </c>
      <c r="N205" s="25" t="s">
        <v>57</v>
      </c>
      <c r="O205" s="25" t="s">
        <v>27</v>
      </c>
      <c r="P205" s="25" t="s">
        <v>32</v>
      </c>
    </row>
    <row r="206" spans="1:16" x14ac:dyDescent="0.3">
      <c r="A206" s="25">
        <v>205</v>
      </c>
      <c r="B206" s="26">
        <v>45358</v>
      </c>
      <c r="C206" s="25" t="s">
        <v>56</v>
      </c>
      <c r="D206" s="25" t="s">
        <v>22</v>
      </c>
      <c r="E206" s="25" t="s">
        <v>90</v>
      </c>
      <c r="F206" s="25">
        <v>1</v>
      </c>
      <c r="G206" s="25" t="s">
        <v>91</v>
      </c>
      <c r="H206" s="25">
        <v>280</v>
      </c>
      <c r="I206" s="25">
        <v>240</v>
      </c>
      <c r="J206" s="25">
        <v>280</v>
      </c>
      <c r="K206" s="25">
        <v>240</v>
      </c>
      <c r="L206" s="25">
        <v>40</v>
      </c>
      <c r="M206" s="27">
        <v>16.6666666666667</v>
      </c>
      <c r="N206" s="25" t="s">
        <v>57</v>
      </c>
      <c r="O206" s="25" t="s">
        <v>28</v>
      </c>
      <c r="P206" s="25" t="s">
        <v>33</v>
      </c>
    </row>
    <row r="207" spans="1:16" x14ac:dyDescent="0.3">
      <c r="A207" s="25">
        <v>206</v>
      </c>
      <c r="B207" s="26">
        <v>45358</v>
      </c>
      <c r="C207" s="25" t="s">
        <v>56</v>
      </c>
      <c r="D207" s="25" t="s">
        <v>22</v>
      </c>
      <c r="E207" s="25" t="s">
        <v>92</v>
      </c>
      <c r="F207" s="25">
        <v>1.5</v>
      </c>
      <c r="G207" s="25" t="s">
        <v>91</v>
      </c>
      <c r="H207" s="25">
        <v>260</v>
      </c>
      <c r="I207" s="25">
        <v>220</v>
      </c>
      <c r="J207" s="25">
        <v>390</v>
      </c>
      <c r="K207" s="25">
        <v>330</v>
      </c>
      <c r="L207" s="25">
        <v>60</v>
      </c>
      <c r="M207" s="27">
        <v>18.181818181818201</v>
      </c>
      <c r="N207" s="25" t="s">
        <v>57</v>
      </c>
      <c r="O207" s="25" t="s">
        <v>28</v>
      </c>
      <c r="P207" s="25" t="s">
        <v>33</v>
      </c>
    </row>
    <row r="208" spans="1:16" x14ac:dyDescent="0.3">
      <c r="A208" s="25">
        <v>207</v>
      </c>
      <c r="B208" s="26">
        <v>45358</v>
      </c>
      <c r="C208" s="25" t="s">
        <v>56</v>
      </c>
      <c r="D208" s="25" t="s">
        <v>22</v>
      </c>
      <c r="E208" s="25" t="s">
        <v>103</v>
      </c>
      <c r="F208" s="25">
        <v>1</v>
      </c>
      <c r="G208" s="25" t="s">
        <v>102</v>
      </c>
      <c r="H208" s="25">
        <v>30</v>
      </c>
      <c r="I208" s="25">
        <v>20</v>
      </c>
      <c r="J208" s="25">
        <v>30</v>
      </c>
      <c r="K208" s="25">
        <v>20</v>
      </c>
      <c r="L208" s="25">
        <v>10</v>
      </c>
      <c r="M208" s="27">
        <v>50</v>
      </c>
      <c r="N208" s="25" t="s">
        <v>57</v>
      </c>
      <c r="O208" s="25" t="s">
        <v>28</v>
      </c>
      <c r="P208" s="25" t="s">
        <v>32</v>
      </c>
    </row>
    <row r="209" spans="1:16" x14ac:dyDescent="0.3">
      <c r="A209" s="25">
        <v>208</v>
      </c>
      <c r="B209" s="26">
        <v>45358</v>
      </c>
      <c r="C209" s="25" t="s">
        <v>56</v>
      </c>
      <c r="D209" s="25" t="s">
        <v>21</v>
      </c>
      <c r="E209" s="25" t="s">
        <v>88</v>
      </c>
      <c r="F209" s="25">
        <v>7</v>
      </c>
      <c r="G209" s="25" t="s">
        <v>89</v>
      </c>
      <c r="H209" s="25">
        <v>130</v>
      </c>
      <c r="I209" s="25">
        <v>100</v>
      </c>
      <c r="J209" s="25">
        <v>910</v>
      </c>
      <c r="K209" s="25">
        <v>700</v>
      </c>
      <c r="L209" s="25">
        <v>210</v>
      </c>
      <c r="M209" s="27">
        <v>30</v>
      </c>
      <c r="N209" s="25" t="s">
        <v>57</v>
      </c>
      <c r="O209" s="25" t="s">
        <v>27</v>
      </c>
      <c r="P209" s="25" t="s">
        <v>32</v>
      </c>
    </row>
    <row r="210" spans="1:16" x14ac:dyDescent="0.3">
      <c r="A210" s="25">
        <v>209</v>
      </c>
      <c r="B210" s="26">
        <v>45358</v>
      </c>
      <c r="C210" s="25" t="s">
        <v>56</v>
      </c>
      <c r="D210" s="25" t="s">
        <v>21</v>
      </c>
      <c r="E210" s="25" t="s">
        <v>88</v>
      </c>
      <c r="F210" s="25">
        <v>6</v>
      </c>
      <c r="G210" s="25" t="s">
        <v>89</v>
      </c>
      <c r="H210" s="25">
        <v>130</v>
      </c>
      <c r="I210" s="25">
        <v>100</v>
      </c>
      <c r="J210" s="25">
        <v>780</v>
      </c>
      <c r="K210" s="25">
        <v>600</v>
      </c>
      <c r="L210" s="25">
        <v>180</v>
      </c>
      <c r="M210" s="27">
        <v>30</v>
      </c>
      <c r="N210" s="25" t="s">
        <v>57</v>
      </c>
      <c r="O210" s="25" t="s">
        <v>27</v>
      </c>
      <c r="P210" s="25" t="s">
        <v>32</v>
      </c>
    </row>
    <row r="211" spans="1:16" x14ac:dyDescent="0.3">
      <c r="A211" s="25">
        <v>210</v>
      </c>
      <c r="B211" s="26">
        <v>45358</v>
      </c>
      <c r="C211" s="25" t="s">
        <v>56</v>
      </c>
      <c r="D211" s="25" t="s">
        <v>22</v>
      </c>
      <c r="E211" s="25" t="s">
        <v>90</v>
      </c>
      <c r="F211" s="25">
        <v>2</v>
      </c>
      <c r="G211" s="25" t="s">
        <v>91</v>
      </c>
      <c r="H211" s="25">
        <v>280</v>
      </c>
      <c r="I211" s="25">
        <v>240</v>
      </c>
      <c r="J211" s="25">
        <v>560</v>
      </c>
      <c r="K211" s="25">
        <v>480</v>
      </c>
      <c r="L211" s="25">
        <v>80</v>
      </c>
      <c r="M211" s="27">
        <v>16.6666666666667</v>
      </c>
      <c r="N211" s="25" t="s">
        <v>57</v>
      </c>
      <c r="O211" s="25" t="s">
        <v>28</v>
      </c>
      <c r="P211" s="25" t="s">
        <v>32</v>
      </c>
    </row>
    <row r="212" spans="1:16" x14ac:dyDescent="0.3">
      <c r="A212" s="25">
        <v>211</v>
      </c>
      <c r="B212" s="26">
        <v>45358</v>
      </c>
      <c r="C212" s="25" t="s">
        <v>56</v>
      </c>
      <c r="D212" s="25" t="s">
        <v>22</v>
      </c>
      <c r="E212" s="25" t="s">
        <v>99</v>
      </c>
      <c r="F212" s="25">
        <v>2</v>
      </c>
      <c r="G212" s="25" t="s">
        <v>100</v>
      </c>
      <c r="H212" s="25">
        <v>200</v>
      </c>
      <c r="I212" s="25">
        <v>160</v>
      </c>
      <c r="J212" s="25">
        <v>400</v>
      </c>
      <c r="K212" s="25">
        <v>320</v>
      </c>
      <c r="L212" s="25">
        <v>80</v>
      </c>
      <c r="M212" s="27">
        <v>25</v>
      </c>
      <c r="N212" s="25" t="s">
        <v>57</v>
      </c>
      <c r="O212" s="25" t="s">
        <v>28</v>
      </c>
      <c r="P212" s="25" t="s">
        <v>32</v>
      </c>
    </row>
    <row r="213" spans="1:16" x14ac:dyDescent="0.3">
      <c r="A213" s="25">
        <v>212</v>
      </c>
      <c r="B213" s="26">
        <v>45358</v>
      </c>
      <c r="C213" s="25" t="s">
        <v>56</v>
      </c>
      <c r="D213" s="25" t="s">
        <v>21</v>
      </c>
      <c r="E213" s="25" t="s">
        <v>88</v>
      </c>
      <c r="F213" s="25">
        <v>4</v>
      </c>
      <c r="G213" s="25" t="s">
        <v>89</v>
      </c>
      <c r="H213" s="25">
        <v>130</v>
      </c>
      <c r="I213" s="25">
        <v>100</v>
      </c>
      <c r="J213" s="25">
        <v>520</v>
      </c>
      <c r="K213" s="25">
        <v>400</v>
      </c>
      <c r="L213" s="25">
        <v>120</v>
      </c>
      <c r="M213" s="27">
        <v>30</v>
      </c>
      <c r="N213" s="25" t="s">
        <v>57</v>
      </c>
      <c r="O213" s="25" t="s">
        <v>27</v>
      </c>
      <c r="P213" s="25" t="s">
        <v>32</v>
      </c>
    </row>
    <row r="214" spans="1:16" x14ac:dyDescent="0.3">
      <c r="A214" s="25">
        <v>213</v>
      </c>
      <c r="B214" s="26">
        <v>45359</v>
      </c>
      <c r="C214" s="25" t="s">
        <v>56</v>
      </c>
      <c r="D214" s="25" t="s">
        <v>21</v>
      </c>
      <c r="E214" s="25" t="s">
        <v>88</v>
      </c>
      <c r="F214" s="25">
        <v>3</v>
      </c>
      <c r="G214" s="25" t="s">
        <v>89</v>
      </c>
      <c r="H214" s="25">
        <v>130</v>
      </c>
      <c r="I214" s="25">
        <v>100</v>
      </c>
      <c r="J214" s="25">
        <v>390</v>
      </c>
      <c r="K214" s="25">
        <v>300</v>
      </c>
      <c r="L214" s="25">
        <v>90</v>
      </c>
      <c r="M214" s="27">
        <v>30</v>
      </c>
      <c r="N214" s="25" t="s">
        <v>57</v>
      </c>
      <c r="O214" s="25" t="s">
        <v>27</v>
      </c>
      <c r="P214" s="25" t="s">
        <v>32</v>
      </c>
    </row>
    <row r="215" spans="1:16" x14ac:dyDescent="0.3">
      <c r="A215" s="25">
        <v>214</v>
      </c>
      <c r="B215" s="26">
        <v>45359</v>
      </c>
      <c r="C215" s="25" t="s">
        <v>56</v>
      </c>
      <c r="D215" s="25" t="s">
        <v>21</v>
      </c>
      <c r="E215" s="25" t="s">
        <v>95</v>
      </c>
      <c r="F215" s="25">
        <v>3</v>
      </c>
      <c r="G215" s="25" t="s">
        <v>89</v>
      </c>
      <c r="H215" s="25">
        <v>150</v>
      </c>
      <c r="I215" s="25">
        <v>100</v>
      </c>
      <c r="J215" s="25">
        <v>450</v>
      </c>
      <c r="K215" s="25">
        <v>300</v>
      </c>
      <c r="L215" s="25">
        <v>150</v>
      </c>
      <c r="M215" s="27">
        <v>50</v>
      </c>
      <c r="N215" s="25" t="s">
        <v>57</v>
      </c>
      <c r="O215" s="25" t="s">
        <v>28</v>
      </c>
      <c r="P215" s="25" t="s">
        <v>32</v>
      </c>
    </row>
    <row r="216" spans="1:16" x14ac:dyDescent="0.3">
      <c r="A216" s="25">
        <v>215</v>
      </c>
      <c r="B216" s="26">
        <v>45359</v>
      </c>
      <c r="C216" s="25" t="s">
        <v>56</v>
      </c>
      <c r="D216" s="25" t="s">
        <v>22</v>
      </c>
      <c r="E216" s="25" t="s">
        <v>90</v>
      </c>
      <c r="F216" s="25">
        <v>3</v>
      </c>
      <c r="G216" s="25" t="s">
        <v>91</v>
      </c>
      <c r="H216" s="25">
        <v>280</v>
      </c>
      <c r="I216" s="25">
        <v>240</v>
      </c>
      <c r="J216" s="25">
        <v>840</v>
      </c>
      <c r="K216" s="25">
        <v>720</v>
      </c>
      <c r="L216" s="25">
        <v>120</v>
      </c>
      <c r="M216" s="27">
        <v>16.6666666666667</v>
      </c>
      <c r="N216" s="25" t="s">
        <v>57</v>
      </c>
      <c r="O216" s="25" t="s">
        <v>28</v>
      </c>
      <c r="P216" s="25" t="s">
        <v>32</v>
      </c>
    </row>
    <row r="217" spans="1:16" x14ac:dyDescent="0.3">
      <c r="A217" s="25">
        <v>216</v>
      </c>
      <c r="B217" s="26">
        <v>45359</v>
      </c>
      <c r="C217" s="25" t="s">
        <v>56</v>
      </c>
      <c r="D217" s="25" t="s">
        <v>22</v>
      </c>
      <c r="E217" s="25" t="s">
        <v>103</v>
      </c>
      <c r="F217" s="25">
        <v>2</v>
      </c>
      <c r="G217" s="25" t="s">
        <v>102</v>
      </c>
      <c r="H217" s="25">
        <v>30</v>
      </c>
      <c r="I217" s="25">
        <v>20</v>
      </c>
      <c r="J217" s="25">
        <v>60</v>
      </c>
      <c r="K217" s="25">
        <v>40</v>
      </c>
      <c r="L217" s="25">
        <v>20</v>
      </c>
      <c r="M217" s="27">
        <v>50</v>
      </c>
      <c r="N217" s="25" t="s">
        <v>57</v>
      </c>
      <c r="O217" s="25" t="s">
        <v>28</v>
      </c>
      <c r="P217" s="25" t="s">
        <v>32</v>
      </c>
    </row>
    <row r="218" spans="1:16" x14ac:dyDescent="0.3">
      <c r="A218" s="25">
        <v>217</v>
      </c>
      <c r="B218" s="26">
        <v>45359</v>
      </c>
      <c r="C218" s="25" t="s">
        <v>56</v>
      </c>
      <c r="D218" s="25" t="s">
        <v>21</v>
      </c>
      <c r="E218" s="25" t="s">
        <v>88</v>
      </c>
      <c r="F218" s="25">
        <v>2</v>
      </c>
      <c r="G218" s="25" t="s">
        <v>89</v>
      </c>
      <c r="H218" s="25">
        <v>130</v>
      </c>
      <c r="I218" s="25">
        <v>100</v>
      </c>
      <c r="J218" s="25">
        <v>260</v>
      </c>
      <c r="K218" s="25">
        <v>200</v>
      </c>
      <c r="L218" s="25">
        <v>60</v>
      </c>
      <c r="M218" s="27">
        <v>30</v>
      </c>
      <c r="N218" s="25" t="s">
        <v>57</v>
      </c>
      <c r="O218" s="25" t="s">
        <v>27</v>
      </c>
      <c r="P218" s="25" t="s">
        <v>32</v>
      </c>
    </row>
    <row r="219" spans="1:16" x14ac:dyDescent="0.3">
      <c r="A219" s="25">
        <v>218</v>
      </c>
      <c r="B219" s="26">
        <v>45360</v>
      </c>
      <c r="C219" s="25" t="s">
        <v>56</v>
      </c>
      <c r="D219" s="25" t="s">
        <v>21</v>
      </c>
      <c r="E219" s="25" t="s">
        <v>88</v>
      </c>
      <c r="F219" s="25">
        <v>5</v>
      </c>
      <c r="G219" s="25" t="s">
        <v>89</v>
      </c>
      <c r="H219" s="25">
        <v>130</v>
      </c>
      <c r="I219" s="25">
        <v>100</v>
      </c>
      <c r="J219" s="25">
        <v>650</v>
      </c>
      <c r="K219" s="25">
        <v>500</v>
      </c>
      <c r="L219" s="25">
        <v>150</v>
      </c>
      <c r="M219" s="27">
        <v>30</v>
      </c>
      <c r="N219" s="25" t="s">
        <v>57</v>
      </c>
      <c r="O219" s="25" t="s">
        <v>27</v>
      </c>
      <c r="P219" s="25" t="s">
        <v>32</v>
      </c>
    </row>
    <row r="220" spans="1:16" x14ac:dyDescent="0.3">
      <c r="A220" s="25">
        <v>219</v>
      </c>
      <c r="B220" s="26">
        <v>45360</v>
      </c>
      <c r="C220" s="25" t="s">
        <v>56</v>
      </c>
      <c r="D220" s="25" t="s">
        <v>22</v>
      </c>
      <c r="E220" s="25" t="s">
        <v>90</v>
      </c>
      <c r="F220" s="25">
        <v>2</v>
      </c>
      <c r="G220" s="25" t="s">
        <v>91</v>
      </c>
      <c r="H220" s="25">
        <v>280</v>
      </c>
      <c r="I220" s="25">
        <v>240</v>
      </c>
      <c r="J220" s="25">
        <v>560</v>
      </c>
      <c r="K220" s="25">
        <v>480</v>
      </c>
      <c r="L220" s="25">
        <v>80</v>
      </c>
      <c r="M220" s="27">
        <v>16.6666666666667</v>
      </c>
      <c r="N220" s="25" t="s">
        <v>57</v>
      </c>
      <c r="O220" s="25" t="s">
        <v>28</v>
      </c>
      <c r="P220" s="25" t="s">
        <v>32</v>
      </c>
    </row>
    <row r="221" spans="1:16" x14ac:dyDescent="0.3">
      <c r="A221" s="25">
        <v>220</v>
      </c>
      <c r="B221" s="26">
        <v>45360</v>
      </c>
      <c r="C221" s="25" t="s">
        <v>56</v>
      </c>
      <c r="D221" s="25" t="s">
        <v>22</v>
      </c>
      <c r="E221" s="25" t="s">
        <v>90</v>
      </c>
      <c r="F221" s="25">
        <v>2.5</v>
      </c>
      <c r="G221" s="25" t="s">
        <v>91</v>
      </c>
      <c r="H221" s="25">
        <v>280</v>
      </c>
      <c r="I221" s="25">
        <v>240</v>
      </c>
      <c r="J221" s="25">
        <v>700</v>
      </c>
      <c r="K221" s="25">
        <v>600</v>
      </c>
      <c r="L221" s="25">
        <v>100</v>
      </c>
      <c r="M221" s="27">
        <v>16.6666666666667</v>
      </c>
      <c r="N221" s="25" t="s">
        <v>57</v>
      </c>
      <c r="O221" s="25" t="s">
        <v>28</v>
      </c>
      <c r="P221" s="25" t="s">
        <v>32</v>
      </c>
    </row>
    <row r="222" spans="1:16" x14ac:dyDescent="0.3">
      <c r="A222" s="25">
        <v>221</v>
      </c>
      <c r="B222" s="26">
        <v>45360</v>
      </c>
      <c r="C222" s="25" t="s">
        <v>56</v>
      </c>
      <c r="D222" s="25" t="s">
        <v>22</v>
      </c>
      <c r="E222" s="25" t="s">
        <v>103</v>
      </c>
      <c r="F222" s="25">
        <v>2</v>
      </c>
      <c r="G222" s="25" t="s">
        <v>102</v>
      </c>
      <c r="H222" s="25">
        <v>30</v>
      </c>
      <c r="I222" s="25">
        <v>20</v>
      </c>
      <c r="J222" s="25">
        <v>60</v>
      </c>
      <c r="K222" s="25">
        <v>40</v>
      </c>
      <c r="L222" s="25">
        <v>20</v>
      </c>
      <c r="M222" s="27">
        <v>50</v>
      </c>
      <c r="N222" s="25" t="s">
        <v>57</v>
      </c>
      <c r="O222" s="25" t="s">
        <v>28</v>
      </c>
      <c r="P222" s="25" t="s">
        <v>32</v>
      </c>
    </row>
    <row r="223" spans="1:16" x14ac:dyDescent="0.3">
      <c r="A223" s="25">
        <v>222</v>
      </c>
      <c r="B223" s="26">
        <v>45360</v>
      </c>
      <c r="C223" s="25" t="s">
        <v>56</v>
      </c>
      <c r="D223" s="25" t="s">
        <v>22</v>
      </c>
      <c r="E223" s="25" t="s">
        <v>101</v>
      </c>
      <c r="F223" s="25">
        <v>12</v>
      </c>
      <c r="G223" s="25" t="s">
        <v>102</v>
      </c>
      <c r="H223" s="25">
        <v>6</v>
      </c>
      <c r="I223" s="25">
        <v>4</v>
      </c>
      <c r="J223" s="25">
        <v>72</v>
      </c>
      <c r="K223" s="25">
        <v>48</v>
      </c>
      <c r="L223" s="25">
        <v>24</v>
      </c>
      <c r="M223" s="27">
        <v>50</v>
      </c>
      <c r="N223" s="25" t="s">
        <v>57</v>
      </c>
      <c r="O223" s="25" t="s">
        <v>28</v>
      </c>
      <c r="P223" s="25" t="s">
        <v>32</v>
      </c>
    </row>
    <row r="224" spans="1:16" x14ac:dyDescent="0.3">
      <c r="A224" s="25">
        <v>223</v>
      </c>
      <c r="B224" s="26">
        <v>45360</v>
      </c>
      <c r="C224" s="25" t="s">
        <v>56</v>
      </c>
      <c r="D224" s="25" t="s">
        <v>22</v>
      </c>
      <c r="E224" s="25" t="s">
        <v>92</v>
      </c>
      <c r="F224" s="25">
        <v>3</v>
      </c>
      <c r="G224" s="25" t="s">
        <v>91</v>
      </c>
      <c r="H224" s="25">
        <v>260</v>
      </c>
      <c r="I224" s="25">
        <v>220</v>
      </c>
      <c r="J224" s="25">
        <v>780</v>
      </c>
      <c r="K224" s="25">
        <v>660</v>
      </c>
      <c r="L224" s="25">
        <v>120</v>
      </c>
      <c r="M224" s="27">
        <v>18.181818181818201</v>
      </c>
      <c r="N224" s="25" t="s">
        <v>57</v>
      </c>
      <c r="O224" s="25" t="s">
        <v>28</v>
      </c>
      <c r="P224" s="25" t="s">
        <v>32</v>
      </c>
    </row>
    <row r="225" spans="1:16" x14ac:dyDescent="0.3">
      <c r="A225" s="25">
        <v>224</v>
      </c>
      <c r="B225" s="26">
        <v>45360</v>
      </c>
      <c r="C225" s="25" t="s">
        <v>56</v>
      </c>
      <c r="D225" s="25" t="s">
        <v>22</v>
      </c>
      <c r="E225" s="25" t="s">
        <v>90</v>
      </c>
      <c r="F225" s="25">
        <v>2</v>
      </c>
      <c r="G225" s="25" t="s">
        <v>91</v>
      </c>
      <c r="H225" s="25">
        <v>280</v>
      </c>
      <c r="I225" s="25">
        <v>240</v>
      </c>
      <c r="J225" s="25">
        <v>560</v>
      </c>
      <c r="K225" s="25">
        <v>480</v>
      </c>
      <c r="L225" s="25">
        <v>80</v>
      </c>
      <c r="M225" s="27">
        <v>16.6666666666667</v>
      </c>
      <c r="N225" s="25" t="s">
        <v>57</v>
      </c>
      <c r="O225" s="25" t="s">
        <v>28</v>
      </c>
      <c r="P225" s="25" t="s">
        <v>32</v>
      </c>
    </row>
    <row r="226" spans="1:16" x14ac:dyDescent="0.3">
      <c r="A226" s="25">
        <v>225</v>
      </c>
      <c r="B226" s="26">
        <v>45362</v>
      </c>
      <c r="C226" s="25" t="s">
        <v>56</v>
      </c>
      <c r="D226" s="25" t="s">
        <v>22</v>
      </c>
      <c r="E226" s="25" t="s">
        <v>92</v>
      </c>
      <c r="F226" s="25">
        <v>1</v>
      </c>
      <c r="G226" s="25" t="s">
        <v>91</v>
      </c>
      <c r="H226" s="25">
        <v>260</v>
      </c>
      <c r="I226" s="25">
        <v>220</v>
      </c>
      <c r="J226" s="25">
        <v>260</v>
      </c>
      <c r="K226" s="25">
        <v>220</v>
      </c>
      <c r="L226" s="25">
        <v>40</v>
      </c>
      <c r="M226" s="27">
        <v>18.181818181818201</v>
      </c>
      <c r="N226" s="25" t="s">
        <v>57</v>
      </c>
      <c r="O226" s="25" t="s">
        <v>28</v>
      </c>
      <c r="P226" s="25" t="s">
        <v>32</v>
      </c>
    </row>
    <row r="227" spans="1:16" x14ac:dyDescent="0.3">
      <c r="A227" s="25">
        <v>226</v>
      </c>
      <c r="B227" s="26">
        <v>45362</v>
      </c>
      <c r="C227" s="25" t="s">
        <v>56</v>
      </c>
      <c r="D227" s="25" t="s">
        <v>22</v>
      </c>
      <c r="E227" s="25" t="s">
        <v>92</v>
      </c>
      <c r="F227" s="25">
        <v>1.5</v>
      </c>
      <c r="G227" s="25" t="s">
        <v>91</v>
      </c>
      <c r="H227" s="25">
        <v>260</v>
      </c>
      <c r="I227" s="25">
        <v>220</v>
      </c>
      <c r="J227" s="25">
        <v>390</v>
      </c>
      <c r="K227" s="25">
        <v>330</v>
      </c>
      <c r="L227" s="25">
        <v>60</v>
      </c>
      <c r="M227" s="27">
        <v>18.181818181818201</v>
      </c>
      <c r="N227" s="25" t="s">
        <v>57</v>
      </c>
      <c r="O227" s="25" t="s">
        <v>28</v>
      </c>
      <c r="P227" s="25" t="s">
        <v>32</v>
      </c>
    </row>
    <row r="228" spans="1:16" x14ac:dyDescent="0.3">
      <c r="A228" s="25">
        <v>227</v>
      </c>
      <c r="B228" s="26">
        <v>45362</v>
      </c>
      <c r="C228" s="25" t="s">
        <v>56</v>
      </c>
      <c r="D228" s="25" t="s">
        <v>22</v>
      </c>
      <c r="E228" s="25" t="s">
        <v>92</v>
      </c>
      <c r="F228" s="25">
        <v>3</v>
      </c>
      <c r="G228" s="25" t="s">
        <v>91</v>
      </c>
      <c r="H228" s="25">
        <v>260</v>
      </c>
      <c r="I228" s="25">
        <v>220</v>
      </c>
      <c r="J228" s="25">
        <v>780</v>
      </c>
      <c r="K228" s="25">
        <v>660</v>
      </c>
      <c r="L228" s="25">
        <v>120</v>
      </c>
      <c r="M228" s="27">
        <v>18.181818181818201</v>
      </c>
      <c r="N228" s="25" t="s">
        <v>57</v>
      </c>
      <c r="O228" s="25" t="s">
        <v>28</v>
      </c>
      <c r="P228" s="25" t="s">
        <v>32</v>
      </c>
    </row>
    <row r="229" spans="1:16" x14ac:dyDescent="0.3">
      <c r="A229" s="25">
        <v>228</v>
      </c>
      <c r="B229" s="26">
        <v>45362</v>
      </c>
      <c r="C229" s="25" t="s">
        <v>56</v>
      </c>
      <c r="D229" s="25" t="s">
        <v>22</v>
      </c>
      <c r="E229" s="25" t="s">
        <v>103</v>
      </c>
      <c r="F229" s="25">
        <v>2</v>
      </c>
      <c r="G229" s="25" t="s">
        <v>102</v>
      </c>
      <c r="H229" s="25">
        <v>30</v>
      </c>
      <c r="I229" s="25">
        <v>20</v>
      </c>
      <c r="J229" s="25">
        <v>60</v>
      </c>
      <c r="K229" s="25">
        <v>40</v>
      </c>
      <c r="L229" s="25">
        <v>20</v>
      </c>
      <c r="M229" s="27">
        <v>50</v>
      </c>
      <c r="N229" s="25" t="s">
        <v>57</v>
      </c>
      <c r="O229" s="25" t="s">
        <v>28</v>
      </c>
      <c r="P229" s="25" t="s">
        <v>32</v>
      </c>
    </row>
    <row r="230" spans="1:16" x14ac:dyDescent="0.3">
      <c r="A230" s="25">
        <v>229</v>
      </c>
      <c r="B230" s="26">
        <v>45363</v>
      </c>
      <c r="C230" s="25" t="s">
        <v>56</v>
      </c>
      <c r="D230" s="25" t="s">
        <v>21</v>
      </c>
      <c r="E230" s="25" t="s">
        <v>88</v>
      </c>
      <c r="F230" s="25">
        <v>6</v>
      </c>
      <c r="G230" s="25" t="s">
        <v>89</v>
      </c>
      <c r="H230" s="25">
        <v>130</v>
      </c>
      <c r="I230" s="25">
        <v>100</v>
      </c>
      <c r="J230" s="25">
        <v>780</v>
      </c>
      <c r="K230" s="25">
        <v>600</v>
      </c>
      <c r="L230" s="25">
        <v>180</v>
      </c>
      <c r="M230" s="27">
        <v>30</v>
      </c>
      <c r="N230" s="25" t="s">
        <v>57</v>
      </c>
      <c r="O230" s="25" t="s">
        <v>27</v>
      </c>
      <c r="P230" s="25" t="s">
        <v>33</v>
      </c>
    </row>
    <row r="231" spans="1:16" x14ac:dyDescent="0.3">
      <c r="A231" s="25">
        <v>230</v>
      </c>
      <c r="B231" s="26">
        <v>45363</v>
      </c>
      <c r="C231" s="25" t="s">
        <v>56</v>
      </c>
      <c r="D231" s="25" t="s">
        <v>21</v>
      </c>
      <c r="E231" s="25" t="s">
        <v>95</v>
      </c>
      <c r="F231" s="25">
        <v>3</v>
      </c>
      <c r="G231" s="25" t="s">
        <v>89</v>
      </c>
      <c r="H231" s="25">
        <v>150</v>
      </c>
      <c r="I231" s="25">
        <v>100</v>
      </c>
      <c r="J231" s="25">
        <v>450</v>
      </c>
      <c r="K231" s="25">
        <v>300</v>
      </c>
      <c r="L231" s="25">
        <v>150</v>
      </c>
      <c r="M231" s="27">
        <v>50</v>
      </c>
      <c r="N231" s="25" t="s">
        <v>57</v>
      </c>
      <c r="O231" s="25" t="s">
        <v>28</v>
      </c>
      <c r="P231" s="25" t="s">
        <v>33</v>
      </c>
    </row>
    <row r="232" spans="1:16" x14ac:dyDescent="0.3">
      <c r="A232" s="25">
        <v>231</v>
      </c>
      <c r="B232" s="26">
        <v>45363</v>
      </c>
      <c r="C232" s="25" t="s">
        <v>56</v>
      </c>
      <c r="D232" s="25" t="s">
        <v>22</v>
      </c>
      <c r="E232" s="25" t="s">
        <v>90</v>
      </c>
      <c r="F232" s="25">
        <v>2</v>
      </c>
      <c r="G232" s="25" t="s">
        <v>91</v>
      </c>
      <c r="H232" s="25">
        <v>280</v>
      </c>
      <c r="I232" s="25">
        <v>240</v>
      </c>
      <c r="J232" s="25">
        <v>560</v>
      </c>
      <c r="K232" s="25">
        <v>480</v>
      </c>
      <c r="L232" s="25">
        <v>80</v>
      </c>
      <c r="M232" s="27">
        <v>16.6666666666667</v>
      </c>
      <c r="N232" s="25" t="s">
        <v>57</v>
      </c>
      <c r="O232" s="25" t="s">
        <v>28</v>
      </c>
      <c r="P232" s="25" t="s">
        <v>32</v>
      </c>
    </row>
    <row r="233" spans="1:16" x14ac:dyDescent="0.3">
      <c r="A233" s="25">
        <v>232</v>
      </c>
      <c r="B233" s="26">
        <v>45363</v>
      </c>
      <c r="C233" s="25" t="s">
        <v>56</v>
      </c>
      <c r="D233" s="25" t="s">
        <v>22</v>
      </c>
      <c r="E233" s="25" t="s">
        <v>90</v>
      </c>
      <c r="F233" s="25">
        <v>2</v>
      </c>
      <c r="G233" s="25" t="s">
        <v>91</v>
      </c>
      <c r="H233" s="25">
        <v>280</v>
      </c>
      <c r="I233" s="25">
        <v>240</v>
      </c>
      <c r="J233" s="25">
        <v>560</v>
      </c>
      <c r="K233" s="25">
        <v>480</v>
      </c>
      <c r="L233" s="25">
        <v>80</v>
      </c>
      <c r="M233" s="27">
        <v>16.6666666666667</v>
      </c>
      <c r="N233" s="25" t="s">
        <v>57</v>
      </c>
      <c r="O233" s="25" t="s">
        <v>28</v>
      </c>
      <c r="P233" s="25" t="s">
        <v>32</v>
      </c>
    </row>
    <row r="234" spans="1:16" x14ac:dyDescent="0.3">
      <c r="A234" s="25">
        <v>233</v>
      </c>
      <c r="B234" s="26">
        <v>45363</v>
      </c>
      <c r="C234" s="25" t="s">
        <v>56</v>
      </c>
      <c r="D234" s="25" t="s">
        <v>22</v>
      </c>
      <c r="E234" s="25" t="s">
        <v>103</v>
      </c>
      <c r="F234" s="25">
        <v>2</v>
      </c>
      <c r="G234" s="25" t="s">
        <v>102</v>
      </c>
      <c r="H234" s="25">
        <v>30</v>
      </c>
      <c r="I234" s="25">
        <v>20</v>
      </c>
      <c r="J234" s="25">
        <v>60</v>
      </c>
      <c r="K234" s="25">
        <v>40</v>
      </c>
      <c r="L234" s="25">
        <v>20</v>
      </c>
      <c r="M234" s="27">
        <v>50</v>
      </c>
      <c r="N234" s="25" t="s">
        <v>57</v>
      </c>
      <c r="O234" s="25" t="s">
        <v>28</v>
      </c>
      <c r="P234" s="25" t="s">
        <v>32</v>
      </c>
    </row>
    <row r="235" spans="1:16" x14ac:dyDescent="0.3">
      <c r="A235" s="25">
        <v>234</v>
      </c>
      <c r="B235" s="26">
        <v>45364</v>
      </c>
      <c r="C235" s="25" t="s">
        <v>56</v>
      </c>
      <c r="D235" s="25" t="s">
        <v>22</v>
      </c>
      <c r="E235" s="25" t="s">
        <v>96</v>
      </c>
      <c r="F235" s="25">
        <v>1</v>
      </c>
      <c r="G235" s="25" t="s">
        <v>97</v>
      </c>
      <c r="H235" s="25">
        <v>300</v>
      </c>
      <c r="I235" s="25">
        <v>265</v>
      </c>
      <c r="J235" s="25">
        <v>300</v>
      </c>
      <c r="K235" s="25">
        <v>265</v>
      </c>
      <c r="L235" s="25">
        <v>35</v>
      </c>
      <c r="M235" s="27">
        <v>13.207547169811299</v>
      </c>
      <c r="N235" s="25" t="s">
        <v>57</v>
      </c>
      <c r="O235" s="25" t="s">
        <v>28</v>
      </c>
      <c r="P235" s="25" t="s">
        <v>32</v>
      </c>
    </row>
    <row r="236" spans="1:16" x14ac:dyDescent="0.3">
      <c r="A236" s="25">
        <v>235</v>
      </c>
      <c r="B236" s="26">
        <v>45364</v>
      </c>
      <c r="C236" s="25" t="s">
        <v>56</v>
      </c>
      <c r="D236" s="25" t="s">
        <v>22</v>
      </c>
      <c r="E236" s="25" t="s">
        <v>101</v>
      </c>
      <c r="F236" s="25">
        <v>12</v>
      </c>
      <c r="G236" s="25" t="s">
        <v>102</v>
      </c>
      <c r="H236" s="25">
        <v>6</v>
      </c>
      <c r="I236" s="25">
        <v>4</v>
      </c>
      <c r="J236" s="25">
        <v>72</v>
      </c>
      <c r="K236" s="25">
        <v>48</v>
      </c>
      <c r="L236" s="25">
        <v>24</v>
      </c>
      <c r="M236" s="27">
        <v>50</v>
      </c>
      <c r="N236" s="25" t="s">
        <v>57</v>
      </c>
      <c r="O236" s="25" t="s">
        <v>28</v>
      </c>
      <c r="P236" s="25" t="s">
        <v>32</v>
      </c>
    </row>
    <row r="237" spans="1:16" x14ac:dyDescent="0.3">
      <c r="A237" s="25">
        <v>236</v>
      </c>
      <c r="B237" s="26">
        <v>45364</v>
      </c>
      <c r="C237" s="25" t="s">
        <v>56</v>
      </c>
      <c r="D237" s="25" t="s">
        <v>21</v>
      </c>
      <c r="E237" s="25" t="s">
        <v>88</v>
      </c>
      <c r="F237" s="25">
        <v>3</v>
      </c>
      <c r="G237" s="25" t="s">
        <v>89</v>
      </c>
      <c r="H237" s="25">
        <v>130</v>
      </c>
      <c r="I237" s="25">
        <v>100</v>
      </c>
      <c r="J237" s="25">
        <v>390</v>
      </c>
      <c r="K237" s="25">
        <v>300</v>
      </c>
      <c r="L237" s="25">
        <v>90</v>
      </c>
      <c r="M237" s="27">
        <v>30</v>
      </c>
      <c r="N237" s="25" t="s">
        <v>57</v>
      </c>
      <c r="O237" s="25" t="s">
        <v>27</v>
      </c>
      <c r="P237" s="25" t="s">
        <v>32</v>
      </c>
    </row>
    <row r="238" spans="1:16" x14ac:dyDescent="0.3">
      <c r="A238" s="25">
        <v>237</v>
      </c>
      <c r="B238" s="26">
        <v>45364</v>
      </c>
      <c r="C238" s="25" t="s">
        <v>56</v>
      </c>
      <c r="D238" s="25" t="s">
        <v>21</v>
      </c>
      <c r="E238" s="25" t="s">
        <v>88</v>
      </c>
      <c r="F238" s="25">
        <v>6</v>
      </c>
      <c r="G238" s="25" t="s">
        <v>89</v>
      </c>
      <c r="H238" s="25">
        <v>130</v>
      </c>
      <c r="I238" s="25">
        <v>100</v>
      </c>
      <c r="J238" s="25">
        <v>780</v>
      </c>
      <c r="K238" s="25">
        <v>600</v>
      </c>
      <c r="L238" s="25">
        <v>180</v>
      </c>
      <c r="M238" s="27">
        <v>30</v>
      </c>
      <c r="N238" s="25" t="s">
        <v>57</v>
      </c>
      <c r="O238" s="25" t="s">
        <v>27</v>
      </c>
      <c r="P238" s="25" t="s">
        <v>32</v>
      </c>
    </row>
    <row r="239" spans="1:16" x14ac:dyDescent="0.3">
      <c r="A239" s="25">
        <v>238</v>
      </c>
      <c r="B239" s="26">
        <v>45364</v>
      </c>
      <c r="C239" s="25" t="s">
        <v>56</v>
      </c>
      <c r="D239" s="25" t="s">
        <v>22</v>
      </c>
      <c r="E239" s="25" t="s">
        <v>90</v>
      </c>
      <c r="F239" s="25">
        <v>3</v>
      </c>
      <c r="G239" s="25" t="s">
        <v>91</v>
      </c>
      <c r="H239" s="25">
        <v>280</v>
      </c>
      <c r="I239" s="25">
        <v>240</v>
      </c>
      <c r="J239" s="25">
        <v>840</v>
      </c>
      <c r="K239" s="25">
        <v>720</v>
      </c>
      <c r="L239" s="25">
        <v>120</v>
      </c>
      <c r="M239" s="27">
        <v>16.6666666666667</v>
      </c>
      <c r="N239" s="25" t="s">
        <v>57</v>
      </c>
      <c r="O239" s="25" t="s">
        <v>28</v>
      </c>
      <c r="P239" s="25" t="s">
        <v>32</v>
      </c>
    </row>
    <row r="240" spans="1:16" x14ac:dyDescent="0.3">
      <c r="A240" s="25">
        <v>239</v>
      </c>
      <c r="B240" s="26">
        <v>45365</v>
      </c>
      <c r="C240" s="25" t="s">
        <v>56</v>
      </c>
      <c r="D240" s="25" t="s">
        <v>22</v>
      </c>
      <c r="E240" s="25" t="s">
        <v>92</v>
      </c>
      <c r="F240" s="25">
        <v>3.5</v>
      </c>
      <c r="G240" s="25" t="s">
        <v>91</v>
      </c>
      <c r="H240" s="25">
        <v>260</v>
      </c>
      <c r="I240" s="25">
        <v>220</v>
      </c>
      <c r="J240" s="25">
        <v>910</v>
      </c>
      <c r="K240" s="25">
        <v>770</v>
      </c>
      <c r="L240" s="25">
        <v>140</v>
      </c>
      <c r="M240" s="27">
        <v>18.181818181818201</v>
      </c>
      <c r="N240" s="25" t="s">
        <v>57</v>
      </c>
      <c r="O240" s="25" t="s">
        <v>28</v>
      </c>
      <c r="P240" s="25" t="s">
        <v>32</v>
      </c>
    </row>
    <row r="241" spans="1:16" x14ac:dyDescent="0.3">
      <c r="A241" s="25">
        <v>240</v>
      </c>
      <c r="B241" s="26">
        <v>45365</v>
      </c>
      <c r="C241" s="25" t="s">
        <v>56</v>
      </c>
      <c r="D241" s="25" t="s">
        <v>22</v>
      </c>
      <c r="E241" s="25" t="s">
        <v>92</v>
      </c>
      <c r="F241" s="25">
        <v>2.5</v>
      </c>
      <c r="G241" s="25" t="s">
        <v>91</v>
      </c>
      <c r="H241" s="25">
        <v>260</v>
      </c>
      <c r="I241" s="25">
        <v>220</v>
      </c>
      <c r="J241" s="25">
        <v>650</v>
      </c>
      <c r="K241" s="25">
        <v>550</v>
      </c>
      <c r="L241" s="25">
        <v>100</v>
      </c>
      <c r="M241" s="27">
        <v>18.181818181818201</v>
      </c>
      <c r="N241" s="25" t="s">
        <v>57</v>
      </c>
      <c r="O241" s="25" t="s">
        <v>28</v>
      </c>
      <c r="P241" s="25" t="s">
        <v>32</v>
      </c>
    </row>
    <row r="242" spans="1:16" x14ac:dyDescent="0.3">
      <c r="A242" s="25">
        <v>241</v>
      </c>
      <c r="B242" s="26">
        <v>45365</v>
      </c>
      <c r="C242" s="25" t="s">
        <v>56</v>
      </c>
      <c r="D242" s="25" t="s">
        <v>22</v>
      </c>
      <c r="E242" s="25" t="s">
        <v>96</v>
      </c>
      <c r="F242" s="25">
        <v>1</v>
      </c>
      <c r="G242" s="25" t="s">
        <v>97</v>
      </c>
      <c r="H242" s="25">
        <v>300</v>
      </c>
      <c r="I242" s="25">
        <v>265</v>
      </c>
      <c r="J242" s="25">
        <v>300</v>
      </c>
      <c r="K242" s="25">
        <v>265</v>
      </c>
      <c r="L242" s="25">
        <v>35</v>
      </c>
      <c r="M242" s="27">
        <v>13.207547169811299</v>
      </c>
      <c r="N242" s="25" t="s">
        <v>57</v>
      </c>
      <c r="O242" s="25" t="s">
        <v>28</v>
      </c>
      <c r="P242" s="25" t="s">
        <v>32</v>
      </c>
    </row>
    <row r="243" spans="1:16" x14ac:dyDescent="0.3">
      <c r="A243" s="25">
        <v>242</v>
      </c>
      <c r="B243" s="26">
        <v>45365</v>
      </c>
      <c r="C243" s="25" t="s">
        <v>56</v>
      </c>
      <c r="D243" s="25" t="s">
        <v>22</v>
      </c>
      <c r="E243" s="25" t="s">
        <v>99</v>
      </c>
      <c r="F243" s="25">
        <v>1</v>
      </c>
      <c r="G243" s="25" t="s">
        <v>100</v>
      </c>
      <c r="H243" s="25">
        <v>200</v>
      </c>
      <c r="I243" s="25">
        <v>160</v>
      </c>
      <c r="J243" s="25">
        <v>200</v>
      </c>
      <c r="K243" s="25">
        <v>160</v>
      </c>
      <c r="L243" s="25">
        <v>40</v>
      </c>
      <c r="M243" s="27">
        <v>25</v>
      </c>
      <c r="N243" s="25" t="s">
        <v>57</v>
      </c>
      <c r="O243" s="25" t="s">
        <v>28</v>
      </c>
      <c r="P243" s="25" t="s">
        <v>32</v>
      </c>
    </row>
    <row r="244" spans="1:16" x14ac:dyDescent="0.3">
      <c r="A244" s="25">
        <v>243</v>
      </c>
      <c r="B244" s="26">
        <v>45365</v>
      </c>
      <c r="C244" s="25" t="s">
        <v>56</v>
      </c>
      <c r="D244" s="25" t="s">
        <v>22</v>
      </c>
      <c r="E244" s="25" t="s">
        <v>101</v>
      </c>
      <c r="F244" s="25">
        <v>6</v>
      </c>
      <c r="G244" s="25" t="s">
        <v>102</v>
      </c>
      <c r="H244" s="25">
        <v>6</v>
      </c>
      <c r="I244" s="25">
        <v>4</v>
      </c>
      <c r="J244" s="25">
        <v>36</v>
      </c>
      <c r="K244" s="25">
        <v>24</v>
      </c>
      <c r="L244" s="25">
        <v>12</v>
      </c>
      <c r="M244" s="27">
        <v>50</v>
      </c>
      <c r="N244" s="25" t="s">
        <v>57</v>
      </c>
      <c r="O244" s="25" t="s">
        <v>28</v>
      </c>
      <c r="P244" s="25" t="s">
        <v>32</v>
      </c>
    </row>
    <row r="245" spans="1:16" x14ac:dyDescent="0.3">
      <c r="A245" s="25">
        <v>244</v>
      </c>
      <c r="B245" s="26">
        <v>45365</v>
      </c>
      <c r="C245" s="25" t="s">
        <v>56</v>
      </c>
      <c r="D245" s="25" t="s">
        <v>21</v>
      </c>
      <c r="E245" s="25" t="s">
        <v>88</v>
      </c>
      <c r="F245" s="25">
        <v>3</v>
      </c>
      <c r="G245" s="25" t="s">
        <v>89</v>
      </c>
      <c r="H245" s="25">
        <v>130</v>
      </c>
      <c r="I245" s="25">
        <v>100</v>
      </c>
      <c r="J245" s="25">
        <v>390</v>
      </c>
      <c r="K245" s="25">
        <v>300</v>
      </c>
      <c r="L245" s="25">
        <v>90</v>
      </c>
      <c r="M245" s="27">
        <v>30</v>
      </c>
      <c r="N245" s="25" t="s">
        <v>57</v>
      </c>
      <c r="O245" s="25" t="s">
        <v>27</v>
      </c>
      <c r="P245" s="25" t="s">
        <v>32</v>
      </c>
    </row>
    <row r="246" spans="1:16" x14ac:dyDescent="0.3">
      <c r="A246" s="25">
        <v>245</v>
      </c>
      <c r="B246" s="26">
        <v>45365</v>
      </c>
      <c r="C246" s="25" t="s">
        <v>56</v>
      </c>
      <c r="D246" s="25" t="s">
        <v>22</v>
      </c>
      <c r="E246" s="25" t="s">
        <v>96</v>
      </c>
      <c r="F246" s="25">
        <v>1</v>
      </c>
      <c r="G246" s="25" t="s">
        <v>97</v>
      </c>
      <c r="H246" s="25">
        <v>300</v>
      </c>
      <c r="I246" s="25">
        <v>265</v>
      </c>
      <c r="J246" s="25">
        <v>300</v>
      </c>
      <c r="K246" s="25">
        <v>265</v>
      </c>
      <c r="L246" s="25">
        <v>35</v>
      </c>
      <c r="M246" s="27">
        <v>13.207547169811299</v>
      </c>
      <c r="N246" s="25" t="s">
        <v>57</v>
      </c>
      <c r="O246" s="25" t="s">
        <v>28</v>
      </c>
      <c r="P246" s="25" t="s">
        <v>32</v>
      </c>
    </row>
    <row r="247" spans="1:16" x14ac:dyDescent="0.3">
      <c r="A247" s="25">
        <v>246</v>
      </c>
      <c r="B247" s="26">
        <v>45365</v>
      </c>
      <c r="C247" s="25" t="s">
        <v>56</v>
      </c>
      <c r="D247" s="25" t="s">
        <v>22</v>
      </c>
      <c r="E247" s="25" t="s">
        <v>90</v>
      </c>
      <c r="F247" s="25">
        <v>3</v>
      </c>
      <c r="G247" s="25" t="s">
        <v>91</v>
      </c>
      <c r="H247" s="25">
        <v>280</v>
      </c>
      <c r="I247" s="25">
        <v>240</v>
      </c>
      <c r="J247" s="25">
        <v>840</v>
      </c>
      <c r="K247" s="25">
        <v>720</v>
      </c>
      <c r="L247" s="25">
        <v>120</v>
      </c>
      <c r="M247" s="27">
        <v>16.6666666666667</v>
      </c>
      <c r="N247" s="25" t="s">
        <v>57</v>
      </c>
      <c r="O247" s="25" t="s">
        <v>28</v>
      </c>
      <c r="P247" s="25" t="s">
        <v>32</v>
      </c>
    </row>
    <row r="248" spans="1:16" x14ac:dyDescent="0.3">
      <c r="A248" s="25">
        <v>247</v>
      </c>
      <c r="B248" s="26">
        <v>45366</v>
      </c>
      <c r="C248" s="25" t="s">
        <v>56</v>
      </c>
      <c r="D248" s="25" t="s">
        <v>22</v>
      </c>
      <c r="E248" s="25" t="s">
        <v>90</v>
      </c>
      <c r="F248" s="25">
        <v>2</v>
      </c>
      <c r="G248" s="25" t="s">
        <v>91</v>
      </c>
      <c r="H248" s="25">
        <v>280</v>
      </c>
      <c r="I248" s="25">
        <v>240</v>
      </c>
      <c r="J248" s="25">
        <v>560</v>
      </c>
      <c r="K248" s="25">
        <v>480</v>
      </c>
      <c r="L248" s="25">
        <v>80</v>
      </c>
      <c r="M248" s="27">
        <v>16.6666666666667</v>
      </c>
      <c r="N248" s="25" t="s">
        <v>57</v>
      </c>
      <c r="O248" s="25" t="s">
        <v>28</v>
      </c>
      <c r="P248" s="25" t="s">
        <v>32</v>
      </c>
    </row>
    <row r="249" spans="1:16" x14ac:dyDescent="0.3">
      <c r="A249" s="25">
        <v>248</v>
      </c>
      <c r="B249" s="26">
        <v>45366</v>
      </c>
      <c r="C249" s="25" t="s">
        <v>56</v>
      </c>
      <c r="D249" s="25" t="s">
        <v>21</v>
      </c>
      <c r="E249" s="25" t="s">
        <v>95</v>
      </c>
      <c r="F249" s="25">
        <v>3</v>
      </c>
      <c r="G249" s="25" t="s">
        <v>89</v>
      </c>
      <c r="H249" s="25">
        <v>150</v>
      </c>
      <c r="I249" s="25">
        <v>100</v>
      </c>
      <c r="J249" s="25">
        <v>450</v>
      </c>
      <c r="K249" s="25">
        <v>300</v>
      </c>
      <c r="L249" s="25">
        <v>150</v>
      </c>
      <c r="M249" s="27">
        <v>50</v>
      </c>
      <c r="N249" s="25" t="s">
        <v>57</v>
      </c>
      <c r="O249" s="25" t="s">
        <v>28</v>
      </c>
      <c r="P249" s="25" t="s">
        <v>32</v>
      </c>
    </row>
    <row r="250" spans="1:16" x14ac:dyDescent="0.3">
      <c r="A250" s="25">
        <v>249</v>
      </c>
      <c r="B250" s="26">
        <v>45366</v>
      </c>
      <c r="C250" s="25" t="s">
        <v>56</v>
      </c>
      <c r="D250" s="25" t="s">
        <v>22</v>
      </c>
      <c r="E250" s="25" t="s">
        <v>96</v>
      </c>
      <c r="F250" s="25">
        <v>1</v>
      </c>
      <c r="G250" s="25" t="s">
        <v>97</v>
      </c>
      <c r="H250" s="25">
        <v>300</v>
      </c>
      <c r="I250" s="25">
        <v>265</v>
      </c>
      <c r="J250" s="25">
        <v>300</v>
      </c>
      <c r="K250" s="25">
        <v>265</v>
      </c>
      <c r="L250" s="25">
        <v>35</v>
      </c>
      <c r="M250" s="27">
        <v>13.207547169811299</v>
      </c>
      <c r="N250" s="25" t="s">
        <v>57</v>
      </c>
      <c r="O250" s="25" t="s">
        <v>28</v>
      </c>
      <c r="P250" s="25" t="s">
        <v>32</v>
      </c>
    </row>
    <row r="251" spans="1:16" x14ac:dyDescent="0.3">
      <c r="A251" s="25">
        <v>250</v>
      </c>
      <c r="B251" s="26">
        <v>45366</v>
      </c>
      <c r="C251" s="25" t="s">
        <v>56</v>
      </c>
      <c r="D251" s="25" t="s">
        <v>22</v>
      </c>
      <c r="E251" s="25" t="s">
        <v>90</v>
      </c>
      <c r="F251" s="25">
        <v>2</v>
      </c>
      <c r="G251" s="25" t="s">
        <v>91</v>
      </c>
      <c r="H251" s="25">
        <v>280</v>
      </c>
      <c r="I251" s="25">
        <v>240</v>
      </c>
      <c r="J251" s="25">
        <v>560</v>
      </c>
      <c r="K251" s="25">
        <v>480</v>
      </c>
      <c r="L251" s="25">
        <v>80</v>
      </c>
      <c r="M251" s="27">
        <v>16.6666666666667</v>
      </c>
      <c r="N251" s="25" t="s">
        <v>57</v>
      </c>
      <c r="O251" s="25" t="s">
        <v>28</v>
      </c>
      <c r="P251" s="25" t="s">
        <v>32</v>
      </c>
    </row>
    <row r="252" spans="1:16" x14ac:dyDescent="0.3">
      <c r="A252" s="25">
        <v>251</v>
      </c>
      <c r="B252" s="26">
        <v>45366</v>
      </c>
      <c r="C252" s="25" t="s">
        <v>56</v>
      </c>
      <c r="D252" s="25" t="s">
        <v>22</v>
      </c>
      <c r="E252" s="25" t="s">
        <v>92</v>
      </c>
      <c r="F252" s="25">
        <v>2.5</v>
      </c>
      <c r="G252" s="25" t="s">
        <v>91</v>
      </c>
      <c r="H252" s="25">
        <v>260</v>
      </c>
      <c r="I252" s="25">
        <v>220</v>
      </c>
      <c r="J252" s="25">
        <v>650</v>
      </c>
      <c r="K252" s="25">
        <v>550</v>
      </c>
      <c r="L252" s="25">
        <v>100</v>
      </c>
      <c r="M252" s="27">
        <v>18.181818181818201</v>
      </c>
      <c r="N252" s="25" t="s">
        <v>57</v>
      </c>
      <c r="O252" s="25" t="s">
        <v>28</v>
      </c>
      <c r="P252" s="25" t="s">
        <v>32</v>
      </c>
    </row>
    <row r="253" spans="1:16" x14ac:dyDescent="0.3">
      <c r="A253" s="25">
        <v>252</v>
      </c>
      <c r="B253" s="26">
        <v>45367</v>
      </c>
      <c r="C253" s="25" t="s">
        <v>56</v>
      </c>
      <c r="D253" s="25" t="s">
        <v>22</v>
      </c>
      <c r="E253" s="25" t="s">
        <v>103</v>
      </c>
      <c r="F253" s="25">
        <v>3</v>
      </c>
      <c r="G253" s="25" t="s">
        <v>102</v>
      </c>
      <c r="H253" s="25">
        <v>30</v>
      </c>
      <c r="I253" s="25">
        <v>20</v>
      </c>
      <c r="J253" s="25">
        <v>90</v>
      </c>
      <c r="K253" s="25">
        <v>60</v>
      </c>
      <c r="L253" s="25">
        <v>30</v>
      </c>
      <c r="M253" s="27">
        <v>50</v>
      </c>
      <c r="N253" s="25" t="s">
        <v>57</v>
      </c>
      <c r="O253" s="25" t="s">
        <v>28</v>
      </c>
      <c r="P253" s="25" t="s">
        <v>32</v>
      </c>
    </row>
    <row r="254" spans="1:16" x14ac:dyDescent="0.3">
      <c r="A254" s="25">
        <v>253</v>
      </c>
      <c r="B254" s="26">
        <v>45367</v>
      </c>
      <c r="C254" s="25" t="s">
        <v>56</v>
      </c>
      <c r="D254" s="25" t="s">
        <v>22</v>
      </c>
      <c r="E254" s="25" t="s">
        <v>101</v>
      </c>
      <c r="F254" s="25">
        <v>6</v>
      </c>
      <c r="G254" s="25" t="s">
        <v>102</v>
      </c>
      <c r="H254" s="25">
        <v>6</v>
      </c>
      <c r="I254" s="25">
        <v>4</v>
      </c>
      <c r="J254" s="25">
        <v>36</v>
      </c>
      <c r="K254" s="25">
        <v>24</v>
      </c>
      <c r="L254" s="25">
        <v>12</v>
      </c>
      <c r="M254" s="27">
        <v>50</v>
      </c>
      <c r="N254" s="25" t="s">
        <v>57</v>
      </c>
      <c r="O254" s="25" t="s">
        <v>28</v>
      </c>
      <c r="P254" s="25" t="s">
        <v>32</v>
      </c>
    </row>
    <row r="255" spans="1:16" x14ac:dyDescent="0.3">
      <c r="A255" s="25">
        <v>254</v>
      </c>
      <c r="B255" s="26">
        <v>45367</v>
      </c>
      <c r="C255" s="25" t="s">
        <v>56</v>
      </c>
      <c r="D255" s="25" t="s">
        <v>21</v>
      </c>
      <c r="E255" s="25" t="s">
        <v>88</v>
      </c>
      <c r="F255" s="25">
        <v>3</v>
      </c>
      <c r="G255" s="25" t="s">
        <v>89</v>
      </c>
      <c r="H255" s="25">
        <v>130</v>
      </c>
      <c r="I255" s="25">
        <v>100</v>
      </c>
      <c r="J255" s="25">
        <v>390</v>
      </c>
      <c r="K255" s="25">
        <v>300</v>
      </c>
      <c r="L255" s="25">
        <v>90</v>
      </c>
      <c r="M255" s="27">
        <v>30</v>
      </c>
      <c r="N255" s="25" t="s">
        <v>57</v>
      </c>
      <c r="O255" s="25" t="s">
        <v>27</v>
      </c>
      <c r="P255" s="25" t="s">
        <v>33</v>
      </c>
    </row>
    <row r="256" spans="1:16" x14ac:dyDescent="0.3">
      <c r="A256" s="25">
        <v>255</v>
      </c>
      <c r="B256" s="26">
        <v>45367</v>
      </c>
      <c r="C256" s="25" t="s">
        <v>56</v>
      </c>
      <c r="D256" s="25" t="s">
        <v>21</v>
      </c>
      <c r="E256" s="25" t="s">
        <v>88</v>
      </c>
      <c r="F256" s="25">
        <v>6</v>
      </c>
      <c r="G256" s="25" t="s">
        <v>89</v>
      </c>
      <c r="H256" s="25">
        <v>130</v>
      </c>
      <c r="I256" s="25">
        <v>100</v>
      </c>
      <c r="J256" s="25">
        <v>780</v>
      </c>
      <c r="K256" s="25">
        <v>600</v>
      </c>
      <c r="L256" s="25">
        <v>180</v>
      </c>
      <c r="M256" s="27">
        <v>30</v>
      </c>
      <c r="N256" s="25" t="s">
        <v>57</v>
      </c>
      <c r="O256" s="25" t="s">
        <v>27</v>
      </c>
      <c r="P256" s="25" t="s">
        <v>32</v>
      </c>
    </row>
    <row r="257" spans="1:16" x14ac:dyDescent="0.3">
      <c r="A257" s="25">
        <v>256</v>
      </c>
      <c r="B257" s="26">
        <v>45367</v>
      </c>
      <c r="C257" s="25" t="s">
        <v>56</v>
      </c>
      <c r="D257" s="25" t="s">
        <v>22</v>
      </c>
      <c r="E257" s="25" t="s">
        <v>90</v>
      </c>
      <c r="F257" s="25">
        <v>3.5</v>
      </c>
      <c r="G257" s="25" t="s">
        <v>91</v>
      </c>
      <c r="H257" s="25">
        <v>280</v>
      </c>
      <c r="I257" s="25">
        <v>240</v>
      </c>
      <c r="J257" s="25">
        <v>980</v>
      </c>
      <c r="K257" s="25">
        <v>840</v>
      </c>
      <c r="L257" s="25">
        <v>140</v>
      </c>
      <c r="M257" s="27">
        <v>16.6666666666667</v>
      </c>
      <c r="N257" s="25" t="s">
        <v>57</v>
      </c>
      <c r="O257" s="25" t="s">
        <v>28</v>
      </c>
      <c r="P257" s="25" t="s">
        <v>32</v>
      </c>
    </row>
    <row r="258" spans="1:16" x14ac:dyDescent="0.3">
      <c r="A258" s="25">
        <v>257</v>
      </c>
      <c r="B258" s="26">
        <v>45368</v>
      </c>
      <c r="C258" s="25" t="s">
        <v>56</v>
      </c>
      <c r="D258" s="25" t="s">
        <v>21</v>
      </c>
      <c r="E258" s="25" t="s">
        <v>88</v>
      </c>
      <c r="F258" s="25">
        <v>3</v>
      </c>
      <c r="G258" s="25" t="s">
        <v>89</v>
      </c>
      <c r="H258" s="25">
        <v>130</v>
      </c>
      <c r="I258" s="25">
        <v>100</v>
      </c>
      <c r="J258" s="25">
        <v>390</v>
      </c>
      <c r="K258" s="25">
        <v>300</v>
      </c>
      <c r="L258" s="25">
        <v>90</v>
      </c>
      <c r="M258" s="27">
        <v>30</v>
      </c>
      <c r="N258" s="25" t="s">
        <v>57</v>
      </c>
      <c r="O258" s="25" t="s">
        <v>27</v>
      </c>
      <c r="P258" s="25" t="s">
        <v>32</v>
      </c>
    </row>
    <row r="259" spans="1:16" x14ac:dyDescent="0.3">
      <c r="A259" s="25">
        <v>258</v>
      </c>
      <c r="B259" s="26">
        <v>45368</v>
      </c>
      <c r="C259" s="25" t="s">
        <v>56</v>
      </c>
      <c r="D259" s="25" t="s">
        <v>22</v>
      </c>
      <c r="E259" s="25" t="s">
        <v>92</v>
      </c>
      <c r="F259" s="25">
        <v>2</v>
      </c>
      <c r="G259" s="25" t="s">
        <v>91</v>
      </c>
      <c r="H259" s="25">
        <v>260</v>
      </c>
      <c r="I259" s="25">
        <v>220</v>
      </c>
      <c r="J259" s="25">
        <v>520</v>
      </c>
      <c r="K259" s="25">
        <v>440</v>
      </c>
      <c r="L259" s="25">
        <v>80</v>
      </c>
      <c r="M259" s="27">
        <v>18.181818181818201</v>
      </c>
      <c r="N259" s="25" t="s">
        <v>57</v>
      </c>
      <c r="O259" s="25" t="s">
        <v>28</v>
      </c>
      <c r="P259" s="25" t="s">
        <v>32</v>
      </c>
    </row>
    <row r="260" spans="1:16" x14ac:dyDescent="0.3">
      <c r="A260" s="25">
        <v>259</v>
      </c>
      <c r="B260" s="26">
        <v>45368</v>
      </c>
      <c r="C260" s="25" t="s">
        <v>56</v>
      </c>
      <c r="D260" s="25" t="s">
        <v>22</v>
      </c>
      <c r="E260" s="25" t="s">
        <v>92</v>
      </c>
      <c r="F260" s="25">
        <v>3</v>
      </c>
      <c r="G260" s="25" t="s">
        <v>91</v>
      </c>
      <c r="H260" s="25">
        <v>260</v>
      </c>
      <c r="I260" s="25">
        <v>220</v>
      </c>
      <c r="J260" s="25">
        <v>780</v>
      </c>
      <c r="K260" s="25">
        <v>660</v>
      </c>
      <c r="L260" s="25">
        <v>120</v>
      </c>
      <c r="M260" s="27">
        <v>18.181818181818201</v>
      </c>
      <c r="N260" s="25" t="s">
        <v>57</v>
      </c>
      <c r="O260" s="25" t="s">
        <v>28</v>
      </c>
      <c r="P260" s="25" t="s">
        <v>32</v>
      </c>
    </row>
    <row r="261" spans="1:16" x14ac:dyDescent="0.3">
      <c r="A261" s="25">
        <v>260</v>
      </c>
      <c r="B261" s="26">
        <v>45368</v>
      </c>
      <c r="C261" s="25" t="s">
        <v>56</v>
      </c>
      <c r="D261" s="25" t="s">
        <v>22</v>
      </c>
      <c r="E261" s="25" t="s">
        <v>90</v>
      </c>
      <c r="F261" s="25">
        <v>2.5</v>
      </c>
      <c r="G261" s="25" t="s">
        <v>91</v>
      </c>
      <c r="H261" s="25">
        <v>280</v>
      </c>
      <c r="I261" s="25">
        <v>240</v>
      </c>
      <c r="J261" s="25">
        <v>700</v>
      </c>
      <c r="K261" s="25">
        <v>600</v>
      </c>
      <c r="L261" s="25">
        <v>100</v>
      </c>
      <c r="M261" s="27">
        <v>16.6666666666667</v>
      </c>
      <c r="N261" s="25" t="s">
        <v>57</v>
      </c>
      <c r="O261" s="25" t="s">
        <v>28</v>
      </c>
      <c r="P261" s="25" t="s">
        <v>32</v>
      </c>
    </row>
    <row r="262" spans="1:16" x14ac:dyDescent="0.3">
      <c r="A262" s="25">
        <v>261</v>
      </c>
      <c r="B262" s="26">
        <v>45368</v>
      </c>
      <c r="C262" s="25" t="s">
        <v>56</v>
      </c>
      <c r="D262" s="25" t="s">
        <v>22</v>
      </c>
      <c r="E262" s="25" t="s">
        <v>90</v>
      </c>
      <c r="F262" s="25">
        <v>1.5</v>
      </c>
      <c r="G262" s="25" t="s">
        <v>91</v>
      </c>
      <c r="H262" s="25">
        <v>280</v>
      </c>
      <c r="I262" s="25">
        <v>240</v>
      </c>
      <c r="J262" s="25">
        <v>420</v>
      </c>
      <c r="K262" s="25">
        <v>360</v>
      </c>
      <c r="L262" s="25">
        <v>60</v>
      </c>
      <c r="M262" s="27">
        <v>16.6666666666667</v>
      </c>
      <c r="N262" s="25" t="s">
        <v>57</v>
      </c>
      <c r="O262" s="25" t="s">
        <v>28</v>
      </c>
      <c r="P262" s="25" t="s">
        <v>32</v>
      </c>
    </row>
    <row r="263" spans="1:16" x14ac:dyDescent="0.3">
      <c r="A263" s="25">
        <v>262</v>
      </c>
      <c r="B263" s="26">
        <v>45368</v>
      </c>
      <c r="C263" s="25" t="s">
        <v>56</v>
      </c>
      <c r="D263" s="25" t="s">
        <v>22</v>
      </c>
      <c r="E263" s="25" t="s">
        <v>96</v>
      </c>
      <c r="F263" s="25">
        <v>1</v>
      </c>
      <c r="G263" s="25" t="s">
        <v>97</v>
      </c>
      <c r="H263" s="25">
        <v>300</v>
      </c>
      <c r="I263" s="25">
        <v>265</v>
      </c>
      <c r="J263" s="25">
        <v>300</v>
      </c>
      <c r="K263" s="25">
        <v>265</v>
      </c>
      <c r="L263" s="25">
        <v>35</v>
      </c>
      <c r="M263" s="27">
        <v>13.207547169811299</v>
      </c>
      <c r="N263" s="25" t="s">
        <v>57</v>
      </c>
      <c r="O263" s="25" t="s">
        <v>28</v>
      </c>
      <c r="P263" s="25" t="s">
        <v>32</v>
      </c>
    </row>
    <row r="264" spans="1:16" x14ac:dyDescent="0.3">
      <c r="A264" s="25">
        <v>263</v>
      </c>
      <c r="B264" s="26">
        <v>45368</v>
      </c>
      <c r="C264" s="25" t="s">
        <v>56</v>
      </c>
      <c r="D264" s="25" t="s">
        <v>22</v>
      </c>
      <c r="E264" s="25" t="s">
        <v>103</v>
      </c>
      <c r="F264" s="25">
        <v>3</v>
      </c>
      <c r="G264" s="25" t="s">
        <v>102</v>
      </c>
      <c r="H264" s="25">
        <v>30</v>
      </c>
      <c r="I264" s="25">
        <v>20</v>
      </c>
      <c r="J264" s="25">
        <v>90</v>
      </c>
      <c r="K264" s="25">
        <v>60</v>
      </c>
      <c r="L264" s="25">
        <v>30</v>
      </c>
      <c r="M264" s="27">
        <v>50</v>
      </c>
      <c r="N264" s="25" t="s">
        <v>57</v>
      </c>
      <c r="O264" s="25" t="s">
        <v>28</v>
      </c>
      <c r="P264" s="25" t="s">
        <v>32</v>
      </c>
    </row>
    <row r="265" spans="1:16" x14ac:dyDescent="0.3">
      <c r="A265" s="25">
        <v>264</v>
      </c>
      <c r="B265" s="26">
        <v>45369</v>
      </c>
      <c r="C265" s="25" t="s">
        <v>56</v>
      </c>
      <c r="D265" s="25" t="s">
        <v>22</v>
      </c>
      <c r="E265" s="25" t="s">
        <v>101</v>
      </c>
      <c r="F265" s="25">
        <v>12</v>
      </c>
      <c r="G265" s="25" t="s">
        <v>102</v>
      </c>
      <c r="H265" s="25">
        <v>6</v>
      </c>
      <c r="I265" s="25">
        <v>4</v>
      </c>
      <c r="J265" s="25">
        <v>72</v>
      </c>
      <c r="K265" s="25">
        <v>48</v>
      </c>
      <c r="L265" s="25">
        <v>24</v>
      </c>
      <c r="M265" s="27">
        <v>50</v>
      </c>
      <c r="N265" s="25" t="s">
        <v>57</v>
      </c>
      <c r="O265" s="25" t="s">
        <v>28</v>
      </c>
      <c r="P265" s="25" t="s">
        <v>32</v>
      </c>
    </row>
    <row r="266" spans="1:16" x14ac:dyDescent="0.3">
      <c r="A266" s="25">
        <v>265</v>
      </c>
      <c r="B266" s="26">
        <v>45369</v>
      </c>
      <c r="C266" s="25" t="s">
        <v>56</v>
      </c>
      <c r="D266" s="25" t="s">
        <v>22</v>
      </c>
      <c r="E266" s="25" t="s">
        <v>90</v>
      </c>
      <c r="F266" s="25">
        <v>3</v>
      </c>
      <c r="G266" s="25" t="s">
        <v>91</v>
      </c>
      <c r="H266" s="25">
        <v>280</v>
      </c>
      <c r="I266" s="25">
        <v>240</v>
      </c>
      <c r="J266" s="25">
        <v>840</v>
      </c>
      <c r="K266" s="25">
        <v>720</v>
      </c>
      <c r="L266" s="25">
        <v>120</v>
      </c>
      <c r="M266" s="27">
        <v>16.6666666666667</v>
      </c>
      <c r="N266" s="25" t="s">
        <v>57</v>
      </c>
      <c r="O266" s="25" t="s">
        <v>28</v>
      </c>
      <c r="P266" s="25" t="s">
        <v>32</v>
      </c>
    </row>
    <row r="267" spans="1:16" x14ac:dyDescent="0.3">
      <c r="A267" s="25">
        <v>266</v>
      </c>
      <c r="B267" s="26">
        <v>45369</v>
      </c>
      <c r="C267" s="25" t="s">
        <v>56</v>
      </c>
      <c r="D267" s="25" t="s">
        <v>22</v>
      </c>
      <c r="E267" s="25" t="s">
        <v>90</v>
      </c>
      <c r="F267" s="25">
        <v>2.5</v>
      </c>
      <c r="G267" s="25" t="s">
        <v>91</v>
      </c>
      <c r="H267" s="25">
        <v>280</v>
      </c>
      <c r="I267" s="25">
        <v>240</v>
      </c>
      <c r="J267" s="25">
        <v>700</v>
      </c>
      <c r="K267" s="25">
        <v>600</v>
      </c>
      <c r="L267" s="25">
        <v>100</v>
      </c>
      <c r="M267" s="27">
        <v>16.6666666666667</v>
      </c>
      <c r="N267" s="25" t="s">
        <v>57</v>
      </c>
      <c r="O267" s="25" t="s">
        <v>28</v>
      </c>
      <c r="P267" s="25" t="s">
        <v>32</v>
      </c>
    </row>
    <row r="268" spans="1:16" x14ac:dyDescent="0.3">
      <c r="A268" s="25">
        <v>267</v>
      </c>
      <c r="B268" s="26">
        <v>45369</v>
      </c>
      <c r="C268" s="25" t="s">
        <v>56</v>
      </c>
      <c r="D268" s="25" t="s">
        <v>21</v>
      </c>
      <c r="E268" s="25" t="s">
        <v>88</v>
      </c>
      <c r="F268" s="25">
        <v>4</v>
      </c>
      <c r="G268" s="25" t="s">
        <v>89</v>
      </c>
      <c r="H268" s="25">
        <v>130</v>
      </c>
      <c r="I268" s="25">
        <v>100</v>
      </c>
      <c r="J268" s="25">
        <v>520</v>
      </c>
      <c r="K268" s="25">
        <v>400</v>
      </c>
      <c r="L268" s="25">
        <v>120</v>
      </c>
      <c r="M268" s="27">
        <v>30</v>
      </c>
      <c r="N268" s="25" t="s">
        <v>57</v>
      </c>
      <c r="O268" s="25" t="s">
        <v>27</v>
      </c>
      <c r="P268" s="25" t="s">
        <v>32</v>
      </c>
    </row>
    <row r="269" spans="1:16" x14ac:dyDescent="0.3">
      <c r="A269" s="25">
        <v>268</v>
      </c>
      <c r="B269" s="26">
        <v>45370</v>
      </c>
      <c r="C269" s="25" t="s">
        <v>56</v>
      </c>
      <c r="D269" s="25" t="s">
        <v>22</v>
      </c>
      <c r="E269" s="25" t="s">
        <v>90</v>
      </c>
      <c r="F269" s="25">
        <v>1.5</v>
      </c>
      <c r="G269" s="25" t="s">
        <v>91</v>
      </c>
      <c r="H269" s="25">
        <v>280</v>
      </c>
      <c r="I269" s="25">
        <v>240</v>
      </c>
      <c r="J269" s="25">
        <v>420</v>
      </c>
      <c r="K269" s="25">
        <v>360</v>
      </c>
      <c r="L269" s="25">
        <v>60</v>
      </c>
      <c r="M269" s="27">
        <v>16.6666666666667</v>
      </c>
      <c r="N269" s="25" t="s">
        <v>57</v>
      </c>
      <c r="O269" s="25" t="s">
        <v>28</v>
      </c>
      <c r="P269" s="25" t="s">
        <v>32</v>
      </c>
    </row>
    <row r="270" spans="1:16" x14ac:dyDescent="0.3">
      <c r="A270" s="25">
        <v>269</v>
      </c>
      <c r="B270" s="26">
        <v>45370</v>
      </c>
      <c r="C270" s="25" t="s">
        <v>56</v>
      </c>
      <c r="D270" s="25" t="s">
        <v>22</v>
      </c>
      <c r="E270" s="25" t="s">
        <v>90</v>
      </c>
      <c r="F270" s="25">
        <v>3</v>
      </c>
      <c r="G270" s="25" t="s">
        <v>91</v>
      </c>
      <c r="H270" s="25">
        <v>280</v>
      </c>
      <c r="I270" s="25">
        <v>240</v>
      </c>
      <c r="J270" s="25">
        <v>840</v>
      </c>
      <c r="K270" s="25">
        <v>720</v>
      </c>
      <c r="L270" s="25">
        <v>120</v>
      </c>
      <c r="M270" s="27">
        <v>16.6666666666667</v>
      </c>
      <c r="N270" s="25" t="s">
        <v>57</v>
      </c>
      <c r="O270" s="25" t="s">
        <v>28</v>
      </c>
      <c r="P270" s="25" t="s">
        <v>32</v>
      </c>
    </row>
    <row r="271" spans="1:16" x14ac:dyDescent="0.3">
      <c r="A271" s="25">
        <v>270</v>
      </c>
      <c r="B271" s="26">
        <v>45370</v>
      </c>
      <c r="C271" s="25" t="s">
        <v>56</v>
      </c>
      <c r="D271" s="25" t="s">
        <v>22</v>
      </c>
      <c r="E271" s="25" t="s">
        <v>90</v>
      </c>
      <c r="F271" s="25">
        <v>2</v>
      </c>
      <c r="G271" s="25" t="s">
        <v>91</v>
      </c>
      <c r="H271" s="25">
        <v>280</v>
      </c>
      <c r="I271" s="25">
        <v>240</v>
      </c>
      <c r="J271" s="25">
        <v>560</v>
      </c>
      <c r="K271" s="25">
        <v>480</v>
      </c>
      <c r="L271" s="25">
        <v>80</v>
      </c>
      <c r="M271" s="27">
        <v>16.6666666666667</v>
      </c>
      <c r="N271" s="25" t="s">
        <v>57</v>
      </c>
      <c r="O271" s="25" t="s">
        <v>28</v>
      </c>
      <c r="P271" s="25" t="s">
        <v>32</v>
      </c>
    </row>
    <row r="272" spans="1:16" x14ac:dyDescent="0.3">
      <c r="A272" s="25">
        <v>271</v>
      </c>
      <c r="B272" s="26">
        <v>45370</v>
      </c>
      <c r="C272" s="25" t="s">
        <v>56</v>
      </c>
      <c r="D272" s="25" t="s">
        <v>22</v>
      </c>
      <c r="E272" s="25" t="s">
        <v>103</v>
      </c>
      <c r="F272" s="25">
        <v>2</v>
      </c>
      <c r="G272" s="25" t="s">
        <v>102</v>
      </c>
      <c r="H272" s="25">
        <v>30</v>
      </c>
      <c r="I272" s="25">
        <v>20</v>
      </c>
      <c r="J272" s="25">
        <v>60</v>
      </c>
      <c r="K272" s="25">
        <v>40</v>
      </c>
      <c r="L272" s="25">
        <v>20</v>
      </c>
      <c r="M272" s="27">
        <v>50</v>
      </c>
      <c r="N272" s="25" t="s">
        <v>57</v>
      </c>
      <c r="O272" s="25" t="s">
        <v>28</v>
      </c>
      <c r="P272" s="25" t="s">
        <v>32</v>
      </c>
    </row>
    <row r="273" spans="1:16" x14ac:dyDescent="0.3">
      <c r="A273" s="25">
        <v>272</v>
      </c>
      <c r="B273" s="26">
        <v>45370</v>
      </c>
      <c r="C273" s="25" t="s">
        <v>56</v>
      </c>
      <c r="D273" s="25" t="s">
        <v>22</v>
      </c>
      <c r="E273" s="25" t="s">
        <v>101</v>
      </c>
      <c r="F273" s="25">
        <v>6</v>
      </c>
      <c r="G273" s="25" t="s">
        <v>102</v>
      </c>
      <c r="H273" s="25">
        <v>6</v>
      </c>
      <c r="I273" s="25">
        <v>4</v>
      </c>
      <c r="J273" s="25">
        <v>36</v>
      </c>
      <c r="K273" s="25">
        <v>24</v>
      </c>
      <c r="L273" s="25">
        <v>12</v>
      </c>
      <c r="M273" s="27">
        <v>50</v>
      </c>
      <c r="N273" s="25" t="s">
        <v>57</v>
      </c>
      <c r="O273" s="25" t="s">
        <v>28</v>
      </c>
      <c r="P273" s="25" t="s">
        <v>32</v>
      </c>
    </row>
    <row r="274" spans="1:16" x14ac:dyDescent="0.3">
      <c r="A274" s="25">
        <v>273</v>
      </c>
      <c r="B274" s="26">
        <v>45372</v>
      </c>
      <c r="C274" s="25" t="s">
        <v>56</v>
      </c>
      <c r="D274" s="25" t="s">
        <v>22</v>
      </c>
      <c r="E274" s="25" t="s">
        <v>90</v>
      </c>
      <c r="F274" s="25">
        <v>1.5</v>
      </c>
      <c r="G274" s="25" t="s">
        <v>91</v>
      </c>
      <c r="H274" s="25">
        <v>280</v>
      </c>
      <c r="I274" s="25">
        <v>240</v>
      </c>
      <c r="J274" s="25">
        <v>420</v>
      </c>
      <c r="K274" s="25">
        <v>360</v>
      </c>
      <c r="L274" s="25">
        <v>60</v>
      </c>
      <c r="M274" s="27">
        <v>16.6666666666667</v>
      </c>
      <c r="N274" s="25" t="s">
        <v>57</v>
      </c>
      <c r="O274" s="25" t="s">
        <v>28</v>
      </c>
      <c r="P274" s="25" t="s">
        <v>32</v>
      </c>
    </row>
    <row r="275" spans="1:16" x14ac:dyDescent="0.3">
      <c r="A275" s="25">
        <v>274</v>
      </c>
      <c r="B275" s="26">
        <v>45372</v>
      </c>
      <c r="C275" s="25" t="s">
        <v>56</v>
      </c>
      <c r="D275" s="25" t="s">
        <v>22</v>
      </c>
      <c r="E275" s="25" t="s">
        <v>92</v>
      </c>
      <c r="F275" s="25">
        <v>1.5</v>
      </c>
      <c r="G275" s="25" t="s">
        <v>91</v>
      </c>
      <c r="H275" s="25">
        <v>260</v>
      </c>
      <c r="I275" s="25">
        <v>220</v>
      </c>
      <c r="J275" s="25">
        <v>390</v>
      </c>
      <c r="K275" s="25">
        <v>330</v>
      </c>
      <c r="L275" s="25">
        <v>60</v>
      </c>
      <c r="M275" s="27">
        <v>18.181818181818201</v>
      </c>
      <c r="N275" s="25" t="s">
        <v>57</v>
      </c>
      <c r="O275" s="25" t="s">
        <v>28</v>
      </c>
      <c r="P275" s="25" t="s">
        <v>32</v>
      </c>
    </row>
    <row r="276" spans="1:16" x14ac:dyDescent="0.3">
      <c r="A276" s="25">
        <v>275</v>
      </c>
      <c r="B276" s="26">
        <v>45372</v>
      </c>
      <c r="C276" s="25" t="s">
        <v>56</v>
      </c>
      <c r="D276" s="25" t="s">
        <v>22</v>
      </c>
      <c r="E276" s="25" t="s">
        <v>90</v>
      </c>
      <c r="F276" s="25">
        <v>2</v>
      </c>
      <c r="G276" s="25" t="s">
        <v>91</v>
      </c>
      <c r="H276" s="25">
        <v>280</v>
      </c>
      <c r="I276" s="25">
        <v>240</v>
      </c>
      <c r="J276" s="25">
        <v>560</v>
      </c>
      <c r="K276" s="25">
        <v>480</v>
      </c>
      <c r="L276" s="25">
        <v>80</v>
      </c>
      <c r="M276" s="27">
        <v>16.6666666666667</v>
      </c>
      <c r="N276" s="25" t="s">
        <v>57</v>
      </c>
      <c r="O276" s="25" t="s">
        <v>28</v>
      </c>
      <c r="P276" s="25" t="s">
        <v>32</v>
      </c>
    </row>
    <row r="277" spans="1:16" x14ac:dyDescent="0.3">
      <c r="A277" s="25">
        <v>276</v>
      </c>
      <c r="B277" s="26">
        <v>45372</v>
      </c>
      <c r="C277" s="25" t="s">
        <v>56</v>
      </c>
      <c r="D277" s="25" t="s">
        <v>22</v>
      </c>
      <c r="E277" s="25" t="s">
        <v>96</v>
      </c>
      <c r="F277" s="25">
        <v>1</v>
      </c>
      <c r="G277" s="25" t="s">
        <v>97</v>
      </c>
      <c r="H277" s="25">
        <v>300</v>
      </c>
      <c r="I277" s="25">
        <v>265</v>
      </c>
      <c r="J277" s="25">
        <v>300</v>
      </c>
      <c r="K277" s="25">
        <v>265</v>
      </c>
      <c r="L277" s="25">
        <v>35</v>
      </c>
      <c r="M277" s="27">
        <v>13.207547169811299</v>
      </c>
      <c r="N277" s="25" t="s">
        <v>57</v>
      </c>
      <c r="O277" s="25" t="s">
        <v>28</v>
      </c>
      <c r="P277" s="25" t="s">
        <v>32</v>
      </c>
    </row>
    <row r="278" spans="1:16" x14ac:dyDescent="0.3">
      <c r="A278" s="25">
        <v>277</v>
      </c>
      <c r="B278" s="26">
        <v>45372</v>
      </c>
      <c r="C278" s="25" t="s">
        <v>56</v>
      </c>
      <c r="D278" s="25" t="s">
        <v>22</v>
      </c>
      <c r="E278" s="25" t="s">
        <v>96</v>
      </c>
      <c r="F278" s="25">
        <v>1</v>
      </c>
      <c r="G278" s="25" t="s">
        <v>97</v>
      </c>
      <c r="H278" s="25">
        <v>300</v>
      </c>
      <c r="I278" s="25">
        <v>265</v>
      </c>
      <c r="J278" s="25">
        <v>300</v>
      </c>
      <c r="K278" s="25">
        <v>265</v>
      </c>
      <c r="L278" s="25">
        <v>35</v>
      </c>
      <c r="M278" s="27">
        <v>13.207547169811299</v>
      </c>
      <c r="N278" s="25" t="s">
        <v>57</v>
      </c>
      <c r="O278" s="25" t="s">
        <v>28</v>
      </c>
      <c r="P278" s="25" t="s">
        <v>32</v>
      </c>
    </row>
    <row r="279" spans="1:16" x14ac:dyDescent="0.3">
      <c r="A279" s="25">
        <v>278</v>
      </c>
      <c r="B279" s="26">
        <v>45372</v>
      </c>
      <c r="C279" s="25" t="s">
        <v>56</v>
      </c>
      <c r="D279" s="25" t="s">
        <v>22</v>
      </c>
      <c r="E279" s="25" t="s">
        <v>90</v>
      </c>
      <c r="F279" s="25">
        <v>4</v>
      </c>
      <c r="G279" s="25" t="s">
        <v>91</v>
      </c>
      <c r="H279" s="25">
        <v>280</v>
      </c>
      <c r="I279" s="25">
        <v>240</v>
      </c>
      <c r="J279" s="25">
        <v>1120</v>
      </c>
      <c r="K279" s="25">
        <v>960</v>
      </c>
      <c r="L279" s="25">
        <v>160</v>
      </c>
      <c r="M279" s="27">
        <v>16.6666666666667</v>
      </c>
      <c r="N279" s="25" t="s">
        <v>57</v>
      </c>
      <c r="O279" s="25" t="s">
        <v>28</v>
      </c>
      <c r="P279" s="25" t="s">
        <v>32</v>
      </c>
    </row>
    <row r="280" spans="1:16" x14ac:dyDescent="0.3">
      <c r="A280" s="25">
        <v>279</v>
      </c>
      <c r="B280" s="26">
        <v>45372</v>
      </c>
      <c r="C280" s="25" t="s">
        <v>56</v>
      </c>
      <c r="D280" s="25" t="s">
        <v>22</v>
      </c>
      <c r="E280" s="25" t="s">
        <v>90</v>
      </c>
      <c r="F280" s="25">
        <v>1</v>
      </c>
      <c r="G280" s="25" t="s">
        <v>91</v>
      </c>
      <c r="H280" s="25">
        <v>280</v>
      </c>
      <c r="I280" s="25">
        <v>240</v>
      </c>
      <c r="J280" s="25">
        <v>280</v>
      </c>
      <c r="K280" s="25">
        <v>240</v>
      </c>
      <c r="L280" s="25">
        <v>40</v>
      </c>
      <c r="M280" s="27">
        <v>16.6666666666667</v>
      </c>
      <c r="N280" s="25" t="s">
        <v>57</v>
      </c>
      <c r="O280" s="25" t="s">
        <v>28</v>
      </c>
      <c r="P280" s="25" t="s">
        <v>32</v>
      </c>
    </row>
    <row r="281" spans="1:16" x14ac:dyDescent="0.3">
      <c r="A281" s="25">
        <v>280</v>
      </c>
      <c r="B281" s="26">
        <v>45372</v>
      </c>
      <c r="C281" s="25" t="s">
        <v>56</v>
      </c>
      <c r="D281" s="25" t="s">
        <v>21</v>
      </c>
      <c r="E281" s="25" t="s">
        <v>88</v>
      </c>
      <c r="F281" s="25">
        <v>2</v>
      </c>
      <c r="G281" s="25" t="s">
        <v>89</v>
      </c>
      <c r="H281" s="25">
        <v>130</v>
      </c>
      <c r="I281" s="25">
        <v>100</v>
      </c>
      <c r="J281" s="25">
        <v>260</v>
      </c>
      <c r="K281" s="25">
        <v>200</v>
      </c>
      <c r="L281" s="25">
        <v>60</v>
      </c>
      <c r="M281" s="27">
        <v>30</v>
      </c>
      <c r="N281" s="25" t="s">
        <v>57</v>
      </c>
      <c r="O281" s="25" t="s">
        <v>27</v>
      </c>
      <c r="P281" s="25" t="s">
        <v>32</v>
      </c>
    </row>
    <row r="282" spans="1:16" x14ac:dyDescent="0.3">
      <c r="A282" s="25">
        <v>281</v>
      </c>
      <c r="B282" s="26">
        <v>45372</v>
      </c>
      <c r="C282" s="25" t="s">
        <v>56</v>
      </c>
      <c r="D282" s="25" t="s">
        <v>21</v>
      </c>
      <c r="E282" s="25" t="s">
        <v>88</v>
      </c>
      <c r="F282" s="25">
        <v>3</v>
      </c>
      <c r="G282" s="25" t="s">
        <v>89</v>
      </c>
      <c r="H282" s="25">
        <v>130</v>
      </c>
      <c r="I282" s="25">
        <v>100</v>
      </c>
      <c r="J282" s="25">
        <v>390</v>
      </c>
      <c r="K282" s="25">
        <v>300</v>
      </c>
      <c r="L282" s="25">
        <v>90</v>
      </c>
      <c r="M282" s="27">
        <v>30</v>
      </c>
      <c r="N282" s="25" t="s">
        <v>57</v>
      </c>
      <c r="O282" s="25" t="s">
        <v>27</v>
      </c>
      <c r="P282" s="25" t="s">
        <v>32</v>
      </c>
    </row>
    <row r="283" spans="1:16" x14ac:dyDescent="0.3">
      <c r="A283" s="25">
        <v>282</v>
      </c>
      <c r="B283" s="26">
        <v>45372</v>
      </c>
      <c r="C283" s="25" t="s">
        <v>56</v>
      </c>
      <c r="D283" s="25" t="s">
        <v>21</v>
      </c>
      <c r="E283" s="25" t="s">
        <v>88</v>
      </c>
      <c r="F283" s="25">
        <v>6</v>
      </c>
      <c r="G283" s="25" t="s">
        <v>89</v>
      </c>
      <c r="H283" s="25">
        <v>130</v>
      </c>
      <c r="I283" s="25">
        <v>100</v>
      </c>
      <c r="J283" s="25">
        <v>780</v>
      </c>
      <c r="K283" s="25">
        <v>600</v>
      </c>
      <c r="L283" s="25">
        <v>180</v>
      </c>
      <c r="M283" s="27">
        <v>30</v>
      </c>
      <c r="N283" s="25" t="s">
        <v>57</v>
      </c>
      <c r="O283" s="25" t="s">
        <v>27</v>
      </c>
      <c r="P283" s="25" t="s">
        <v>32</v>
      </c>
    </row>
    <row r="284" spans="1:16" x14ac:dyDescent="0.3">
      <c r="A284" s="25">
        <v>283</v>
      </c>
      <c r="B284" s="26">
        <v>45372</v>
      </c>
      <c r="C284" s="25" t="s">
        <v>56</v>
      </c>
      <c r="D284" s="25" t="s">
        <v>21</v>
      </c>
      <c r="E284" s="25" t="s">
        <v>94</v>
      </c>
      <c r="F284" s="25">
        <v>20</v>
      </c>
      <c r="G284" s="25" t="s">
        <v>89</v>
      </c>
      <c r="H284" s="25">
        <v>30</v>
      </c>
      <c r="I284" s="25">
        <v>26</v>
      </c>
      <c r="J284" s="25">
        <v>600</v>
      </c>
      <c r="K284" s="25">
        <v>520</v>
      </c>
      <c r="L284" s="25">
        <v>80</v>
      </c>
      <c r="M284" s="27">
        <v>15.384615384615399</v>
      </c>
      <c r="N284" s="25" t="s">
        <v>57</v>
      </c>
      <c r="O284" s="25" t="s">
        <v>27</v>
      </c>
      <c r="P284" s="25" t="s">
        <v>32</v>
      </c>
    </row>
    <row r="285" spans="1:16" x14ac:dyDescent="0.3">
      <c r="A285" s="25">
        <v>284</v>
      </c>
      <c r="B285" s="26">
        <v>45372</v>
      </c>
      <c r="C285" s="25" t="s">
        <v>56</v>
      </c>
      <c r="D285" s="25" t="s">
        <v>21</v>
      </c>
      <c r="E285" s="25" t="s">
        <v>95</v>
      </c>
      <c r="F285" s="25">
        <v>3</v>
      </c>
      <c r="G285" s="25" t="s">
        <v>89</v>
      </c>
      <c r="H285" s="25">
        <v>150</v>
      </c>
      <c r="I285" s="25">
        <v>100</v>
      </c>
      <c r="J285" s="25">
        <v>450</v>
      </c>
      <c r="K285" s="25">
        <v>300</v>
      </c>
      <c r="L285" s="25">
        <v>150</v>
      </c>
      <c r="M285" s="27">
        <v>50</v>
      </c>
      <c r="N285" s="25" t="s">
        <v>57</v>
      </c>
      <c r="O285" s="25" t="s">
        <v>28</v>
      </c>
      <c r="P285" s="25" t="s">
        <v>32</v>
      </c>
    </row>
    <row r="286" spans="1:16" x14ac:dyDescent="0.3">
      <c r="A286" s="25">
        <v>285</v>
      </c>
      <c r="B286" s="26">
        <v>45372</v>
      </c>
      <c r="C286" s="25" t="s">
        <v>56</v>
      </c>
      <c r="D286" s="25" t="s">
        <v>21</v>
      </c>
      <c r="E286" s="25" t="s">
        <v>88</v>
      </c>
      <c r="F286" s="25">
        <v>3</v>
      </c>
      <c r="G286" s="25" t="s">
        <v>89</v>
      </c>
      <c r="H286" s="25">
        <v>130</v>
      </c>
      <c r="I286" s="25">
        <v>100</v>
      </c>
      <c r="J286" s="25">
        <v>390</v>
      </c>
      <c r="K286" s="25">
        <v>300</v>
      </c>
      <c r="L286" s="25">
        <v>90</v>
      </c>
      <c r="M286" s="27">
        <v>30</v>
      </c>
      <c r="N286" s="25" t="s">
        <v>57</v>
      </c>
      <c r="O286" s="25" t="s">
        <v>27</v>
      </c>
      <c r="P286" s="25" t="s">
        <v>32</v>
      </c>
    </row>
    <row r="287" spans="1:16" x14ac:dyDescent="0.3">
      <c r="A287" s="25">
        <v>286</v>
      </c>
      <c r="B287" s="26">
        <v>45372</v>
      </c>
      <c r="C287" s="25" t="s">
        <v>56</v>
      </c>
      <c r="D287" s="25" t="s">
        <v>21</v>
      </c>
      <c r="E287" s="25" t="s">
        <v>94</v>
      </c>
      <c r="F287" s="25">
        <v>12</v>
      </c>
      <c r="G287" s="25" t="s">
        <v>89</v>
      </c>
      <c r="H287" s="25">
        <v>30</v>
      </c>
      <c r="I287" s="25">
        <v>26</v>
      </c>
      <c r="J287" s="25">
        <v>360</v>
      </c>
      <c r="K287" s="25">
        <v>312</v>
      </c>
      <c r="L287" s="25">
        <v>48</v>
      </c>
      <c r="M287" s="27">
        <v>15.384615384615399</v>
      </c>
      <c r="N287" s="25" t="s">
        <v>57</v>
      </c>
      <c r="O287" s="25" t="s">
        <v>27</v>
      </c>
      <c r="P287" s="25" t="s">
        <v>32</v>
      </c>
    </row>
    <row r="288" spans="1:16" x14ac:dyDescent="0.3">
      <c r="A288" s="25">
        <v>287</v>
      </c>
      <c r="B288" s="26">
        <v>45372</v>
      </c>
      <c r="C288" s="25" t="s">
        <v>56</v>
      </c>
      <c r="D288" s="25" t="s">
        <v>21</v>
      </c>
      <c r="E288" s="25" t="s">
        <v>88</v>
      </c>
      <c r="F288" s="25">
        <v>2</v>
      </c>
      <c r="G288" s="25" t="s">
        <v>89</v>
      </c>
      <c r="H288" s="25">
        <v>130</v>
      </c>
      <c r="I288" s="25">
        <v>100</v>
      </c>
      <c r="J288" s="25">
        <v>260</v>
      </c>
      <c r="K288" s="25">
        <v>200</v>
      </c>
      <c r="L288" s="25">
        <v>60</v>
      </c>
      <c r="M288" s="27">
        <v>30</v>
      </c>
      <c r="N288" s="25" t="s">
        <v>57</v>
      </c>
      <c r="O288" s="25" t="s">
        <v>27</v>
      </c>
      <c r="P288" s="25" t="s">
        <v>32</v>
      </c>
    </row>
    <row r="289" spans="1:16" x14ac:dyDescent="0.3">
      <c r="A289" s="25">
        <v>288</v>
      </c>
      <c r="B289" s="26">
        <v>45372</v>
      </c>
      <c r="C289" s="25" t="s">
        <v>56</v>
      </c>
      <c r="D289" s="25" t="s">
        <v>21</v>
      </c>
      <c r="E289" s="25" t="s">
        <v>88</v>
      </c>
      <c r="F289" s="25">
        <v>2</v>
      </c>
      <c r="G289" s="25" t="s">
        <v>89</v>
      </c>
      <c r="H289" s="25">
        <v>130</v>
      </c>
      <c r="I289" s="25">
        <v>100</v>
      </c>
      <c r="J289" s="25">
        <v>260</v>
      </c>
      <c r="K289" s="25">
        <v>200</v>
      </c>
      <c r="L289" s="25">
        <v>60</v>
      </c>
      <c r="M289" s="27">
        <v>30</v>
      </c>
      <c r="N289" s="25" t="s">
        <v>57</v>
      </c>
      <c r="O289" s="25" t="s">
        <v>27</v>
      </c>
      <c r="P289" s="25" t="s">
        <v>32</v>
      </c>
    </row>
    <row r="290" spans="1:16" x14ac:dyDescent="0.3">
      <c r="A290" s="25">
        <v>289</v>
      </c>
      <c r="B290" s="26">
        <v>45372</v>
      </c>
      <c r="C290" s="25" t="s">
        <v>56</v>
      </c>
      <c r="D290" s="25" t="s">
        <v>21</v>
      </c>
      <c r="E290" s="25" t="s">
        <v>94</v>
      </c>
      <c r="F290" s="25">
        <v>14</v>
      </c>
      <c r="G290" s="25" t="s">
        <v>89</v>
      </c>
      <c r="H290" s="25">
        <v>30</v>
      </c>
      <c r="I290" s="25">
        <v>26</v>
      </c>
      <c r="J290" s="25">
        <v>420</v>
      </c>
      <c r="K290" s="25">
        <v>364</v>
      </c>
      <c r="L290" s="25">
        <v>56</v>
      </c>
      <c r="M290" s="27">
        <v>15.384615384615399</v>
      </c>
      <c r="N290" s="25" t="s">
        <v>57</v>
      </c>
      <c r="O290" s="25" t="s">
        <v>27</v>
      </c>
      <c r="P290" s="25" t="s">
        <v>32</v>
      </c>
    </row>
    <row r="291" spans="1:16" x14ac:dyDescent="0.3">
      <c r="A291" s="25">
        <v>290</v>
      </c>
      <c r="B291" s="26">
        <v>45372</v>
      </c>
      <c r="C291" s="25" t="s">
        <v>56</v>
      </c>
      <c r="D291" s="25" t="s">
        <v>21</v>
      </c>
      <c r="E291" s="25" t="s">
        <v>88</v>
      </c>
      <c r="F291" s="25">
        <v>2</v>
      </c>
      <c r="G291" s="25" t="s">
        <v>89</v>
      </c>
      <c r="H291" s="25">
        <v>130</v>
      </c>
      <c r="I291" s="25">
        <v>100</v>
      </c>
      <c r="J291" s="25">
        <v>260</v>
      </c>
      <c r="K291" s="25">
        <v>200</v>
      </c>
      <c r="L291" s="25">
        <v>60</v>
      </c>
      <c r="M291" s="27">
        <v>30</v>
      </c>
      <c r="N291" s="25" t="s">
        <v>57</v>
      </c>
      <c r="O291" s="25" t="s">
        <v>27</v>
      </c>
      <c r="P291" s="25" t="s">
        <v>32</v>
      </c>
    </row>
    <row r="292" spans="1:16" x14ac:dyDescent="0.3">
      <c r="A292" s="25">
        <v>291</v>
      </c>
      <c r="B292" s="26">
        <v>45372</v>
      </c>
      <c r="C292" s="25" t="s">
        <v>56</v>
      </c>
      <c r="D292" s="25" t="s">
        <v>22</v>
      </c>
      <c r="E292" s="25" t="s">
        <v>92</v>
      </c>
      <c r="F292" s="25">
        <v>1.5</v>
      </c>
      <c r="G292" s="25" t="s">
        <v>91</v>
      </c>
      <c r="H292" s="25">
        <v>260</v>
      </c>
      <c r="I292" s="25">
        <v>220</v>
      </c>
      <c r="J292" s="25">
        <v>390</v>
      </c>
      <c r="K292" s="25">
        <v>330</v>
      </c>
      <c r="L292" s="25">
        <v>60</v>
      </c>
      <c r="M292" s="27">
        <v>18.181818181818201</v>
      </c>
      <c r="N292" s="25" t="s">
        <v>57</v>
      </c>
      <c r="O292" s="25" t="s">
        <v>28</v>
      </c>
      <c r="P292" s="25" t="s">
        <v>32</v>
      </c>
    </row>
    <row r="293" spans="1:16" x14ac:dyDescent="0.3">
      <c r="A293" s="25">
        <v>292</v>
      </c>
      <c r="B293" s="26">
        <v>45373</v>
      </c>
      <c r="C293" s="25" t="s">
        <v>56</v>
      </c>
      <c r="D293" s="25" t="s">
        <v>22</v>
      </c>
      <c r="E293" s="25" t="s">
        <v>96</v>
      </c>
      <c r="F293" s="25">
        <v>1</v>
      </c>
      <c r="G293" s="25" t="s">
        <v>97</v>
      </c>
      <c r="H293" s="25">
        <v>300</v>
      </c>
      <c r="I293" s="25">
        <v>265</v>
      </c>
      <c r="J293" s="25">
        <v>300</v>
      </c>
      <c r="K293" s="25">
        <v>265</v>
      </c>
      <c r="L293" s="25">
        <v>35</v>
      </c>
      <c r="M293" s="27">
        <v>13.207547169811299</v>
      </c>
      <c r="N293" s="25" t="s">
        <v>57</v>
      </c>
      <c r="O293" s="25" t="s">
        <v>28</v>
      </c>
      <c r="P293" s="25" t="s">
        <v>32</v>
      </c>
    </row>
    <row r="294" spans="1:16" x14ac:dyDescent="0.3">
      <c r="A294" s="25">
        <v>293</v>
      </c>
      <c r="B294" s="26">
        <v>45373</v>
      </c>
      <c r="C294" s="25" t="s">
        <v>56</v>
      </c>
      <c r="D294" s="25" t="s">
        <v>21</v>
      </c>
      <c r="E294" s="25" t="s">
        <v>88</v>
      </c>
      <c r="F294" s="25">
        <v>3</v>
      </c>
      <c r="G294" s="25" t="s">
        <v>89</v>
      </c>
      <c r="H294" s="25">
        <v>130</v>
      </c>
      <c r="I294" s="25">
        <v>100</v>
      </c>
      <c r="J294" s="25">
        <v>390</v>
      </c>
      <c r="K294" s="25">
        <v>300</v>
      </c>
      <c r="L294" s="25">
        <v>90</v>
      </c>
      <c r="M294" s="27">
        <v>30</v>
      </c>
      <c r="N294" s="25" t="s">
        <v>57</v>
      </c>
      <c r="O294" s="25" t="s">
        <v>27</v>
      </c>
      <c r="P294" s="25" t="s">
        <v>32</v>
      </c>
    </row>
    <row r="295" spans="1:16" x14ac:dyDescent="0.3">
      <c r="A295" s="25">
        <v>294</v>
      </c>
      <c r="B295" s="26">
        <v>45373</v>
      </c>
      <c r="C295" s="25" t="s">
        <v>56</v>
      </c>
      <c r="D295" s="25" t="s">
        <v>22</v>
      </c>
      <c r="E295" s="25" t="s">
        <v>92</v>
      </c>
      <c r="F295" s="25">
        <v>3</v>
      </c>
      <c r="G295" s="25" t="s">
        <v>91</v>
      </c>
      <c r="H295" s="25">
        <v>260</v>
      </c>
      <c r="I295" s="25">
        <v>220</v>
      </c>
      <c r="J295" s="25">
        <v>780</v>
      </c>
      <c r="K295" s="25">
        <v>660</v>
      </c>
      <c r="L295" s="25">
        <v>120</v>
      </c>
      <c r="M295" s="27">
        <v>18.181818181818201</v>
      </c>
      <c r="N295" s="25" t="s">
        <v>57</v>
      </c>
      <c r="O295" s="25" t="s">
        <v>28</v>
      </c>
      <c r="P295" s="25" t="s">
        <v>32</v>
      </c>
    </row>
    <row r="296" spans="1:16" x14ac:dyDescent="0.3">
      <c r="A296" s="25">
        <v>295</v>
      </c>
      <c r="B296" s="26">
        <v>45373</v>
      </c>
      <c r="C296" s="25" t="s">
        <v>56</v>
      </c>
      <c r="D296" s="25" t="s">
        <v>22</v>
      </c>
      <c r="E296" s="25" t="s">
        <v>103</v>
      </c>
      <c r="F296" s="25">
        <v>2</v>
      </c>
      <c r="G296" s="25" t="s">
        <v>102</v>
      </c>
      <c r="H296" s="25">
        <v>30</v>
      </c>
      <c r="I296" s="25">
        <v>20</v>
      </c>
      <c r="J296" s="25">
        <v>60</v>
      </c>
      <c r="K296" s="25">
        <v>40</v>
      </c>
      <c r="L296" s="25">
        <v>20</v>
      </c>
      <c r="M296" s="27">
        <v>50</v>
      </c>
      <c r="N296" s="25" t="s">
        <v>57</v>
      </c>
      <c r="O296" s="25" t="s">
        <v>28</v>
      </c>
      <c r="P296" s="25" t="s">
        <v>32</v>
      </c>
    </row>
    <row r="297" spans="1:16" x14ac:dyDescent="0.3">
      <c r="A297" s="25">
        <v>296</v>
      </c>
      <c r="B297" s="26">
        <v>45373</v>
      </c>
      <c r="C297" s="25" t="s">
        <v>56</v>
      </c>
      <c r="D297" s="25" t="s">
        <v>22</v>
      </c>
      <c r="E297" s="25" t="s">
        <v>101</v>
      </c>
      <c r="F297" s="25">
        <v>12</v>
      </c>
      <c r="G297" s="25" t="s">
        <v>102</v>
      </c>
      <c r="H297" s="25">
        <v>6</v>
      </c>
      <c r="I297" s="25">
        <v>4</v>
      </c>
      <c r="J297" s="25">
        <v>72</v>
      </c>
      <c r="K297" s="25">
        <v>48</v>
      </c>
      <c r="L297" s="25">
        <v>24</v>
      </c>
      <c r="M297" s="27">
        <v>50</v>
      </c>
      <c r="N297" s="25" t="s">
        <v>57</v>
      </c>
      <c r="O297" s="25" t="s">
        <v>28</v>
      </c>
      <c r="P297" s="25" t="s">
        <v>32</v>
      </c>
    </row>
    <row r="298" spans="1:16" x14ac:dyDescent="0.3">
      <c r="A298" s="25">
        <v>297</v>
      </c>
      <c r="B298" s="26">
        <v>45373</v>
      </c>
      <c r="C298" s="25" t="s">
        <v>56</v>
      </c>
      <c r="D298" s="25" t="s">
        <v>21</v>
      </c>
      <c r="E298" s="25" t="s">
        <v>88</v>
      </c>
      <c r="F298" s="25">
        <v>2</v>
      </c>
      <c r="G298" s="25" t="s">
        <v>89</v>
      </c>
      <c r="H298" s="25">
        <v>130</v>
      </c>
      <c r="I298" s="25">
        <v>100</v>
      </c>
      <c r="J298" s="25">
        <v>260</v>
      </c>
      <c r="K298" s="25">
        <v>200</v>
      </c>
      <c r="L298" s="25">
        <v>60</v>
      </c>
      <c r="M298" s="27">
        <v>30</v>
      </c>
      <c r="N298" s="25" t="s">
        <v>57</v>
      </c>
      <c r="O298" s="25" t="s">
        <v>27</v>
      </c>
      <c r="P298" s="25" t="s">
        <v>32</v>
      </c>
    </row>
    <row r="299" spans="1:16" x14ac:dyDescent="0.3">
      <c r="A299" s="25">
        <v>298</v>
      </c>
      <c r="B299" s="26">
        <v>45373</v>
      </c>
      <c r="C299" s="25" t="s">
        <v>56</v>
      </c>
      <c r="D299" s="25" t="s">
        <v>21</v>
      </c>
      <c r="E299" s="25" t="s">
        <v>95</v>
      </c>
      <c r="F299" s="25">
        <v>4</v>
      </c>
      <c r="G299" s="25" t="s">
        <v>89</v>
      </c>
      <c r="H299" s="25">
        <v>150</v>
      </c>
      <c r="I299" s="25">
        <v>100</v>
      </c>
      <c r="J299" s="25">
        <v>600</v>
      </c>
      <c r="K299" s="25">
        <v>400</v>
      </c>
      <c r="L299" s="25">
        <v>200</v>
      </c>
      <c r="M299" s="27">
        <v>50</v>
      </c>
      <c r="N299" s="25" t="s">
        <v>57</v>
      </c>
      <c r="O299" s="25" t="s">
        <v>28</v>
      </c>
      <c r="P299" s="25" t="s">
        <v>32</v>
      </c>
    </row>
    <row r="300" spans="1:16" x14ac:dyDescent="0.3">
      <c r="A300" s="25">
        <v>299</v>
      </c>
      <c r="B300" s="26">
        <v>45373</v>
      </c>
      <c r="C300" s="25" t="s">
        <v>56</v>
      </c>
      <c r="D300" s="25" t="s">
        <v>21</v>
      </c>
      <c r="E300" s="25" t="s">
        <v>94</v>
      </c>
      <c r="F300" s="25">
        <v>12</v>
      </c>
      <c r="G300" s="25" t="s">
        <v>89</v>
      </c>
      <c r="H300" s="25">
        <v>30</v>
      </c>
      <c r="I300" s="25">
        <v>26</v>
      </c>
      <c r="J300" s="25">
        <v>360</v>
      </c>
      <c r="K300" s="25">
        <v>312</v>
      </c>
      <c r="L300" s="25">
        <v>48</v>
      </c>
      <c r="M300" s="27">
        <v>15.384615384615399</v>
      </c>
      <c r="N300" s="25" t="s">
        <v>57</v>
      </c>
      <c r="O300" s="25" t="s">
        <v>27</v>
      </c>
      <c r="P300" s="25" t="s">
        <v>32</v>
      </c>
    </row>
    <row r="301" spans="1:16" x14ac:dyDescent="0.3">
      <c r="A301" s="25">
        <v>300</v>
      </c>
      <c r="B301" s="26">
        <v>45373</v>
      </c>
      <c r="C301" s="25" t="s">
        <v>56</v>
      </c>
      <c r="D301" s="25" t="s">
        <v>21</v>
      </c>
      <c r="E301" s="25" t="s">
        <v>88</v>
      </c>
      <c r="F301" s="25">
        <v>2</v>
      </c>
      <c r="G301" s="25" t="s">
        <v>89</v>
      </c>
      <c r="H301" s="25">
        <v>130</v>
      </c>
      <c r="I301" s="25">
        <v>100</v>
      </c>
      <c r="J301" s="25">
        <v>260</v>
      </c>
      <c r="K301" s="25">
        <v>200</v>
      </c>
      <c r="L301" s="25">
        <v>60</v>
      </c>
      <c r="M301" s="27">
        <v>30</v>
      </c>
      <c r="N301" s="25" t="s">
        <v>57</v>
      </c>
      <c r="O301" s="25" t="s">
        <v>27</v>
      </c>
      <c r="P301" s="25" t="s">
        <v>32</v>
      </c>
    </row>
    <row r="302" spans="1:16" x14ac:dyDescent="0.3">
      <c r="A302" s="25">
        <v>301</v>
      </c>
      <c r="B302" s="26">
        <v>45373</v>
      </c>
      <c r="C302" s="25" t="s">
        <v>56</v>
      </c>
      <c r="D302" s="25" t="s">
        <v>22</v>
      </c>
      <c r="E302" s="25" t="s">
        <v>90</v>
      </c>
      <c r="F302" s="25">
        <v>3.5</v>
      </c>
      <c r="G302" s="25" t="s">
        <v>91</v>
      </c>
      <c r="H302" s="25">
        <v>280</v>
      </c>
      <c r="I302" s="25">
        <v>240</v>
      </c>
      <c r="J302" s="25">
        <v>980</v>
      </c>
      <c r="K302" s="25">
        <v>840</v>
      </c>
      <c r="L302" s="25">
        <v>140</v>
      </c>
      <c r="M302" s="27">
        <v>16.6666666666667</v>
      </c>
      <c r="N302" s="25" t="s">
        <v>57</v>
      </c>
      <c r="O302" s="25" t="s">
        <v>28</v>
      </c>
      <c r="P302" s="25" t="s">
        <v>32</v>
      </c>
    </row>
    <row r="303" spans="1:16" x14ac:dyDescent="0.3">
      <c r="A303" s="25">
        <v>302</v>
      </c>
      <c r="B303" s="26">
        <v>45374</v>
      </c>
      <c r="C303" s="25" t="s">
        <v>56</v>
      </c>
      <c r="D303" s="25" t="s">
        <v>22</v>
      </c>
      <c r="E303" s="25" t="s">
        <v>92</v>
      </c>
      <c r="F303" s="25">
        <v>3</v>
      </c>
      <c r="G303" s="25" t="s">
        <v>91</v>
      </c>
      <c r="H303" s="25">
        <v>260</v>
      </c>
      <c r="I303" s="25">
        <v>220</v>
      </c>
      <c r="J303" s="25">
        <v>780</v>
      </c>
      <c r="K303" s="25">
        <v>660</v>
      </c>
      <c r="L303" s="25">
        <v>120</v>
      </c>
      <c r="M303" s="27">
        <v>18.181818181818201</v>
      </c>
      <c r="N303" s="25" t="s">
        <v>57</v>
      </c>
      <c r="O303" s="25" t="s">
        <v>28</v>
      </c>
      <c r="P303" s="25" t="s">
        <v>32</v>
      </c>
    </row>
    <row r="304" spans="1:16" x14ac:dyDescent="0.3">
      <c r="A304" s="25">
        <v>303</v>
      </c>
      <c r="B304" s="26">
        <v>45374</v>
      </c>
      <c r="C304" s="25" t="s">
        <v>56</v>
      </c>
      <c r="D304" s="25" t="s">
        <v>21</v>
      </c>
      <c r="E304" s="25" t="s">
        <v>88</v>
      </c>
      <c r="F304" s="25">
        <v>3</v>
      </c>
      <c r="G304" s="25" t="s">
        <v>89</v>
      </c>
      <c r="H304" s="25">
        <v>130</v>
      </c>
      <c r="I304" s="25">
        <v>100</v>
      </c>
      <c r="J304" s="25">
        <v>390</v>
      </c>
      <c r="K304" s="25">
        <v>300</v>
      </c>
      <c r="L304" s="25">
        <v>90</v>
      </c>
      <c r="M304" s="27">
        <v>30</v>
      </c>
      <c r="N304" s="25" t="s">
        <v>57</v>
      </c>
      <c r="O304" s="25" t="s">
        <v>27</v>
      </c>
      <c r="P304" s="25" t="s">
        <v>32</v>
      </c>
    </row>
    <row r="305" spans="1:16" x14ac:dyDescent="0.3">
      <c r="A305" s="25">
        <v>304</v>
      </c>
      <c r="B305" s="26">
        <v>45374</v>
      </c>
      <c r="C305" s="25" t="s">
        <v>56</v>
      </c>
      <c r="D305" s="25" t="s">
        <v>21</v>
      </c>
      <c r="E305" s="25" t="s">
        <v>95</v>
      </c>
      <c r="F305" s="25">
        <v>4</v>
      </c>
      <c r="G305" s="25" t="s">
        <v>89</v>
      </c>
      <c r="H305" s="25">
        <v>150</v>
      </c>
      <c r="I305" s="25">
        <v>100</v>
      </c>
      <c r="J305" s="25">
        <v>600</v>
      </c>
      <c r="K305" s="25">
        <v>400</v>
      </c>
      <c r="L305" s="25">
        <v>200</v>
      </c>
      <c r="M305" s="27">
        <v>50</v>
      </c>
      <c r="N305" s="25" t="s">
        <v>57</v>
      </c>
      <c r="O305" s="25" t="s">
        <v>28</v>
      </c>
      <c r="P305" s="25" t="s">
        <v>32</v>
      </c>
    </row>
    <row r="306" spans="1:16" x14ac:dyDescent="0.3">
      <c r="A306" s="25">
        <v>305</v>
      </c>
      <c r="B306" s="26">
        <v>45374</v>
      </c>
      <c r="C306" s="25" t="s">
        <v>56</v>
      </c>
      <c r="D306" s="25" t="s">
        <v>21</v>
      </c>
      <c r="E306" s="25" t="s">
        <v>94</v>
      </c>
      <c r="F306" s="25">
        <v>12</v>
      </c>
      <c r="G306" s="25" t="s">
        <v>89</v>
      </c>
      <c r="H306" s="25">
        <v>30</v>
      </c>
      <c r="I306" s="25">
        <v>26</v>
      </c>
      <c r="J306" s="25">
        <v>360</v>
      </c>
      <c r="K306" s="25">
        <v>312</v>
      </c>
      <c r="L306" s="25">
        <v>48</v>
      </c>
      <c r="M306" s="27">
        <v>15.384615384615399</v>
      </c>
      <c r="N306" s="25" t="s">
        <v>57</v>
      </c>
      <c r="O306" s="25" t="s">
        <v>27</v>
      </c>
      <c r="P306" s="25" t="s">
        <v>32</v>
      </c>
    </row>
    <row r="307" spans="1:16" x14ac:dyDescent="0.3">
      <c r="A307" s="25">
        <v>306</v>
      </c>
      <c r="B307" s="26">
        <v>45374</v>
      </c>
      <c r="C307" s="25" t="s">
        <v>56</v>
      </c>
      <c r="D307" s="25" t="s">
        <v>21</v>
      </c>
      <c r="E307" s="25" t="s">
        <v>95</v>
      </c>
      <c r="F307" s="25">
        <v>3</v>
      </c>
      <c r="G307" s="25" t="s">
        <v>89</v>
      </c>
      <c r="H307" s="25">
        <v>150</v>
      </c>
      <c r="I307" s="25">
        <v>100</v>
      </c>
      <c r="J307" s="25">
        <v>450</v>
      </c>
      <c r="K307" s="25">
        <v>300</v>
      </c>
      <c r="L307" s="25">
        <v>150</v>
      </c>
      <c r="M307" s="27">
        <v>50</v>
      </c>
      <c r="N307" s="25" t="s">
        <v>57</v>
      </c>
      <c r="O307" s="25" t="s">
        <v>28</v>
      </c>
      <c r="P307" s="25" t="s">
        <v>32</v>
      </c>
    </row>
    <row r="308" spans="1:16" x14ac:dyDescent="0.3">
      <c r="A308" s="25">
        <v>307</v>
      </c>
      <c r="B308" s="26">
        <v>45374</v>
      </c>
      <c r="C308" s="25" t="s">
        <v>56</v>
      </c>
      <c r="D308" s="25" t="s">
        <v>22</v>
      </c>
      <c r="E308" s="25" t="s">
        <v>96</v>
      </c>
      <c r="F308" s="25">
        <v>2</v>
      </c>
      <c r="G308" s="25" t="s">
        <v>97</v>
      </c>
      <c r="H308" s="25">
        <v>300</v>
      </c>
      <c r="I308" s="25">
        <v>265</v>
      </c>
      <c r="J308" s="25">
        <v>600</v>
      </c>
      <c r="K308" s="25">
        <v>530</v>
      </c>
      <c r="L308" s="25">
        <v>70</v>
      </c>
      <c r="M308" s="27">
        <v>13.207547169811299</v>
      </c>
      <c r="N308" s="25" t="s">
        <v>57</v>
      </c>
      <c r="O308" s="25" t="s">
        <v>28</v>
      </c>
      <c r="P308" s="25" t="s">
        <v>32</v>
      </c>
    </row>
    <row r="309" spans="1:16" x14ac:dyDescent="0.3">
      <c r="A309" s="25">
        <v>308</v>
      </c>
      <c r="B309" s="26">
        <v>45374</v>
      </c>
      <c r="C309" s="25" t="s">
        <v>56</v>
      </c>
      <c r="D309" s="25" t="s">
        <v>21</v>
      </c>
      <c r="E309" s="25" t="s">
        <v>88</v>
      </c>
      <c r="F309" s="25">
        <v>4</v>
      </c>
      <c r="G309" s="25" t="s">
        <v>89</v>
      </c>
      <c r="H309" s="25">
        <v>130</v>
      </c>
      <c r="I309" s="25">
        <v>100</v>
      </c>
      <c r="J309" s="25">
        <v>520</v>
      </c>
      <c r="K309" s="25">
        <v>400</v>
      </c>
      <c r="L309" s="25">
        <v>120</v>
      </c>
      <c r="M309" s="27">
        <v>30</v>
      </c>
      <c r="N309" s="25" t="s">
        <v>57</v>
      </c>
      <c r="O309" s="25" t="s">
        <v>27</v>
      </c>
      <c r="P309" s="25" t="s">
        <v>32</v>
      </c>
    </row>
    <row r="310" spans="1:16" x14ac:dyDescent="0.3">
      <c r="A310" s="25">
        <v>309</v>
      </c>
      <c r="B310" s="26">
        <v>45374</v>
      </c>
      <c r="C310" s="25" t="s">
        <v>56</v>
      </c>
      <c r="D310" s="25" t="s">
        <v>21</v>
      </c>
      <c r="E310" s="25" t="s">
        <v>88</v>
      </c>
      <c r="F310" s="25">
        <v>4</v>
      </c>
      <c r="G310" s="25" t="s">
        <v>89</v>
      </c>
      <c r="H310" s="25">
        <v>130</v>
      </c>
      <c r="I310" s="25">
        <v>100</v>
      </c>
      <c r="J310" s="25">
        <v>520</v>
      </c>
      <c r="K310" s="25">
        <v>400</v>
      </c>
      <c r="L310" s="25">
        <v>120</v>
      </c>
      <c r="M310" s="27">
        <v>30</v>
      </c>
      <c r="N310" s="25" t="s">
        <v>57</v>
      </c>
      <c r="O310" s="25" t="s">
        <v>27</v>
      </c>
      <c r="P310" s="25" t="s">
        <v>32</v>
      </c>
    </row>
    <row r="311" spans="1:16" x14ac:dyDescent="0.3">
      <c r="A311" s="25">
        <v>310</v>
      </c>
      <c r="B311" s="26">
        <v>45374</v>
      </c>
      <c r="C311" s="25" t="s">
        <v>56</v>
      </c>
      <c r="D311" s="25" t="s">
        <v>22</v>
      </c>
      <c r="E311" s="25" t="s">
        <v>90</v>
      </c>
      <c r="F311" s="25">
        <v>2</v>
      </c>
      <c r="G311" s="25" t="s">
        <v>91</v>
      </c>
      <c r="H311" s="25">
        <v>280</v>
      </c>
      <c r="I311" s="25">
        <v>240</v>
      </c>
      <c r="J311" s="25">
        <v>560</v>
      </c>
      <c r="K311" s="25">
        <v>480</v>
      </c>
      <c r="L311" s="25">
        <v>80</v>
      </c>
      <c r="M311" s="27">
        <v>16.6666666666667</v>
      </c>
      <c r="N311" s="25" t="s">
        <v>57</v>
      </c>
      <c r="O311" s="25" t="s">
        <v>28</v>
      </c>
      <c r="P311" s="25" t="s">
        <v>32</v>
      </c>
    </row>
    <row r="312" spans="1:16" x14ac:dyDescent="0.3">
      <c r="A312" s="25">
        <v>311</v>
      </c>
      <c r="B312" s="26">
        <v>45374</v>
      </c>
      <c r="C312" s="25" t="s">
        <v>56</v>
      </c>
      <c r="D312" s="25" t="s">
        <v>22</v>
      </c>
      <c r="E312" s="25" t="s">
        <v>90</v>
      </c>
      <c r="F312" s="25">
        <v>2.5</v>
      </c>
      <c r="G312" s="25" t="s">
        <v>91</v>
      </c>
      <c r="H312" s="25">
        <v>280</v>
      </c>
      <c r="I312" s="25">
        <v>240</v>
      </c>
      <c r="J312" s="25">
        <v>700</v>
      </c>
      <c r="K312" s="25">
        <v>600</v>
      </c>
      <c r="L312" s="25">
        <v>100</v>
      </c>
      <c r="M312" s="27">
        <v>16.6666666666667</v>
      </c>
      <c r="N312" s="25" t="s">
        <v>57</v>
      </c>
      <c r="O312" s="25" t="s">
        <v>28</v>
      </c>
      <c r="P312" s="25" t="s">
        <v>32</v>
      </c>
    </row>
    <row r="313" spans="1:16" x14ac:dyDescent="0.3">
      <c r="A313" s="25">
        <v>312</v>
      </c>
      <c r="B313" s="26">
        <v>45374</v>
      </c>
      <c r="C313" s="25" t="s">
        <v>56</v>
      </c>
      <c r="D313" s="25" t="s">
        <v>22</v>
      </c>
      <c r="E313" s="25" t="s">
        <v>103</v>
      </c>
      <c r="F313" s="25">
        <v>2</v>
      </c>
      <c r="G313" s="25" t="s">
        <v>102</v>
      </c>
      <c r="H313" s="25">
        <v>30</v>
      </c>
      <c r="I313" s="25">
        <v>20</v>
      </c>
      <c r="J313" s="25">
        <v>60</v>
      </c>
      <c r="K313" s="25">
        <v>40</v>
      </c>
      <c r="L313" s="25">
        <v>20</v>
      </c>
      <c r="M313" s="27">
        <v>50</v>
      </c>
      <c r="N313" s="25" t="s">
        <v>57</v>
      </c>
      <c r="O313" s="25" t="s">
        <v>28</v>
      </c>
      <c r="P313" s="25" t="s">
        <v>32</v>
      </c>
    </row>
    <row r="314" spans="1:16" x14ac:dyDescent="0.3">
      <c r="A314" s="25">
        <v>313</v>
      </c>
      <c r="B314" s="26">
        <v>45374</v>
      </c>
      <c r="C314" s="25" t="s">
        <v>56</v>
      </c>
      <c r="D314" s="25" t="s">
        <v>22</v>
      </c>
      <c r="E314" s="25" t="s">
        <v>101</v>
      </c>
      <c r="F314" s="25">
        <v>12</v>
      </c>
      <c r="G314" s="25" t="s">
        <v>102</v>
      </c>
      <c r="H314" s="25">
        <v>6</v>
      </c>
      <c r="I314" s="25">
        <v>4</v>
      </c>
      <c r="J314" s="25">
        <v>72</v>
      </c>
      <c r="K314" s="25">
        <v>48</v>
      </c>
      <c r="L314" s="25">
        <v>24</v>
      </c>
      <c r="M314" s="27">
        <v>50</v>
      </c>
      <c r="N314" s="25" t="s">
        <v>57</v>
      </c>
      <c r="O314" s="25" t="s">
        <v>28</v>
      </c>
      <c r="P314" s="25" t="s">
        <v>32</v>
      </c>
    </row>
    <row r="315" spans="1:16" x14ac:dyDescent="0.3">
      <c r="A315" s="25">
        <v>314</v>
      </c>
      <c r="B315" s="26">
        <v>45374</v>
      </c>
      <c r="C315" s="25" t="s">
        <v>56</v>
      </c>
      <c r="D315" s="25" t="s">
        <v>21</v>
      </c>
      <c r="E315" s="25" t="s">
        <v>88</v>
      </c>
      <c r="F315" s="25">
        <v>3</v>
      </c>
      <c r="G315" s="25" t="s">
        <v>89</v>
      </c>
      <c r="H315" s="25">
        <v>130</v>
      </c>
      <c r="I315" s="25">
        <v>100</v>
      </c>
      <c r="J315" s="25">
        <v>390</v>
      </c>
      <c r="K315" s="25">
        <v>300</v>
      </c>
      <c r="L315" s="25">
        <v>90</v>
      </c>
      <c r="M315" s="27">
        <v>30</v>
      </c>
      <c r="N315" s="25" t="s">
        <v>57</v>
      </c>
      <c r="O315" s="25" t="s">
        <v>27</v>
      </c>
      <c r="P315" s="25" t="s">
        <v>32</v>
      </c>
    </row>
    <row r="316" spans="1:16" x14ac:dyDescent="0.3">
      <c r="A316" s="25">
        <v>315</v>
      </c>
      <c r="B316" s="26">
        <v>45374</v>
      </c>
      <c r="C316" s="25" t="s">
        <v>56</v>
      </c>
      <c r="D316" s="25" t="s">
        <v>21</v>
      </c>
      <c r="E316" s="25" t="s">
        <v>88</v>
      </c>
      <c r="F316" s="25">
        <v>4</v>
      </c>
      <c r="G316" s="25" t="s">
        <v>89</v>
      </c>
      <c r="H316" s="25">
        <v>130</v>
      </c>
      <c r="I316" s="25">
        <v>100</v>
      </c>
      <c r="J316" s="25">
        <v>520</v>
      </c>
      <c r="K316" s="25">
        <v>400</v>
      </c>
      <c r="L316" s="25">
        <v>120</v>
      </c>
      <c r="M316" s="27">
        <v>30</v>
      </c>
      <c r="N316" s="25" t="s">
        <v>57</v>
      </c>
      <c r="O316" s="25" t="s">
        <v>27</v>
      </c>
      <c r="P316" s="25" t="s">
        <v>32</v>
      </c>
    </row>
    <row r="317" spans="1:16" x14ac:dyDescent="0.3">
      <c r="A317" s="25">
        <v>316</v>
      </c>
      <c r="B317" s="26">
        <v>45374</v>
      </c>
      <c r="C317" s="25" t="s">
        <v>56</v>
      </c>
      <c r="D317" s="25" t="s">
        <v>21</v>
      </c>
      <c r="E317" s="25" t="s">
        <v>88</v>
      </c>
      <c r="F317" s="25">
        <v>6</v>
      </c>
      <c r="G317" s="25" t="s">
        <v>89</v>
      </c>
      <c r="H317" s="25">
        <v>130</v>
      </c>
      <c r="I317" s="25">
        <v>100</v>
      </c>
      <c r="J317" s="25">
        <v>780</v>
      </c>
      <c r="K317" s="25">
        <v>600</v>
      </c>
      <c r="L317" s="25">
        <v>180</v>
      </c>
      <c r="M317" s="27">
        <v>30</v>
      </c>
      <c r="N317" s="25" t="s">
        <v>57</v>
      </c>
      <c r="O317" s="25" t="s">
        <v>27</v>
      </c>
      <c r="P317" s="25" t="s">
        <v>32</v>
      </c>
    </row>
    <row r="318" spans="1:16" x14ac:dyDescent="0.3">
      <c r="A318" s="25">
        <v>317</v>
      </c>
      <c r="B318" s="26">
        <v>45374</v>
      </c>
      <c r="C318" s="25" t="s">
        <v>56</v>
      </c>
      <c r="D318" s="25" t="s">
        <v>22</v>
      </c>
      <c r="E318" s="25" t="s">
        <v>90</v>
      </c>
      <c r="F318" s="25">
        <v>2.5</v>
      </c>
      <c r="G318" s="25" t="s">
        <v>91</v>
      </c>
      <c r="H318" s="25">
        <v>280</v>
      </c>
      <c r="I318" s="25">
        <v>240</v>
      </c>
      <c r="J318" s="25">
        <v>700</v>
      </c>
      <c r="K318" s="25">
        <v>600</v>
      </c>
      <c r="L318" s="25">
        <v>100</v>
      </c>
      <c r="M318" s="27">
        <v>16.6666666666667</v>
      </c>
      <c r="N318" s="25" t="s">
        <v>57</v>
      </c>
      <c r="O318" s="25" t="s">
        <v>28</v>
      </c>
      <c r="P318" s="25" t="s">
        <v>33</v>
      </c>
    </row>
    <row r="319" spans="1:16" x14ac:dyDescent="0.3">
      <c r="A319" s="25">
        <v>318</v>
      </c>
      <c r="B319" s="26">
        <v>45374</v>
      </c>
      <c r="C319" s="25" t="s">
        <v>56</v>
      </c>
      <c r="D319" s="25" t="s">
        <v>22</v>
      </c>
      <c r="E319" s="25" t="s">
        <v>92</v>
      </c>
      <c r="F319" s="25">
        <v>1.5</v>
      </c>
      <c r="G319" s="25" t="s">
        <v>91</v>
      </c>
      <c r="H319" s="25">
        <v>260</v>
      </c>
      <c r="I319" s="25">
        <v>220</v>
      </c>
      <c r="J319" s="25">
        <v>390</v>
      </c>
      <c r="K319" s="25">
        <v>330</v>
      </c>
      <c r="L319" s="25">
        <v>60</v>
      </c>
      <c r="M319" s="27">
        <v>18.181818181818201</v>
      </c>
      <c r="N319" s="25" t="s">
        <v>57</v>
      </c>
      <c r="O319" s="25" t="s">
        <v>28</v>
      </c>
      <c r="P319" s="25" t="s">
        <v>32</v>
      </c>
    </row>
    <row r="320" spans="1:16" x14ac:dyDescent="0.3">
      <c r="A320" s="25">
        <v>319</v>
      </c>
      <c r="B320" s="26">
        <v>45375</v>
      </c>
      <c r="C320" s="25" t="s">
        <v>56</v>
      </c>
      <c r="D320" s="25" t="s">
        <v>22</v>
      </c>
      <c r="E320" s="25" t="s">
        <v>92</v>
      </c>
      <c r="F320" s="25">
        <v>1</v>
      </c>
      <c r="G320" s="25" t="s">
        <v>91</v>
      </c>
      <c r="H320" s="25">
        <v>260</v>
      </c>
      <c r="I320" s="25">
        <v>220</v>
      </c>
      <c r="J320" s="25">
        <v>260</v>
      </c>
      <c r="K320" s="25">
        <v>220</v>
      </c>
      <c r="L320" s="25">
        <v>40</v>
      </c>
      <c r="M320" s="27">
        <v>18.181818181818201</v>
      </c>
      <c r="N320" s="25" t="s">
        <v>57</v>
      </c>
      <c r="O320" s="25" t="s">
        <v>28</v>
      </c>
      <c r="P320" s="25" t="s">
        <v>32</v>
      </c>
    </row>
    <row r="321" spans="1:16" x14ac:dyDescent="0.3">
      <c r="A321" s="25">
        <v>320</v>
      </c>
      <c r="B321" s="26">
        <v>45375</v>
      </c>
      <c r="C321" s="25" t="s">
        <v>56</v>
      </c>
      <c r="D321" s="25" t="s">
        <v>21</v>
      </c>
      <c r="E321" s="25" t="s">
        <v>88</v>
      </c>
      <c r="F321" s="25">
        <v>5</v>
      </c>
      <c r="G321" s="25" t="s">
        <v>89</v>
      </c>
      <c r="H321" s="25">
        <v>130</v>
      </c>
      <c r="I321" s="25">
        <v>100</v>
      </c>
      <c r="J321" s="25">
        <v>650</v>
      </c>
      <c r="K321" s="25">
        <v>500</v>
      </c>
      <c r="L321" s="25">
        <v>150</v>
      </c>
      <c r="M321" s="27">
        <v>30</v>
      </c>
      <c r="N321" s="25" t="s">
        <v>57</v>
      </c>
      <c r="O321" s="25" t="s">
        <v>27</v>
      </c>
      <c r="P321" s="25" t="s">
        <v>32</v>
      </c>
    </row>
    <row r="322" spans="1:16" x14ac:dyDescent="0.3">
      <c r="A322" s="25">
        <v>321</v>
      </c>
      <c r="B322" s="26">
        <v>45375</v>
      </c>
      <c r="C322" s="25" t="s">
        <v>56</v>
      </c>
      <c r="D322" s="25" t="s">
        <v>22</v>
      </c>
      <c r="E322" s="25" t="s">
        <v>96</v>
      </c>
      <c r="F322" s="25">
        <v>1</v>
      </c>
      <c r="G322" s="25" t="s">
        <v>97</v>
      </c>
      <c r="H322" s="25">
        <v>300</v>
      </c>
      <c r="I322" s="25">
        <v>265</v>
      </c>
      <c r="J322" s="25">
        <v>300</v>
      </c>
      <c r="K322" s="25">
        <v>265</v>
      </c>
      <c r="L322" s="25">
        <v>35</v>
      </c>
      <c r="M322" s="27">
        <v>13.207547169811299</v>
      </c>
      <c r="N322" s="25" t="s">
        <v>57</v>
      </c>
      <c r="O322" s="25" t="s">
        <v>28</v>
      </c>
      <c r="P322" s="25" t="s">
        <v>32</v>
      </c>
    </row>
    <row r="323" spans="1:16" x14ac:dyDescent="0.3">
      <c r="A323" s="25">
        <v>322</v>
      </c>
      <c r="B323" s="26">
        <v>45375</v>
      </c>
      <c r="C323" s="25" t="s">
        <v>56</v>
      </c>
      <c r="D323" s="25" t="s">
        <v>22</v>
      </c>
      <c r="E323" s="25" t="s">
        <v>96</v>
      </c>
      <c r="F323" s="25">
        <v>1</v>
      </c>
      <c r="G323" s="25" t="s">
        <v>97</v>
      </c>
      <c r="H323" s="25">
        <v>300</v>
      </c>
      <c r="I323" s="25">
        <v>265</v>
      </c>
      <c r="J323" s="25">
        <v>300</v>
      </c>
      <c r="K323" s="25">
        <v>265</v>
      </c>
      <c r="L323" s="25">
        <v>35</v>
      </c>
      <c r="M323" s="27">
        <v>13.207547169811299</v>
      </c>
      <c r="N323" s="25" t="s">
        <v>57</v>
      </c>
      <c r="O323" s="25" t="s">
        <v>28</v>
      </c>
      <c r="P323" s="25" t="s">
        <v>32</v>
      </c>
    </row>
    <row r="324" spans="1:16" x14ac:dyDescent="0.3">
      <c r="A324" s="25">
        <v>323</v>
      </c>
      <c r="B324" s="26">
        <v>45375</v>
      </c>
      <c r="C324" s="25" t="s">
        <v>56</v>
      </c>
      <c r="D324" s="25" t="s">
        <v>21</v>
      </c>
      <c r="E324" s="25" t="s">
        <v>88</v>
      </c>
      <c r="F324" s="25">
        <v>6</v>
      </c>
      <c r="G324" s="25" t="s">
        <v>89</v>
      </c>
      <c r="H324" s="25">
        <v>130</v>
      </c>
      <c r="I324" s="25">
        <v>100</v>
      </c>
      <c r="J324" s="25">
        <v>780</v>
      </c>
      <c r="K324" s="25">
        <v>600</v>
      </c>
      <c r="L324" s="25">
        <v>180</v>
      </c>
      <c r="M324" s="27">
        <v>30</v>
      </c>
      <c r="N324" s="25" t="s">
        <v>57</v>
      </c>
      <c r="O324" s="25" t="s">
        <v>27</v>
      </c>
      <c r="P324" s="25" t="s">
        <v>32</v>
      </c>
    </row>
    <row r="325" spans="1:16" x14ac:dyDescent="0.3">
      <c r="A325" s="25">
        <v>324</v>
      </c>
      <c r="B325" s="26">
        <v>45375</v>
      </c>
      <c r="C325" s="25" t="s">
        <v>56</v>
      </c>
      <c r="D325" s="25" t="s">
        <v>22</v>
      </c>
      <c r="E325" s="25" t="s">
        <v>90</v>
      </c>
      <c r="F325" s="25">
        <v>2</v>
      </c>
      <c r="G325" s="25" t="s">
        <v>91</v>
      </c>
      <c r="H325" s="25">
        <v>280</v>
      </c>
      <c r="I325" s="25">
        <v>240</v>
      </c>
      <c r="J325" s="25">
        <v>560</v>
      </c>
      <c r="K325" s="25">
        <v>480</v>
      </c>
      <c r="L325" s="25">
        <v>80</v>
      </c>
      <c r="M325" s="27">
        <v>16.6666666666667</v>
      </c>
      <c r="N325" s="25" t="s">
        <v>57</v>
      </c>
      <c r="O325" s="25" t="s">
        <v>28</v>
      </c>
      <c r="P325" s="25" t="s">
        <v>32</v>
      </c>
    </row>
    <row r="326" spans="1:16" x14ac:dyDescent="0.3">
      <c r="A326" s="25">
        <v>325</v>
      </c>
      <c r="B326" s="26">
        <v>45375</v>
      </c>
      <c r="C326" s="25" t="s">
        <v>56</v>
      </c>
      <c r="D326" s="25" t="s">
        <v>22</v>
      </c>
      <c r="E326" s="25" t="s">
        <v>90</v>
      </c>
      <c r="F326" s="25">
        <v>2</v>
      </c>
      <c r="G326" s="25" t="s">
        <v>91</v>
      </c>
      <c r="H326" s="25">
        <v>280</v>
      </c>
      <c r="I326" s="25">
        <v>240</v>
      </c>
      <c r="J326" s="25">
        <v>560</v>
      </c>
      <c r="K326" s="25">
        <v>480</v>
      </c>
      <c r="L326" s="25">
        <v>80</v>
      </c>
      <c r="M326" s="27">
        <v>16.6666666666667</v>
      </c>
      <c r="N326" s="25" t="s">
        <v>57</v>
      </c>
      <c r="O326" s="25" t="s">
        <v>28</v>
      </c>
      <c r="P326" s="25" t="s">
        <v>32</v>
      </c>
    </row>
    <row r="327" spans="1:16" x14ac:dyDescent="0.3">
      <c r="A327" s="25">
        <v>326</v>
      </c>
      <c r="B327" s="26">
        <v>45375</v>
      </c>
      <c r="C327" s="25" t="s">
        <v>56</v>
      </c>
      <c r="D327" s="25" t="s">
        <v>22</v>
      </c>
      <c r="E327" s="25" t="s">
        <v>90</v>
      </c>
      <c r="F327" s="25">
        <v>3</v>
      </c>
      <c r="G327" s="25" t="s">
        <v>91</v>
      </c>
      <c r="H327" s="25">
        <v>280</v>
      </c>
      <c r="I327" s="25">
        <v>240</v>
      </c>
      <c r="J327" s="25">
        <v>840</v>
      </c>
      <c r="K327" s="25">
        <v>720</v>
      </c>
      <c r="L327" s="25">
        <v>120</v>
      </c>
      <c r="M327" s="27">
        <v>16.6666666666667</v>
      </c>
      <c r="N327" s="25" t="s">
        <v>57</v>
      </c>
      <c r="O327" s="25" t="s">
        <v>28</v>
      </c>
      <c r="P327" s="25" t="s">
        <v>32</v>
      </c>
    </row>
    <row r="328" spans="1:16" x14ac:dyDescent="0.3">
      <c r="A328" s="25">
        <v>327</v>
      </c>
      <c r="B328" s="26">
        <v>45377</v>
      </c>
      <c r="C328" s="25" t="s">
        <v>56</v>
      </c>
      <c r="D328" s="25" t="s">
        <v>21</v>
      </c>
      <c r="E328" s="25" t="s">
        <v>88</v>
      </c>
      <c r="F328" s="25">
        <v>1</v>
      </c>
      <c r="G328" s="25" t="s">
        <v>89</v>
      </c>
      <c r="H328" s="25">
        <v>130</v>
      </c>
      <c r="I328" s="25">
        <v>100</v>
      </c>
      <c r="J328" s="25">
        <v>130</v>
      </c>
      <c r="K328" s="25">
        <v>100</v>
      </c>
      <c r="L328" s="25">
        <v>30</v>
      </c>
      <c r="M328" s="27">
        <v>30</v>
      </c>
      <c r="N328" s="25" t="s">
        <v>57</v>
      </c>
      <c r="O328" s="25" t="s">
        <v>27</v>
      </c>
      <c r="P328" s="25" t="s">
        <v>32</v>
      </c>
    </row>
    <row r="329" spans="1:16" x14ac:dyDescent="0.3">
      <c r="A329" s="25">
        <v>328</v>
      </c>
      <c r="B329" s="26">
        <v>45377</v>
      </c>
      <c r="C329" s="25" t="s">
        <v>56</v>
      </c>
      <c r="D329" s="25" t="s">
        <v>21</v>
      </c>
      <c r="E329" s="25" t="s">
        <v>88</v>
      </c>
      <c r="F329" s="25">
        <v>4</v>
      </c>
      <c r="G329" s="25" t="s">
        <v>89</v>
      </c>
      <c r="H329" s="25">
        <v>130</v>
      </c>
      <c r="I329" s="25">
        <v>100</v>
      </c>
      <c r="J329" s="25">
        <v>520</v>
      </c>
      <c r="K329" s="25">
        <v>400</v>
      </c>
      <c r="L329" s="25">
        <v>120</v>
      </c>
      <c r="M329" s="27">
        <v>30</v>
      </c>
      <c r="N329" s="25" t="s">
        <v>57</v>
      </c>
      <c r="O329" s="25" t="s">
        <v>27</v>
      </c>
      <c r="P329" s="25" t="s">
        <v>32</v>
      </c>
    </row>
    <row r="330" spans="1:16" x14ac:dyDescent="0.3">
      <c r="A330" s="25">
        <v>329</v>
      </c>
      <c r="B330" s="26">
        <v>45377</v>
      </c>
      <c r="C330" s="25" t="s">
        <v>56</v>
      </c>
      <c r="D330" s="25" t="s">
        <v>22</v>
      </c>
      <c r="E330" s="25" t="s">
        <v>96</v>
      </c>
      <c r="F330" s="25">
        <v>1</v>
      </c>
      <c r="G330" s="25" t="s">
        <v>97</v>
      </c>
      <c r="H330" s="25">
        <v>300</v>
      </c>
      <c r="I330" s="25">
        <v>265</v>
      </c>
      <c r="J330" s="25">
        <v>300</v>
      </c>
      <c r="K330" s="25">
        <v>265</v>
      </c>
      <c r="L330" s="25">
        <v>35</v>
      </c>
      <c r="M330" s="27">
        <v>13.207547169811299</v>
      </c>
      <c r="N330" s="25" t="s">
        <v>57</v>
      </c>
      <c r="O330" s="25" t="s">
        <v>28</v>
      </c>
      <c r="P330" s="25" t="s">
        <v>32</v>
      </c>
    </row>
    <row r="331" spans="1:16" x14ac:dyDescent="0.3">
      <c r="A331" s="25">
        <v>330</v>
      </c>
      <c r="B331" s="26">
        <v>45377</v>
      </c>
      <c r="C331" s="25" t="s">
        <v>56</v>
      </c>
      <c r="D331" s="25" t="s">
        <v>22</v>
      </c>
      <c r="E331" s="25" t="s">
        <v>90</v>
      </c>
      <c r="F331" s="25">
        <v>2</v>
      </c>
      <c r="G331" s="25" t="s">
        <v>91</v>
      </c>
      <c r="H331" s="25">
        <v>280</v>
      </c>
      <c r="I331" s="25">
        <v>240</v>
      </c>
      <c r="J331" s="25">
        <v>560</v>
      </c>
      <c r="K331" s="25">
        <v>480</v>
      </c>
      <c r="L331" s="25">
        <v>80</v>
      </c>
      <c r="M331" s="27">
        <v>16.6666666666667</v>
      </c>
      <c r="N331" s="25" t="s">
        <v>57</v>
      </c>
      <c r="O331" s="25" t="s">
        <v>28</v>
      </c>
      <c r="P331" s="25" t="s">
        <v>32</v>
      </c>
    </row>
    <row r="332" spans="1:16" x14ac:dyDescent="0.3">
      <c r="A332" s="25">
        <v>331</v>
      </c>
      <c r="B332" s="26">
        <v>45377</v>
      </c>
      <c r="C332" s="25" t="s">
        <v>56</v>
      </c>
      <c r="D332" s="25" t="s">
        <v>22</v>
      </c>
      <c r="E332" s="25" t="s">
        <v>90</v>
      </c>
      <c r="F332" s="25">
        <v>1.5</v>
      </c>
      <c r="G332" s="25" t="s">
        <v>91</v>
      </c>
      <c r="H332" s="25">
        <v>280</v>
      </c>
      <c r="I332" s="25">
        <v>240</v>
      </c>
      <c r="J332" s="25">
        <v>420</v>
      </c>
      <c r="K332" s="25">
        <v>360</v>
      </c>
      <c r="L332" s="25">
        <v>60</v>
      </c>
      <c r="M332" s="27">
        <v>16.6666666666667</v>
      </c>
      <c r="N332" s="25" t="s">
        <v>57</v>
      </c>
      <c r="O332" s="25" t="s">
        <v>28</v>
      </c>
      <c r="P332" s="25" t="s">
        <v>32</v>
      </c>
    </row>
    <row r="333" spans="1:16" x14ac:dyDescent="0.3">
      <c r="A333" s="25">
        <v>332</v>
      </c>
      <c r="B333" s="26">
        <v>45377</v>
      </c>
      <c r="C333" s="25" t="s">
        <v>56</v>
      </c>
      <c r="D333" s="25" t="s">
        <v>22</v>
      </c>
      <c r="E333" s="25" t="s">
        <v>99</v>
      </c>
      <c r="F333" s="25">
        <v>2</v>
      </c>
      <c r="G333" s="25" t="s">
        <v>100</v>
      </c>
      <c r="H333" s="25">
        <v>200</v>
      </c>
      <c r="I333" s="25">
        <v>160</v>
      </c>
      <c r="J333" s="25">
        <v>400</v>
      </c>
      <c r="K333" s="25">
        <v>320</v>
      </c>
      <c r="L333" s="25">
        <v>80</v>
      </c>
      <c r="M333" s="27">
        <v>25</v>
      </c>
      <c r="N333" s="25" t="s">
        <v>57</v>
      </c>
      <c r="O333" s="25" t="s">
        <v>28</v>
      </c>
      <c r="P333" s="25" t="s">
        <v>32</v>
      </c>
    </row>
    <row r="334" spans="1:16" x14ac:dyDescent="0.3">
      <c r="A334" s="25">
        <v>333</v>
      </c>
      <c r="B334" s="26">
        <v>45378</v>
      </c>
      <c r="C334" s="25" t="s">
        <v>56</v>
      </c>
      <c r="D334" s="25" t="s">
        <v>22</v>
      </c>
      <c r="E334" s="25" t="s">
        <v>92</v>
      </c>
      <c r="F334" s="25">
        <v>3</v>
      </c>
      <c r="G334" s="25" t="s">
        <v>91</v>
      </c>
      <c r="H334" s="25">
        <v>260</v>
      </c>
      <c r="I334" s="25">
        <v>220</v>
      </c>
      <c r="J334" s="25">
        <v>780</v>
      </c>
      <c r="K334" s="25">
        <v>660</v>
      </c>
      <c r="L334" s="25">
        <v>120</v>
      </c>
      <c r="M334" s="27">
        <v>18.181818181818201</v>
      </c>
      <c r="N334" s="25" t="s">
        <v>57</v>
      </c>
      <c r="O334" s="25" t="s">
        <v>28</v>
      </c>
      <c r="P334" s="25" t="s">
        <v>32</v>
      </c>
    </row>
    <row r="335" spans="1:16" x14ac:dyDescent="0.3">
      <c r="A335" s="25">
        <v>334</v>
      </c>
      <c r="B335" s="26">
        <v>45378</v>
      </c>
      <c r="C335" s="25" t="s">
        <v>56</v>
      </c>
      <c r="D335" s="25" t="s">
        <v>22</v>
      </c>
      <c r="E335" s="25" t="s">
        <v>92</v>
      </c>
      <c r="F335" s="25">
        <v>2.5</v>
      </c>
      <c r="G335" s="25" t="s">
        <v>91</v>
      </c>
      <c r="H335" s="25">
        <v>260</v>
      </c>
      <c r="I335" s="25">
        <v>220</v>
      </c>
      <c r="J335" s="25">
        <v>650</v>
      </c>
      <c r="K335" s="25">
        <v>550</v>
      </c>
      <c r="L335" s="25">
        <v>100</v>
      </c>
      <c r="M335" s="27">
        <v>18.181818181818201</v>
      </c>
      <c r="N335" s="25" t="s">
        <v>57</v>
      </c>
      <c r="O335" s="25" t="s">
        <v>28</v>
      </c>
      <c r="P335" s="25" t="s">
        <v>32</v>
      </c>
    </row>
    <row r="336" spans="1:16" x14ac:dyDescent="0.3">
      <c r="A336" s="25">
        <v>335</v>
      </c>
      <c r="B336" s="26">
        <v>45378</v>
      </c>
      <c r="C336" s="25" t="s">
        <v>56</v>
      </c>
      <c r="D336" s="25" t="s">
        <v>21</v>
      </c>
      <c r="E336" s="25" t="s">
        <v>88</v>
      </c>
      <c r="F336" s="25">
        <v>4</v>
      </c>
      <c r="G336" s="25" t="s">
        <v>89</v>
      </c>
      <c r="H336" s="25">
        <v>130</v>
      </c>
      <c r="I336" s="25">
        <v>100</v>
      </c>
      <c r="J336" s="25">
        <v>520</v>
      </c>
      <c r="K336" s="25">
        <v>400</v>
      </c>
      <c r="L336" s="25">
        <v>120</v>
      </c>
      <c r="M336" s="27">
        <v>30</v>
      </c>
      <c r="N336" s="25" t="s">
        <v>57</v>
      </c>
      <c r="O336" s="25" t="s">
        <v>27</v>
      </c>
      <c r="P336" s="25" t="s">
        <v>32</v>
      </c>
    </row>
    <row r="337" spans="1:16" x14ac:dyDescent="0.3">
      <c r="A337" s="25">
        <v>336</v>
      </c>
      <c r="B337" s="26">
        <v>45378</v>
      </c>
      <c r="C337" s="25" t="s">
        <v>56</v>
      </c>
      <c r="D337" s="25" t="s">
        <v>22</v>
      </c>
      <c r="E337" s="25" t="s">
        <v>90</v>
      </c>
      <c r="F337" s="25">
        <v>2</v>
      </c>
      <c r="G337" s="25" t="s">
        <v>91</v>
      </c>
      <c r="H337" s="25">
        <v>280</v>
      </c>
      <c r="I337" s="25">
        <v>240</v>
      </c>
      <c r="J337" s="25">
        <v>560</v>
      </c>
      <c r="K337" s="25">
        <v>480</v>
      </c>
      <c r="L337" s="25">
        <v>80</v>
      </c>
      <c r="M337" s="27">
        <v>16.6666666666667</v>
      </c>
      <c r="N337" s="25" t="s">
        <v>57</v>
      </c>
      <c r="O337" s="25" t="s">
        <v>28</v>
      </c>
      <c r="P337" s="25" t="s">
        <v>32</v>
      </c>
    </row>
    <row r="338" spans="1:16" x14ac:dyDescent="0.3">
      <c r="A338" s="25">
        <v>337</v>
      </c>
      <c r="B338" s="26">
        <v>45378</v>
      </c>
      <c r="C338" s="25" t="s">
        <v>56</v>
      </c>
      <c r="D338" s="25" t="s">
        <v>22</v>
      </c>
      <c r="E338" s="25" t="s">
        <v>99</v>
      </c>
      <c r="F338" s="25">
        <v>2</v>
      </c>
      <c r="G338" s="25" t="s">
        <v>100</v>
      </c>
      <c r="H338" s="25">
        <v>200</v>
      </c>
      <c r="I338" s="25">
        <v>160</v>
      </c>
      <c r="J338" s="25">
        <v>400</v>
      </c>
      <c r="K338" s="25">
        <v>320</v>
      </c>
      <c r="L338" s="25">
        <v>80</v>
      </c>
      <c r="M338" s="27">
        <v>25</v>
      </c>
      <c r="N338" s="25" t="s">
        <v>57</v>
      </c>
      <c r="O338" s="25" t="s">
        <v>28</v>
      </c>
      <c r="P338" s="25" t="s">
        <v>32</v>
      </c>
    </row>
    <row r="339" spans="1:16" x14ac:dyDescent="0.3">
      <c r="A339" s="25">
        <v>338</v>
      </c>
      <c r="B339" s="26">
        <v>45379</v>
      </c>
      <c r="C339" s="25" t="s">
        <v>56</v>
      </c>
      <c r="D339" s="25" t="s">
        <v>21</v>
      </c>
      <c r="E339" s="25" t="s">
        <v>88</v>
      </c>
      <c r="F339" s="25">
        <v>4</v>
      </c>
      <c r="G339" s="25" t="s">
        <v>89</v>
      </c>
      <c r="H339" s="25">
        <v>130</v>
      </c>
      <c r="I339" s="25">
        <v>100</v>
      </c>
      <c r="J339" s="25">
        <v>520</v>
      </c>
      <c r="K339" s="25">
        <v>400</v>
      </c>
      <c r="L339" s="25">
        <v>120</v>
      </c>
      <c r="M339" s="27">
        <v>30</v>
      </c>
      <c r="N339" s="25" t="s">
        <v>57</v>
      </c>
      <c r="O339" s="25" t="s">
        <v>27</v>
      </c>
      <c r="P339" s="25" t="s">
        <v>32</v>
      </c>
    </row>
    <row r="340" spans="1:16" x14ac:dyDescent="0.3">
      <c r="A340" s="25">
        <v>339</v>
      </c>
      <c r="B340" s="26">
        <v>45379</v>
      </c>
      <c r="C340" s="25" t="s">
        <v>56</v>
      </c>
      <c r="D340" s="25" t="s">
        <v>21</v>
      </c>
      <c r="E340" s="25" t="s">
        <v>95</v>
      </c>
      <c r="F340" s="25">
        <v>4</v>
      </c>
      <c r="G340" s="25" t="s">
        <v>89</v>
      </c>
      <c r="H340" s="25">
        <v>150</v>
      </c>
      <c r="I340" s="25">
        <v>100</v>
      </c>
      <c r="J340" s="25">
        <v>600</v>
      </c>
      <c r="K340" s="25">
        <v>400</v>
      </c>
      <c r="L340" s="25">
        <v>200</v>
      </c>
      <c r="M340" s="27">
        <v>50</v>
      </c>
      <c r="N340" s="25" t="s">
        <v>57</v>
      </c>
      <c r="O340" s="25" t="s">
        <v>28</v>
      </c>
      <c r="P340" s="25" t="s">
        <v>32</v>
      </c>
    </row>
    <row r="341" spans="1:16" x14ac:dyDescent="0.3">
      <c r="A341" s="25">
        <v>340</v>
      </c>
      <c r="B341" s="26">
        <v>45379</v>
      </c>
      <c r="C341" s="25" t="s">
        <v>56</v>
      </c>
      <c r="D341" s="25" t="s">
        <v>22</v>
      </c>
      <c r="E341" s="25" t="s">
        <v>90</v>
      </c>
      <c r="F341" s="25">
        <v>3.5</v>
      </c>
      <c r="G341" s="25" t="s">
        <v>91</v>
      </c>
      <c r="H341" s="25">
        <v>280</v>
      </c>
      <c r="I341" s="25">
        <v>240</v>
      </c>
      <c r="J341" s="25">
        <v>980</v>
      </c>
      <c r="K341" s="25">
        <v>840</v>
      </c>
      <c r="L341" s="25">
        <v>140</v>
      </c>
      <c r="M341" s="27">
        <v>16.6666666666667</v>
      </c>
      <c r="N341" s="25" t="s">
        <v>57</v>
      </c>
      <c r="O341" s="25" t="s">
        <v>28</v>
      </c>
      <c r="P341" s="25" t="s">
        <v>32</v>
      </c>
    </row>
    <row r="342" spans="1:16" x14ac:dyDescent="0.3">
      <c r="A342" s="25">
        <v>341</v>
      </c>
      <c r="B342" s="26">
        <v>45379</v>
      </c>
      <c r="C342" s="25" t="s">
        <v>56</v>
      </c>
      <c r="D342" s="25" t="s">
        <v>22</v>
      </c>
      <c r="E342" s="25" t="s">
        <v>92</v>
      </c>
      <c r="F342" s="25">
        <v>2.5</v>
      </c>
      <c r="G342" s="25" t="s">
        <v>91</v>
      </c>
      <c r="H342" s="25">
        <v>260</v>
      </c>
      <c r="I342" s="25">
        <v>220</v>
      </c>
      <c r="J342" s="25">
        <v>650</v>
      </c>
      <c r="K342" s="25">
        <v>550</v>
      </c>
      <c r="L342" s="25">
        <v>100</v>
      </c>
      <c r="M342" s="27">
        <v>18.181818181818201</v>
      </c>
      <c r="N342" s="25" t="s">
        <v>57</v>
      </c>
      <c r="O342" s="25" t="s">
        <v>28</v>
      </c>
      <c r="P342" s="25" t="s">
        <v>32</v>
      </c>
    </row>
    <row r="343" spans="1:16" x14ac:dyDescent="0.3">
      <c r="A343" s="25">
        <v>342</v>
      </c>
      <c r="B343" s="26">
        <v>45379</v>
      </c>
      <c r="C343" s="25" t="s">
        <v>56</v>
      </c>
      <c r="D343" s="25" t="s">
        <v>22</v>
      </c>
      <c r="E343" s="25" t="s">
        <v>103</v>
      </c>
      <c r="F343" s="25">
        <v>2</v>
      </c>
      <c r="G343" s="25" t="s">
        <v>102</v>
      </c>
      <c r="H343" s="25">
        <v>30</v>
      </c>
      <c r="I343" s="25">
        <v>20</v>
      </c>
      <c r="J343" s="25">
        <v>60</v>
      </c>
      <c r="K343" s="25">
        <v>40</v>
      </c>
      <c r="L343" s="25">
        <v>20</v>
      </c>
      <c r="M343" s="27">
        <v>50</v>
      </c>
      <c r="N343" s="25" t="s">
        <v>57</v>
      </c>
      <c r="O343" s="25" t="s">
        <v>28</v>
      </c>
      <c r="P343" s="25" t="s">
        <v>32</v>
      </c>
    </row>
    <row r="344" spans="1:16" x14ac:dyDescent="0.3">
      <c r="A344" s="25">
        <v>343</v>
      </c>
      <c r="B344" s="26">
        <v>45379</v>
      </c>
      <c r="C344" s="25" t="s">
        <v>56</v>
      </c>
      <c r="D344" s="25" t="s">
        <v>21</v>
      </c>
      <c r="E344" s="25" t="s">
        <v>88</v>
      </c>
      <c r="F344" s="25">
        <v>2</v>
      </c>
      <c r="G344" s="25" t="s">
        <v>89</v>
      </c>
      <c r="H344" s="25">
        <v>130</v>
      </c>
      <c r="I344" s="25">
        <v>100</v>
      </c>
      <c r="J344" s="25">
        <v>260</v>
      </c>
      <c r="K344" s="25">
        <v>200</v>
      </c>
      <c r="L344" s="25">
        <v>60</v>
      </c>
      <c r="M344" s="27">
        <v>30</v>
      </c>
      <c r="N344" s="25" t="s">
        <v>57</v>
      </c>
      <c r="O344" s="25" t="s">
        <v>27</v>
      </c>
      <c r="P344" s="25" t="s">
        <v>32</v>
      </c>
    </row>
    <row r="345" spans="1:16" x14ac:dyDescent="0.3">
      <c r="A345" s="25">
        <v>344</v>
      </c>
      <c r="B345" s="26">
        <v>45380</v>
      </c>
      <c r="C345" s="25" t="s">
        <v>56</v>
      </c>
      <c r="D345" s="25" t="s">
        <v>21</v>
      </c>
      <c r="E345" s="25" t="s">
        <v>88</v>
      </c>
      <c r="F345" s="25">
        <v>3</v>
      </c>
      <c r="G345" s="25" t="s">
        <v>89</v>
      </c>
      <c r="H345" s="25">
        <v>130</v>
      </c>
      <c r="I345" s="25">
        <v>100</v>
      </c>
      <c r="J345" s="25">
        <v>390</v>
      </c>
      <c r="K345" s="25">
        <v>300</v>
      </c>
      <c r="L345" s="25">
        <v>90</v>
      </c>
      <c r="M345" s="27">
        <v>30</v>
      </c>
      <c r="N345" s="25" t="s">
        <v>57</v>
      </c>
      <c r="O345" s="25" t="s">
        <v>27</v>
      </c>
      <c r="P345" s="25" t="s">
        <v>32</v>
      </c>
    </row>
    <row r="346" spans="1:16" x14ac:dyDescent="0.3">
      <c r="A346" s="25">
        <v>345</v>
      </c>
      <c r="B346" s="26">
        <v>45380</v>
      </c>
      <c r="C346" s="25" t="s">
        <v>56</v>
      </c>
      <c r="D346" s="25" t="s">
        <v>22</v>
      </c>
      <c r="E346" s="25" t="s">
        <v>96</v>
      </c>
      <c r="F346" s="25">
        <v>1</v>
      </c>
      <c r="G346" s="25" t="s">
        <v>97</v>
      </c>
      <c r="H346" s="25">
        <v>300</v>
      </c>
      <c r="I346" s="25">
        <v>265</v>
      </c>
      <c r="J346" s="25">
        <v>300</v>
      </c>
      <c r="K346" s="25">
        <v>265</v>
      </c>
      <c r="L346" s="25">
        <v>35</v>
      </c>
      <c r="M346" s="27">
        <v>13.207547169811299</v>
      </c>
      <c r="N346" s="25" t="s">
        <v>57</v>
      </c>
      <c r="O346" s="25" t="s">
        <v>28</v>
      </c>
      <c r="P346" s="25" t="s">
        <v>32</v>
      </c>
    </row>
    <row r="347" spans="1:16" x14ac:dyDescent="0.3">
      <c r="A347" s="25">
        <v>346</v>
      </c>
      <c r="B347" s="26">
        <v>45380</v>
      </c>
      <c r="C347" s="25" t="s">
        <v>56</v>
      </c>
      <c r="D347" s="25" t="s">
        <v>22</v>
      </c>
      <c r="E347" s="25" t="s">
        <v>90</v>
      </c>
      <c r="F347" s="25">
        <v>3.5</v>
      </c>
      <c r="G347" s="25" t="s">
        <v>91</v>
      </c>
      <c r="H347" s="25">
        <v>280</v>
      </c>
      <c r="I347" s="25">
        <v>240</v>
      </c>
      <c r="J347" s="25">
        <v>980</v>
      </c>
      <c r="K347" s="25">
        <v>840</v>
      </c>
      <c r="L347" s="25">
        <v>140</v>
      </c>
      <c r="M347" s="27">
        <v>16.6666666666667</v>
      </c>
      <c r="N347" s="25" t="s">
        <v>57</v>
      </c>
      <c r="O347" s="25" t="s">
        <v>28</v>
      </c>
      <c r="P347" s="25" t="s">
        <v>32</v>
      </c>
    </row>
    <row r="348" spans="1:16" x14ac:dyDescent="0.3">
      <c r="A348" s="25">
        <v>347</v>
      </c>
      <c r="B348" s="26">
        <v>45380</v>
      </c>
      <c r="C348" s="25" t="s">
        <v>56</v>
      </c>
      <c r="D348" s="25" t="s">
        <v>22</v>
      </c>
      <c r="E348" s="25" t="s">
        <v>90</v>
      </c>
      <c r="F348" s="25">
        <v>2.5</v>
      </c>
      <c r="G348" s="25" t="s">
        <v>91</v>
      </c>
      <c r="H348" s="25">
        <v>280</v>
      </c>
      <c r="I348" s="25">
        <v>240</v>
      </c>
      <c r="J348" s="25">
        <v>700</v>
      </c>
      <c r="K348" s="25">
        <v>600</v>
      </c>
      <c r="L348" s="25">
        <v>100</v>
      </c>
      <c r="M348" s="27">
        <v>16.6666666666667</v>
      </c>
      <c r="N348" s="25" t="s">
        <v>57</v>
      </c>
      <c r="O348" s="25" t="s">
        <v>28</v>
      </c>
      <c r="P348" s="25" t="s">
        <v>32</v>
      </c>
    </row>
    <row r="349" spans="1:16" x14ac:dyDescent="0.3">
      <c r="A349" s="25">
        <v>348</v>
      </c>
      <c r="B349" s="26">
        <v>45380</v>
      </c>
      <c r="C349" s="25" t="s">
        <v>56</v>
      </c>
      <c r="D349" s="25" t="s">
        <v>21</v>
      </c>
      <c r="E349" s="25" t="s">
        <v>94</v>
      </c>
      <c r="F349" s="25">
        <v>12</v>
      </c>
      <c r="G349" s="25" t="s">
        <v>89</v>
      </c>
      <c r="H349" s="25">
        <v>30</v>
      </c>
      <c r="I349" s="25">
        <v>26</v>
      </c>
      <c r="J349" s="25">
        <v>360</v>
      </c>
      <c r="K349" s="25">
        <v>312</v>
      </c>
      <c r="L349" s="25">
        <v>48</v>
      </c>
      <c r="M349" s="27">
        <v>15.384615384615399</v>
      </c>
      <c r="N349" s="25" t="s">
        <v>57</v>
      </c>
      <c r="O349" s="25" t="s">
        <v>27</v>
      </c>
      <c r="P349" s="25" t="s">
        <v>32</v>
      </c>
    </row>
    <row r="350" spans="1:16" x14ac:dyDescent="0.3">
      <c r="A350" s="25">
        <v>349</v>
      </c>
      <c r="B350" s="26">
        <v>45380</v>
      </c>
      <c r="C350" s="25" t="s">
        <v>56</v>
      </c>
      <c r="D350" s="25" t="s">
        <v>21</v>
      </c>
      <c r="E350" s="25" t="s">
        <v>88</v>
      </c>
      <c r="F350" s="25">
        <v>6</v>
      </c>
      <c r="G350" s="25" t="s">
        <v>89</v>
      </c>
      <c r="H350" s="25">
        <v>130</v>
      </c>
      <c r="I350" s="25">
        <v>100</v>
      </c>
      <c r="J350" s="25">
        <v>780</v>
      </c>
      <c r="K350" s="25">
        <v>600</v>
      </c>
      <c r="L350" s="25">
        <v>180</v>
      </c>
      <c r="M350" s="27">
        <v>30</v>
      </c>
      <c r="N350" s="25" t="s">
        <v>57</v>
      </c>
      <c r="O350" s="25" t="s">
        <v>27</v>
      </c>
      <c r="P350" s="25" t="s">
        <v>32</v>
      </c>
    </row>
    <row r="351" spans="1:16" x14ac:dyDescent="0.3">
      <c r="A351" s="25">
        <v>350</v>
      </c>
      <c r="B351" s="26">
        <v>45381</v>
      </c>
      <c r="C351" s="25" t="s">
        <v>56</v>
      </c>
      <c r="D351" s="25" t="s">
        <v>22</v>
      </c>
      <c r="E351" s="25" t="s">
        <v>90</v>
      </c>
      <c r="F351" s="25">
        <v>3</v>
      </c>
      <c r="G351" s="25" t="s">
        <v>91</v>
      </c>
      <c r="H351" s="25">
        <v>280</v>
      </c>
      <c r="I351" s="25">
        <v>240</v>
      </c>
      <c r="J351" s="25">
        <v>840</v>
      </c>
      <c r="K351" s="25">
        <v>720</v>
      </c>
      <c r="L351" s="25">
        <v>120</v>
      </c>
      <c r="M351" s="27">
        <v>16.6666666666667</v>
      </c>
      <c r="N351" s="25" t="s">
        <v>57</v>
      </c>
      <c r="O351" s="25" t="s">
        <v>28</v>
      </c>
      <c r="P351" s="25" t="s">
        <v>32</v>
      </c>
    </row>
    <row r="352" spans="1:16" x14ac:dyDescent="0.3">
      <c r="A352" s="25">
        <v>351</v>
      </c>
      <c r="B352" s="26">
        <v>45381</v>
      </c>
      <c r="C352" s="25" t="s">
        <v>56</v>
      </c>
      <c r="D352" s="25" t="s">
        <v>22</v>
      </c>
      <c r="E352" s="25" t="s">
        <v>90</v>
      </c>
      <c r="F352" s="25">
        <v>3.5</v>
      </c>
      <c r="G352" s="25" t="s">
        <v>91</v>
      </c>
      <c r="H352" s="25">
        <v>280</v>
      </c>
      <c r="I352" s="25">
        <v>240</v>
      </c>
      <c r="J352" s="25">
        <v>980</v>
      </c>
      <c r="K352" s="25">
        <v>840</v>
      </c>
      <c r="L352" s="25">
        <v>140</v>
      </c>
      <c r="M352" s="27">
        <v>16.6666666666667</v>
      </c>
      <c r="N352" s="25" t="s">
        <v>57</v>
      </c>
      <c r="O352" s="25" t="s">
        <v>28</v>
      </c>
      <c r="P352" s="25" t="s">
        <v>32</v>
      </c>
    </row>
    <row r="353" spans="1:16" x14ac:dyDescent="0.3">
      <c r="A353" s="25">
        <v>352</v>
      </c>
      <c r="B353" s="26">
        <v>45381</v>
      </c>
      <c r="C353" s="25" t="s">
        <v>56</v>
      </c>
      <c r="D353" s="25" t="s">
        <v>21</v>
      </c>
      <c r="E353" s="25" t="s">
        <v>88</v>
      </c>
      <c r="F353" s="25">
        <v>2</v>
      </c>
      <c r="G353" s="25" t="s">
        <v>89</v>
      </c>
      <c r="H353" s="25">
        <v>130</v>
      </c>
      <c r="I353" s="25">
        <v>100</v>
      </c>
      <c r="J353" s="25">
        <v>260</v>
      </c>
      <c r="K353" s="25">
        <v>200</v>
      </c>
      <c r="L353" s="25">
        <v>60</v>
      </c>
      <c r="M353" s="27">
        <v>30</v>
      </c>
      <c r="N353" s="25" t="s">
        <v>57</v>
      </c>
      <c r="O353" s="25" t="s">
        <v>27</v>
      </c>
      <c r="P353" s="25" t="s">
        <v>32</v>
      </c>
    </row>
    <row r="354" spans="1:16" x14ac:dyDescent="0.3">
      <c r="A354" s="25">
        <v>353</v>
      </c>
      <c r="B354" s="26">
        <v>45381</v>
      </c>
      <c r="C354" s="25" t="s">
        <v>56</v>
      </c>
      <c r="D354" s="25" t="s">
        <v>21</v>
      </c>
      <c r="E354" s="25" t="s">
        <v>88</v>
      </c>
      <c r="F354" s="25">
        <v>5</v>
      </c>
      <c r="G354" s="25" t="s">
        <v>89</v>
      </c>
      <c r="H354" s="25">
        <v>130</v>
      </c>
      <c r="I354" s="25">
        <v>100</v>
      </c>
      <c r="J354" s="25">
        <v>650</v>
      </c>
      <c r="K354" s="25">
        <v>500</v>
      </c>
      <c r="L354" s="25">
        <v>150</v>
      </c>
      <c r="M354" s="27">
        <v>30</v>
      </c>
      <c r="N354" s="25" t="s">
        <v>57</v>
      </c>
      <c r="O354" s="25" t="s">
        <v>27</v>
      </c>
      <c r="P354" s="25" t="s">
        <v>32</v>
      </c>
    </row>
    <row r="355" spans="1:16" x14ac:dyDescent="0.3">
      <c r="A355" s="25">
        <v>354</v>
      </c>
      <c r="B355" s="26">
        <v>45381</v>
      </c>
      <c r="C355" s="25" t="s">
        <v>56</v>
      </c>
      <c r="D355" s="25" t="s">
        <v>22</v>
      </c>
      <c r="E355" s="25" t="s">
        <v>92</v>
      </c>
      <c r="F355" s="25">
        <v>2</v>
      </c>
      <c r="G355" s="25" t="s">
        <v>91</v>
      </c>
      <c r="H355" s="25">
        <v>260</v>
      </c>
      <c r="I355" s="25">
        <v>220</v>
      </c>
      <c r="J355" s="25">
        <v>520</v>
      </c>
      <c r="K355" s="25">
        <v>440</v>
      </c>
      <c r="L355" s="25">
        <v>80</v>
      </c>
      <c r="M355" s="27">
        <v>18.181818181818201</v>
      </c>
      <c r="N355" s="25" t="s">
        <v>57</v>
      </c>
      <c r="O355" s="25" t="s">
        <v>28</v>
      </c>
      <c r="P355" s="25" t="s">
        <v>32</v>
      </c>
    </row>
    <row r="356" spans="1:16" x14ac:dyDescent="0.3">
      <c r="A356" s="25">
        <v>355</v>
      </c>
      <c r="B356" s="26">
        <v>45381</v>
      </c>
      <c r="C356" s="25" t="s">
        <v>56</v>
      </c>
      <c r="D356" s="25" t="s">
        <v>22</v>
      </c>
      <c r="E356" s="25" t="s">
        <v>90</v>
      </c>
      <c r="F356" s="25">
        <v>2.5</v>
      </c>
      <c r="G356" s="25" t="s">
        <v>91</v>
      </c>
      <c r="H356" s="25">
        <v>280</v>
      </c>
      <c r="I356" s="25">
        <v>240</v>
      </c>
      <c r="J356" s="25">
        <v>700</v>
      </c>
      <c r="K356" s="25">
        <v>600</v>
      </c>
      <c r="L356" s="25">
        <v>100</v>
      </c>
      <c r="M356" s="27">
        <v>16.6666666666667</v>
      </c>
      <c r="N356" s="25" t="s">
        <v>57</v>
      </c>
      <c r="O356" s="25" t="s">
        <v>28</v>
      </c>
      <c r="P356" s="25" t="s">
        <v>32</v>
      </c>
    </row>
    <row r="357" spans="1:16" x14ac:dyDescent="0.3">
      <c r="A357" s="25">
        <v>356</v>
      </c>
      <c r="B357" s="26">
        <v>45383</v>
      </c>
      <c r="C357" s="25" t="s">
        <v>58</v>
      </c>
      <c r="D357" s="25" t="s">
        <v>21</v>
      </c>
      <c r="E357" s="25" t="s">
        <v>88</v>
      </c>
      <c r="F357" s="25">
        <v>3</v>
      </c>
      <c r="G357" s="25" t="s">
        <v>89</v>
      </c>
      <c r="H357" s="25">
        <v>130</v>
      </c>
      <c r="I357" s="25">
        <v>100</v>
      </c>
      <c r="J357" s="25">
        <v>390</v>
      </c>
      <c r="K357" s="25">
        <v>300</v>
      </c>
      <c r="L357" s="25">
        <v>90</v>
      </c>
      <c r="M357" s="27">
        <v>30</v>
      </c>
      <c r="N357" s="25" t="s">
        <v>57</v>
      </c>
      <c r="O357" s="25" t="s">
        <v>27</v>
      </c>
      <c r="P357" s="25" t="s">
        <v>32</v>
      </c>
    </row>
    <row r="358" spans="1:16" x14ac:dyDescent="0.3">
      <c r="A358" s="25">
        <v>357</v>
      </c>
      <c r="B358" s="26">
        <v>45383</v>
      </c>
      <c r="C358" s="25" t="s">
        <v>58</v>
      </c>
      <c r="D358" s="25" t="s">
        <v>21</v>
      </c>
      <c r="E358" s="25" t="s">
        <v>88</v>
      </c>
      <c r="F358" s="25">
        <v>4</v>
      </c>
      <c r="G358" s="25" t="s">
        <v>89</v>
      </c>
      <c r="H358" s="25">
        <v>130</v>
      </c>
      <c r="I358" s="25">
        <v>100</v>
      </c>
      <c r="J358" s="25">
        <v>520</v>
      </c>
      <c r="K358" s="25">
        <v>400</v>
      </c>
      <c r="L358" s="25">
        <v>120</v>
      </c>
      <c r="M358" s="27">
        <v>30</v>
      </c>
      <c r="N358" s="25" t="s">
        <v>57</v>
      </c>
      <c r="O358" s="25" t="s">
        <v>27</v>
      </c>
      <c r="P358" s="25" t="s">
        <v>32</v>
      </c>
    </row>
    <row r="359" spans="1:16" x14ac:dyDescent="0.3">
      <c r="A359" s="25">
        <v>358</v>
      </c>
      <c r="B359" s="26">
        <v>45383</v>
      </c>
      <c r="C359" s="25" t="s">
        <v>58</v>
      </c>
      <c r="D359" s="25" t="s">
        <v>21</v>
      </c>
      <c r="E359" s="25" t="s">
        <v>94</v>
      </c>
      <c r="F359" s="25">
        <v>16</v>
      </c>
      <c r="G359" s="25" t="s">
        <v>89</v>
      </c>
      <c r="H359" s="25">
        <v>30</v>
      </c>
      <c r="I359" s="25">
        <v>26</v>
      </c>
      <c r="J359" s="25">
        <v>480</v>
      </c>
      <c r="K359" s="25">
        <v>416</v>
      </c>
      <c r="L359" s="25">
        <v>64</v>
      </c>
      <c r="M359" s="27">
        <v>15.384615384615399</v>
      </c>
      <c r="N359" s="25" t="s">
        <v>57</v>
      </c>
      <c r="O359" s="25" t="s">
        <v>27</v>
      </c>
      <c r="P359" s="25" t="s">
        <v>32</v>
      </c>
    </row>
    <row r="360" spans="1:16" x14ac:dyDescent="0.3">
      <c r="A360" s="25">
        <v>359</v>
      </c>
      <c r="B360" s="26">
        <v>45383</v>
      </c>
      <c r="C360" s="25" t="s">
        <v>58</v>
      </c>
      <c r="D360" s="25" t="s">
        <v>22</v>
      </c>
      <c r="E360" s="25" t="s">
        <v>92</v>
      </c>
      <c r="F360" s="25">
        <v>3.5</v>
      </c>
      <c r="G360" s="25" t="s">
        <v>91</v>
      </c>
      <c r="H360" s="25">
        <v>260</v>
      </c>
      <c r="I360" s="25">
        <v>220</v>
      </c>
      <c r="J360" s="25">
        <v>910</v>
      </c>
      <c r="K360" s="25">
        <v>770</v>
      </c>
      <c r="L360" s="25">
        <v>140</v>
      </c>
      <c r="M360" s="27">
        <v>18.181818181818201</v>
      </c>
      <c r="N360" s="25" t="s">
        <v>57</v>
      </c>
      <c r="O360" s="25" t="s">
        <v>28</v>
      </c>
      <c r="P360" s="25" t="s">
        <v>32</v>
      </c>
    </row>
    <row r="361" spans="1:16" x14ac:dyDescent="0.3">
      <c r="A361" s="25">
        <v>360</v>
      </c>
      <c r="B361" s="26">
        <v>45383</v>
      </c>
      <c r="C361" s="25" t="s">
        <v>58</v>
      </c>
      <c r="D361" s="25" t="s">
        <v>22</v>
      </c>
      <c r="E361" s="25" t="s">
        <v>103</v>
      </c>
      <c r="F361" s="25">
        <v>2</v>
      </c>
      <c r="G361" s="25" t="s">
        <v>102</v>
      </c>
      <c r="H361" s="25">
        <v>30</v>
      </c>
      <c r="I361" s="25">
        <v>20</v>
      </c>
      <c r="J361" s="25">
        <v>60</v>
      </c>
      <c r="K361" s="25">
        <v>40</v>
      </c>
      <c r="L361" s="25">
        <v>20</v>
      </c>
      <c r="M361" s="27">
        <v>50</v>
      </c>
      <c r="N361" s="25" t="s">
        <v>57</v>
      </c>
      <c r="O361" s="25" t="s">
        <v>28</v>
      </c>
      <c r="P361" s="25" t="s">
        <v>32</v>
      </c>
    </row>
    <row r="362" spans="1:16" x14ac:dyDescent="0.3">
      <c r="A362" s="25">
        <v>361</v>
      </c>
      <c r="B362" s="26">
        <v>45383</v>
      </c>
      <c r="C362" s="25" t="s">
        <v>58</v>
      </c>
      <c r="D362" s="25" t="s">
        <v>22</v>
      </c>
      <c r="E362" s="25" t="s">
        <v>92</v>
      </c>
      <c r="F362" s="25">
        <v>1</v>
      </c>
      <c r="G362" s="25" t="s">
        <v>91</v>
      </c>
      <c r="H362" s="25">
        <v>260</v>
      </c>
      <c r="I362" s="25">
        <v>220</v>
      </c>
      <c r="J362" s="25">
        <v>260</v>
      </c>
      <c r="K362" s="25">
        <v>220</v>
      </c>
      <c r="L362" s="25">
        <v>40</v>
      </c>
      <c r="M362" s="27">
        <v>18.181818181818201</v>
      </c>
      <c r="N362" s="25" t="s">
        <v>57</v>
      </c>
      <c r="O362" s="25" t="s">
        <v>28</v>
      </c>
      <c r="P362" s="25" t="s">
        <v>32</v>
      </c>
    </row>
    <row r="363" spans="1:16" x14ac:dyDescent="0.3">
      <c r="A363" s="25">
        <v>362</v>
      </c>
      <c r="B363" s="26">
        <v>45384</v>
      </c>
      <c r="C363" s="25" t="s">
        <v>58</v>
      </c>
      <c r="D363" s="25" t="s">
        <v>21</v>
      </c>
      <c r="E363" s="25" t="s">
        <v>88</v>
      </c>
      <c r="F363" s="25">
        <v>6</v>
      </c>
      <c r="G363" s="25" t="s">
        <v>89</v>
      </c>
      <c r="H363" s="25">
        <v>130</v>
      </c>
      <c r="I363" s="25">
        <v>100</v>
      </c>
      <c r="J363" s="25">
        <v>780</v>
      </c>
      <c r="K363" s="25">
        <v>600</v>
      </c>
      <c r="L363" s="25">
        <v>180</v>
      </c>
      <c r="M363" s="27">
        <v>30</v>
      </c>
      <c r="N363" s="25" t="s">
        <v>57</v>
      </c>
      <c r="O363" s="25" t="s">
        <v>27</v>
      </c>
      <c r="P363" s="25" t="s">
        <v>32</v>
      </c>
    </row>
    <row r="364" spans="1:16" x14ac:dyDescent="0.3">
      <c r="A364" s="25">
        <v>363</v>
      </c>
      <c r="B364" s="26">
        <v>45384</v>
      </c>
      <c r="C364" s="25" t="s">
        <v>58</v>
      </c>
      <c r="D364" s="25" t="s">
        <v>22</v>
      </c>
      <c r="E364" s="25" t="s">
        <v>96</v>
      </c>
      <c r="F364" s="25">
        <v>2</v>
      </c>
      <c r="G364" s="25" t="s">
        <v>97</v>
      </c>
      <c r="H364" s="25">
        <v>300</v>
      </c>
      <c r="I364" s="25">
        <v>265</v>
      </c>
      <c r="J364" s="25">
        <v>600</v>
      </c>
      <c r="K364" s="25">
        <v>530</v>
      </c>
      <c r="L364" s="25">
        <v>70</v>
      </c>
      <c r="M364" s="27">
        <v>13.207547169811299</v>
      </c>
      <c r="N364" s="25" t="s">
        <v>57</v>
      </c>
      <c r="O364" s="25" t="s">
        <v>28</v>
      </c>
      <c r="P364" s="25" t="s">
        <v>32</v>
      </c>
    </row>
    <row r="365" spans="1:16" x14ac:dyDescent="0.3">
      <c r="A365" s="25">
        <v>364</v>
      </c>
      <c r="B365" s="26">
        <v>45384</v>
      </c>
      <c r="C365" s="25" t="s">
        <v>58</v>
      </c>
      <c r="D365" s="25" t="s">
        <v>22</v>
      </c>
      <c r="E365" s="25" t="s">
        <v>96</v>
      </c>
      <c r="F365" s="25">
        <v>1</v>
      </c>
      <c r="G365" s="25" t="s">
        <v>97</v>
      </c>
      <c r="H365" s="25">
        <v>300</v>
      </c>
      <c r="I365" s="25">
        <v>265</v>
      </c>
      <c r="J365" s="25">
        <v>300</v>
      </c>
      <c r="K365" s="25">
        <v>265</v>
      </c>
      <c r="L365" s="25">
        <v>35</v>
      </c>
      <c r="M365" s="27">
        <v>13.207547169811299</v>
      </c>
      <c r="N365" s="25" t="s">
        <v>57</v>
      </c>
      <c r="O365" s="25" t="s">
        <v>28</v>
      </c>
      <c r="P365" s="25" t="s">
        <v>32</v>
      </c>
    </row>
    <row r="366" spans="1:16" x14ac:dyDescent="0.3">
      <c r="A366" s="25">
        <v>365</v>
      </c>
      <c r="B366" s="26">
        <v>45384</v>
      </c>
      <c r="C366" s="25" t="s">
        <v>58</v>
      </c>
      <c r="D366" s="25" t="s">
        <v>21</v>
      </c>
      <c r="E366" s="25" t="s">
        <v>88</v>
      </c>
      <c r="F366" s="25">
        <v>7</v>
      </c>
      <c r="G366" s="25" t="s">
        <v>89</v>
      </c>
      <c r="H366" s="25">
        <v>130</v>
      </c>
      <c r="I366" s="25">
        <v>100</v>
      </c>
      <c r="J366" s="25">
        <v>910</v>
      </c>
      <c r="K366" s="25">
        <v>700</v>
      </c>
      <c r="L366" s="25">
        <v>210</v>
      </c>
      <c r="M366" s="27">
        <v>30</v>
      </c>
      <c r="N366" s="25" t="s">
        <v>57</v>
      </c>
      <c r="O366" s="25" t="s">
        <v>27</v>
      </c>
      <c r="P366" s="25" t="s">
        <v>32</v>
      </c>
    </row>
    <row r="367" spans="1:16" x14ac:dyDescent="0.3">
      <c r="A367" s="25">
        <v>366</v>
      </c>
      <c r="B367" s="26">
        <v>45384</v>
      </c>
      <c r="C367" s="25" t="s">
        <v>58</v>
      </c>
      <c r="D367" s="25" t="s">
        <v>22</v>
      </c>
      <c r="E367" s="25" t="s">
        <v>90</v>
      </c>
      <c r="F367" s="25">
        <v>1.5</v>
      </c>
      <c r="G367" s="25" t="s">
        <v>91</v>
      </c>
      <c r="H367" s="25">
        <v>280</v>
      </c>
      <c r="I367" s="25">
        <v>240</v>
      </c>
      <c r="J367" s="25">
        <v>420</v>
      </c>
      <c r="K367" s="25">
        <v>360</v>
      </c>
      <c r="L367" s="25">
        <v>60</v>
      </c>
      <c r="M367" s="27">
        <v>16.6666666666667</v>
      </c>
      <c r="N367" s="25" t="s">
        <v>57</v>
      </c>
      <c r="O367" s="25" t="s">
        <v>28</v>
      </c>
      <c r="P367" s="25" t="s">
        <v>32</v>
      </c>
    </row>
    <row r="368" spans="1:16" x14ac:dyDescent="0.3">
      <c r="A368" s="25">
        <v>367</v>
      </c>
      <c r="B368" s="26">
        <v>45384</v>
      </c>
      <c r="C368" s="25" t="s">
        <v>58</v>
      </c>
      <c r="D368" s="25" t="s">
        <v>22</v>
      </c>
      <c r="E368" s="25" t="s">
        <v>90</v>
      </c>
      <c r="F368" s="25">
        <v>1</v>
      </c>
      <c r="G368" s="25" t="s">
        <v>91</v>
      </c>
      <c r="H368" s="25">
        <v>280</v>
      </c>
      <c r="I368" s="25">
        <v>240</v>
      </c>
      <c r="J368" s="25">
        <v>280</v>
      </c>
      <c r="K368" s="25">
        <v>240</v>
      </c>
      <c r="L368" s="25">
        <v>40</v>
      </c>
      <c r="M368" s="27">
        <v>16.6666666666667</v>
      </c>
      <c r="N368" s="25" t="s">
        <v>57</v>
      </c>
      <c r="O368" s="25" t="s">
        <v>28</v>
      </c>
      <c r="P368" s="25" t="s">
        <v>32</v>
      </c>
    </row>
    <row r="369" spans="1:16" x14ac:dyDescent="0.3">
      <c r="A369" s="25">
        <v>368</v>
      </c>
      <c r="B369" s="26">
        <v>45385</v>
      </c>
      <c r="C369" s="25" t="s">
        <v>58</v>
      </c>
      <c r="D369" s="25" t="s">
        <v>21</v>
      </c>
      <c r="E369" s="25" t="s">
        <v>88</v>
      </c>
      <c r="F369" s="25">
        <v>4</v>
      </c>
      <c r="G369" s="25" t="s">
        <v>89</v>
      </c>
      <c r="H369" s="25">
        <v>130</v>
      </c>
      <c r="I369" s="25">
        <v>100</v>
      </c>
      <c r="J369" s="25">
        <v>520</v>
      </c>
      <c r="K369" s="25">
        <v>400</v>
      </c>
      <c r="L369" s="25">
        <v>120</v>
      </c>
      <c r="M369" s="27">
        <v>30</v>
      </c>
      <c r="N369" s="25" t="s">
        <v>57</v>
      </c>
      <c r="O369" s="25" t="s">
        <v>27</v>
      </c>
      <c r="P369" s="25" t="s">
        <v>32</v>
      </c>
    </row>
    <row r="370" spans="1:16" x14ac:dyDescent="0.3">
      <c r="A370" s="25">
        <v>369</v>
      </c>
      <c r="B370" s="26">
        <v>45385</v>
      </c>
      <c r="C370" s="25" t="s">
        <v>58</v>
      </c>
      <c r="D370" s="25" t="s">
        <v>21</v>
      </c>
      <c r="E370" s="25" t="s">
        <v>88</v>
      </c>
      <c r="F370" s="25">
        <v>2</v>
      </c>
      <c r="G370" s="25" t="s">
        <v>89</v>
      </c>
      <c r="H370" s="25">
        <v>130</v>
      </c>
      <c r="I370" s="25">
        <v>100</v>
      </c>
      <c r="J370" s="25">
        <v>260</v>
      </c>
      <c r="K370" s="25">
        <v>200</v>
      </c>
      <c r="L370" s="25">
        <v>60</v>
      </c>
      <c r="M370" s="27">
        <v>30</v>
      </c>
      <c r="N370" s="25" t="s">
        <v>57</v>
      </c>
      <c r="O370" s="25" t="s">
        <v>27</v>
      </c>
      <c r="P370" s="25" t="s">
        <v>32</v>
      </c>
    </row>
    <row r="371" spans="1:16" x14ac:dyDescent="0.3">
      <c r="A371" s="25">
        <v>370</v>
      </c>
      <c r="B371" s="26">
        <v>45385</v>
      </c>
      <c r="C371" s="25" t="s">
        <v>58</v>
      </c>
      <c r="D371" s="25" t="s">
        <v>22</v>
      </c>
      <c r="E371" s="25" t="s">
        <v>92</v>
      </c>
      <c r="F371" s="25">
        <v>2</v>
      </c>
      <c r="G371" s="25" t="s">
        <v>91</v>
      </c>
      <c r="H371" s="25">
        <v>260</v>
      </c>
      <c r="I371" s="25">
        <v>220</v>
      </c>
      <c r="J371" s="25">
        <v>520</v>
      </c>
      <c r="K371" s="25">
        <v>440</v>
      </c>
      <c r="L371" s="25">
        <v>80</v>
      </c>
      <c r="M371" s="27">
        <v>18.181818181818201</v>
      </c>
      <c r="N371" s="25" t="s">
        <v>57</v>
      </c>
      <c r="O371" s="25" t="s">
        <v>28</v>
      </c>
      <c r="P371" s="25" t="s">
        <v>32</v>
      </c>
    </row>
    <row r="372" spans="1:16" x14ac:dyDescent="0.3">
      <c r="A372" s="25">
        <v>371</v>
      </c>
      <c r="B372" s="26">
        <v>45385</v>
      </c>
      <c r="C372" s="25" t="s">
        <v>58</v>
      </c>
      <c r="D372" s="25" t="s">
        <v>22</v>
      </c>
      <c r="E372" s="25" t="s">
        <v>90</v>
      </c>
      <c r="F372" s="25">
        <v>2</v>
      </c>
      <c r="G372" s="25" t="s">
        <v>91</v>
      </c>
      <c r="H372" s="25">
        <v>280</v>
      </c>
      <c r="I372" s="25">
        <v>240</v>
      </c>
      <c r="J372" s="25">
        <v>560</v>
      </c>
      <c r="K372" s="25">
        <v>480</v>
      </c>
      <c r="L372" s="25">
        <v>80</v>
      </c>
      <c r="M372" s="27">
        <v>16.6666666666667</v>
      </c>
      <c r="N372" s="25" t="s">
        <v>57</v>
      </c>
      <c r="O372" s="25" t="s">
        <v>28</v>
      </c>
      <c r="P372" s="25" t="s">
        <v>32</v>
      </c>
    </row>
    <row r="373" spans="1:16" x14ac:dyDescent="0.3">
      <c r="A373" s="25">
        <v>372</v>
      </c>
      <c r="B373" s="26">
        <v>45385</v>
      </c>
      <c r="C373" s="25" t="s">
        <v>58</v>
      </c>
      <c r="D373" s="25" t="s">
        <v>22</v>
      </c>
      <c r="E373" s="25" t="s">
        <v>103</v>
      </c>
      <c r="F373" s="25">
        <v>2</v>
      </c>
      <c r="G373" s="25" t="s">
        <v>102</v>
      </c>
      <c r="H373" s="25">
        <v>30</v>
      </c>
      <c r="I373" s="25">
        <v>20</v>
      </c>
      <c r="J373" s="25">
        <v>60</v>
      </c>
      <c r="K373" s="25">
        <v>40</v>
      </c>
      <c r="L373" s="25">
        <v>20</v>
      </c>
      <c r="M373" s="27">
        <v>50</v>
      </c>
      <c r="N373" s="25" t="s">
        <v>57</v>
      </c>
      <c r="O373" s="25" t="s">
        <v>28</v>
      </c>
      <c r="P373" s="25" t="s">
        <v>32</v>
      </c>
    </row>
    <row r="374" spans="1:16" x14ac:dyDescent="0.3">
      <c r="A374" s="25">
        <v>373</v>
      </c>
      <c r="B374" s="26">
        <v>45385</v>
      </c>
      <c r="C374" s="25" t="s">
        <v>58</v>
      </c>
      <c r="D374" s="25" t="s">
        <v>21</v>
      </c>
      <c r="E374" s="25" t="s">
        <v>88</v>
      </c>
      <c r="F374" s="25">
        <v>6</v>
      </c>
      <c r="G374" s="25" t="s">
        <v>89</v>
      </c>
      <c r="H374" s="25">
        <v>130</v>
      </c>
      <c r="I374" s="25">
        <v>100</v>
      </c>
      <c r="J374" s="25">
        <v>780</v>
      </c>
      <c r="K374" s="25">
        <v>600</v>
      </c>
      <c r="L374" s="25">
        <v>180</v>
      </c>
      <c r="M374" s="27">
        <v>30</v>
      </c>
      <c r="N374" s="25" t="s">
        <v>57</v>
      </c>
      <c r="O374" s="25" t="s">
        <v>27</v>
      </c>
      <c r="P374" s="25" t="s">
        <v>32</v>
      </c>
    </row>
    <row r="375" spans="1:16" x14ac:dyDescent="0.3">
      <c r="A375" s="25">
        <v>374</v>
      </c>
      <c r="B375" s="26">
        <v>45386</v>
      </c>
      <c r="C375" s="25" t="s">
        <v>58</v>
      </c>
      <c r="D375" s="25" t="s">
        <v>22</v>
      </c>
      <c r="E375" s="25" t="s">
        <v>96</v>
      </c>
      <c r="F375" s="25">
        <v>1</v>
      </c>
      <c r="G375" s="25" t="s">
        <v>97</v>
      </c>
      <c r="H375" s="25">
        <v>300</v>
      </c>
      <c r="I375" s="25">
        <v>265</v>
      </c>
      <c r="J375" s="25">
        <v>300</v>
      </c>
      <c r="K375" s="25">
        <v>265</v>
      </c>
      <c r="L375" s="25">
        <v>35</v>
      </c>
      <c r="M375" s="27">
        <v>13.207547169811299</v>
      </c>
      <c r="N375" s="25" t="s">
        <v>57</v>
      </c>
      <c r="O375" s="25" t="s">
        <v>28</v>
      </c>
      <c r="P375" s="25" t="s">
        <v>32</v>
      </c>
    </row>
    <row r="376" spans="1:16" x14ac:dyDescent="0.3">
      <c r="A376" s="25">
        <v>375</v>
      </c>
      <c r="B376" s="26">
        <v>45386</v>
      </c>
      <c r="C376" s="25" t="s">
        <v>58</v>
      </c>
      <c r="D376" s="25" t="s">
        <v>22</v>
      </c>
      <c r="E376" s="25" t="s">
        <v>90</v>
      </c>
      <c r="F376" s="25">
        <v>1</v>
      </c>
      <c r="G376" s="25" t="s">
        <v>91</v>
      </c>
      <c r="H376" s="25">
        <v>280</v>
      </c>
      <c r="I376" s="25">
        <v>240</v>
      </c>
      <c r="J376" s="25">
        <v>280</v>
      </c>
      <c r="K376" s="25">
        <v>240</v>
      </c>
      <c r="L376" s="25">
        <v>40</v>
      </c>
      <c r="M376" s="27">
        <v>16.6666666666667</v>
      </c>
      <c r="N376" s="25" t="s">
        <v>57</v>
      </c>
      <c r="O376" s="25" t="s">
        <v>28</v>
      </c>
      <c r="P376" s="25" t="s">
        <v>32</v>
      </c>
    </row>
    <row r="377" spans="1:16" x14ac:dyDescent="0.3">
      <c r="A377" s="25">
        <v>376</v>
      </c>
      <c r="B377" s="26">
        <v>45386</v>
      </c>
      <c r="C377" s="25" t="s">
        <v>58</v>
      </c>
      <c r="D377" s="25" t="s">
        <v>22</v>
      </c>
      <c r="E377" s="25" t="s">
        <v>90</v>
      </c>
      <c r="F377" s="25">
        <v>2.5</v>
      </c>
      <c r="G377" s="25" t="s">
        <v>91</v>
      </c>
      <c r="H377" s="25">
        <v>280</v>
      </c>
      <c r="I377" s="25">
        <v>240</v>
      </c>
      <c r="J377" s="25">
        <v>700</v>
      </c>
      <c r="K377" s="25">
        <v>600</v>
      </c>
      <c r="L377" s="25">
        <v>100</v>
      </c>
      <c r="M377" s="27">
        <v>16.6666666666667</v>
      </c>
      <c r="N377" s="25" t="s">
        <v>57</v>
      </c>
      <c r="O377" s="25" t="s">
        <v>28</v>
      </c>
      <c r="P377" s="25" t="s">
        <v>32</v>
      </c>
    </row>
    <row r="378" spans="1:16" x14ac:dyDescent="0.3">
      <c r="A378" s="25">
        <v>377</v>
      </c>
      <c r="B378" s="26">
        <v>45386</v>
      </c>
      <c r="C378" s="25" t="s">
        <v>58</v>
      </c>
      <c r="D378" s="25" t="s">
        <v>21</v>
      </c>
      <c r="E378" s="25" t="s">
        <v>88</v>
      </c>
      <c r="F378" s="25">
        <v>11</v>
      </c>
      <c r="G378" s="25" t="s">
        <v>89</v>
      </c>
      <c r="H378" s="25">
        <v>130</v>
      </c>
      <c r="I378" s="25">
        <v>100</v>
      </c>
      <c r="J378" s="25">
        <v>1430</v>
      </c>
      <c r="K378" s="25">
        <v>1100</v>
      </c>
      <c r="L378" s="25">
        <v>330</v>
      </c>
      <c r="M378" s="27">
        <v>30</v>
      </c>
      <c r="N378" s="25" t="s">
        <v>57</v>
      </c>
      <c r="O378" s="25" t="s">
        <v>27</v>
      </c>
      <c r="P378" s="25" t="s">
        <v>32</v>
      </c>
    </row>
    <row r="379" spans="1:16" x14ac:dyDescent="0.3">
      <c r="A379" s="25">
        <v>378</v>
      </c>
      <c r="B379" s="26">
        <v>45386</v>
      </c>
      <c r="C379" s="25" t="s">
        <v>58</v>
      </c>
      <c r="D379" s="25" t="s">
        <v>22</v>
      </c>
      <c r="E379" s="25" t="s">
        <v>96</v>
      </c>
      <c r="F379" s="25">
        <v>1</v>
      </c>
      <c r="G379" s="25" t="s">
        <v>97</v>
      </c>
      <c r="H379" s="25">
        <v>300</v>
      </c>
      <c r="I379" s="25">
        <v>265</v>
      </c>
      <c r="J379" s="25">
        <v>300</v>
      </c>
      <c r="K379" s="25">
        <v>265</v>
      </c>
      <c r="L379" s="25">
        <v>35</v>
      </c>
      <c r="M379" s="27">
        <v>13.207547169811299</v>
      </c>
      <c r="N379" s="25" t="s">
        <v>57</v>
      </c>
      <c r="O379" s="25" t="s">
        <v>28</v>
      </c>
      <c r="P379" s="25" t="s">
        <v>32</v>
      </c>
    </row>
    <row r="380" spans="1:16" x14ac:dyDescent="0.3">
      <c r="A380" s="25">
        <v>379</v>
      </c>
      <c r="B380" s="26">
        <v>45386</v>
      </c>
      <c r="C380" s="25" t="s">
        <v>58</v>
      </c>
      <c r="D380" s="25" t="s">
        <v>21</v>
      </c>
      <c r="E380" s="25" t="s">
        <v>88</v>
      </c>
      <c r="F380" s="25">
        <v>13</v>
      </c>
      <c r="G380" s="25" t="s">
        <v>89</v>
      </c>
      <c r="H380" s="25">
        <v>130</v>
      </c>
      <c r="I380" s="25">
        <v>100</v>
      </c>
      <c r="J380" s="25">
        <v>1690</v>
      </c>
      <c r="K380" s="25">
        <v>1300</v>
      </c>
      <c r="L380" s="25">
        <v>390</v>
      </c>
      <c r="M380" s="27">
        <v>30</v>
      </c>
      <c r="N380" s="25" t="s">
        <v>57</v>
      </c>
      <c r="O380" s="25" t="s">
        <v>27</v>
      </c>
      <c r="P380" s="25" t="s">
        <v>32</v>
      </c>
    </row>
    <row r="381" spans="1:16" x14ac:dyDescent="0.3">
      <c r="A381" s="25">
        <v>380</v>
      </c>
      <c r="B381" s="26">
        <v>45386</v>
      </c>
      <c r="C381" s="25" t="s">
        <v>58</v>
      </c>
      <c r="D381" s="25" t="s">
        <v>21</v>
      </c>
      <c r="E381" s="25" t="s">
        <v>95</v>
      </c>
      <c r="F381" s="25">
        <v>5</v>
      </c>
      <c r="G381" s="25" t="s">
        <v>89</v>
      </c>
      <c r="H381" s="25">
        <v>150</v>
      </c>
      <c r="I381" s="25">
        <v>100</v>
      </c>
      <c r="J381" s="25">
        <v>750</v>
      </c>
      <c r="K381" s="25">
        <v>500</v>
      </c>
      <c r="L381" s="25">
        <v>250</v>
      </c>
      <c r="M381" s="27">
        <v>50</v>
      </c>
      <c r="N381" s="25" t="s">
        <v>57</v>
      </c>
      <c r="O381" s="25" t="s">
        <v>28</v>
      </c>
      <c r="P381" s="25" t="s">
        <v>32</v>
      </c>
    </row>
    <row r="382" spans="1:16" x14ac:dyDescent="0.3">
      <c r="A382" s="25">
        <v>381</v>
      </c>
      <c r="B382" s="26">
        <v>45387</v>
      </c>
      <c r="C382" s="25" t="s">
        <v>58</v>
      </c>
      <c r="D382" s="25" t="s">
        <v>22</v>
      </c>
      <c r="E382" s="25" t="s">
        <v>90</v>
      </c>
      <c r="F382" s="25">
        <v>2</v>
      </c>
      <c r="G382" s="25" t="s">
        <v>91</v>
      </c>
      <c r="H382" s="25">
        <v>280</v>
      </c>
      <c r="I382" s="25">
        <v>240</v>
      </c>
      <c r="J382" s="25">
        <v>560</v>
      </c>
      <c r="K382" s="25">
        <v>480</v>
      </c>
      <c r="L382" s="25">
        <v>80</v>
      </c>
      <c r="M382" s="27">
        <v>16.6666666666667</v>
      </c>
      <c r="N382" s="25" t="s">
        <v>57</v>
      </c>
      <c r="O382" s="25" t="s">
        <v>28</v>
      </c>
      <c r="P382" s="25" t="s">
        <v>32</v>
      </c>
    </row>
    <row r="383" spans="1:16" x14ac:dyDescent="0.3">
      <c r="A383" s="25">
        <v>382</v>
      </c>
      <c r="B383" s="26">
        <v>45387</v>
      </c>
      <c r="C383" s="25" t="s">
        <v>58</v>
      </c>
      <c r="D383" s="25" t="s">
        <v>22</v>
      </c>
      <c r="E383" s="25" t="s">
        <v>92</v>
      </c>
      <c r="F383" s="25">
        <v>2.5</v>
      </c>
      <c r="G383" s="25" t="s">
        <v>91</v>
      </c>
      <c r="H383" s="25">
        <v>260</v>
      </c>
      <c r="I383" s="25">
        <v>220</v>
      </c>
      <c r="J383" s="25">
        <v>650</v>
      </c>
      <c r="K383" s="25">
        <v>550</v>
      </c>
      <c r="L383" s="25">
        <v>100</v>
      </c>
      <c r="M383" s="27">
        <v>18.181818181818201</v>
      </c>
      <c r="N383" s="25" t="s">
        <v>57</v>
      </c>
      <c r="O383" s="25" t="s">
        <v>28</v>
      </c>
      <c r="P383" s="25" t="s">
        <v>32</v>
      </c>
    </row>
    <row r="384" spans="1:16" x14ac:dyDescent="0.3">
      <c r="A384" s="25">
        <v>383</v>
      </c>
      <c r="B384" s="26">
        <v>45387</v>
      </c>
      <c r="C384" s="25" t="s">
        <v>58</v>
      </c>
      <c r="D384" s="25" t="s">
        <v>22</v>
      </c>
      <c r="E384" s="25" t="s">
        <v>92</v>
      </c>
      <c r="F384" s="25">
        <v>1</v>
      </c>
      <c r="G384" s="25" t="s">
        <v>91</v>
      </c>
      <c r="H384" s="25">
        <v>260</v>
      </c>
      <c r="I384" s="25">
        <v>220</v>
      </c>
      <c r="J384" s="25">
        <v>260</v>
      </c>
      <c r="K384" s="25">
        <v>220</v>
      </c>
      <c r="L384" s="25">
        <v>40</v>
      </c>
      <c r="M384" s="27">
        <v>18.181818181818201</v>
      </c>
      <c r="N384" s="25" t="s">
        <v>57</v>
      </c>
      <c r="O384" s="25" t="s">
        <v>28</v>
      </c>
      <c r="P384" s="25" t="s">
        <v>32</v>
      </c>
    </row>
    <row r="385" spans="1:16" x14ac:dyDescent="0.3">
      <c r="A385" s="25">
        <v>384</v>
      </c>
      <c r="B385" s="26">
        <v>45387</v>
      </c>
      <c r="C385" s="25" t="s">
        <v>58</v>
      </c>
      <c r="D385" s="25" t="s">
        <v>22</v>
      </c>
      <c r="E385" s="25" t="s">
        <v>90</v>
      </c>
      <c r="F385" s="25">
        <v>0.5</v>
      </c>
      <c r="G385" s="25" t="s">
        <v>91</v>
      </c>
      <c r="H385" s="25">
        <v>280</v>
      </c>
      <c r="I385" s="25">
        <v>240</v>
      </c>
      <c r="J385" s="25">
        <v>140</v>
      </c>
      <c r="K385" s="25">
        <v>120</v>
      </c>
      <c r="L385" s="25">
        <v>20</v>
      </c>
      <c r="M385" s="27">
        <v>16.6666666666667</v>
      </c>
      <c r="N385" s="25" t="s">
        <v>57</v>
      </c>
      <c r="O385" s="25" t="s">
        <v>28</v>
      </c>
      <c r="P385" s="25" t="s">
        <v>32</v>
      </c>
    </row>
    <row r="386" spans="1:16" x14ac:dyDescent="0.3">
      <c r="A386" s="25">
        <v>385</v>
      </c>
      <c r="B386" s="26">
        <v>45387</v>
      </c>
      <c r="C386" s="25" t="s">
        <v>58</v>
      </c>
      <c r="D386" s="25" t="s">
        <v>21</v>
      </c>
      <c r="E386" s="25" t="s">
        <v>94</v>
      </c>
      <c r="F386" s="25">
        <v>15</v>
      </c>
      <c r="G386" s="25" t="s">
        <v>89</v>
      </c>
      <c r="H386" s="25">
        <v>30</v>
      </c>
      <c r="I386" s="25">
        <v>26</v>
      </c>
      <c r="J386" s="25">
        <v>450</v>
      </c>
      <c r="K386" s="25">
        <v>390</v>
      </c>
      <c r="L386" s="25">
        <v>60</v>
      </c>
      <c r="M386" s="27">
        <v>15.384615384615399</v>
      </c>
      <c r="N386" s="25" t="s">
        <v>57</v>
      </c>
      <c r="O386" s="25" t="s">
        <v>27</v>
      </c>
      <c r="P386" s="25" t="s">
        <v>32</v>
      </c>
    </row>
    <row r="387" spans="1:16" x14ac:dyDescent="0.3">
      <c r="A387" s="25">
        <v>386</v>
      </c>
      <c r="B387" s="26">
        <v>45389</v>
      </c>
      <c r="C387" s="25" t="s">
        <v>58</v>
      </c>
      <c r="D387" s="25" t="s">
        <v>22</v>
      </c>
      <c r="E387" s="25" t="s">
        <v>90</v>
      </c>
      <c r="F387" s="25">
        <v>2</v>
      </c>
      <c r="G387" s="25" t="s">
        <v>91</v>
      </c>
      <c r="H387" s="25">
        <v>280</v>
      </c>
      <c r="I387" s="25">
        <v>240</v>
      </c>
      <c r="J387" s="25">
        <v>560</v>
      </c>
      <c r="K387" s="25">
        <v>480</v>
      </c>
      <c r="L387" s="25">
        <v>80</v>
      </c>
      <c r="M387" s="27">
        <v>16.6666666666667</v>
      </c>
      <c r="N387" s="25" t="s">
        <v>57</v>
      </c>
      <c r="O387" s="25" t="s">
        <v>28</v>
      </c>
      <c r="P387" s="25" t="s">
        <v>33</v>
      </c>
    </row>
    <row r="388" spans="1:16" x14ac:dyDescent="0.3">
      <c r="A388" s="25">
        <v>387</v>
      </c>
      <c r="B388" s="26">
        <v>45389</v>
      </c>
      <c r="C388" s="25" t="s">
        <v>58</v>
      </c>
      <c r="D388" s="25" t="s">
        <v>22</v>
      </c>
      <c r="E388" s="25" t="s">
        <v>90</v>
      </c>
      <c r="F388" s="25">
        <v>2.5</v>
      </c>
      <c r="G388" s="25" t="s">
        <v>91</v>
      </c>
      <c r="H388" s="25">
        <v>280</v>
      </c>
      <c r="I388" s="25">
        <v>240</v>
      </c>
      <c r="J388" s="25">
        <v>700</v>
      </c>
      <c r="K388" s="25">
        <v>600</v>
      </c>
      <c r="L388" s="25">
        <v>100</v>
      </c>
      <c r="M388" s="27">
        <v>16.6666666666667</v>
      </c>
      <c r="N388" s="25" t="s">
        <v>57</v>
      </c>
      <c r="O388" s="25" t="s">
        <v>28</v>
      </c>
      <c r="P388" s="25" t="s">
        <v>33</v>
      </c>
    </row>
    <row r="389" spans="1:16" x14ac:dyDescent="0.3">
      <c r="A389" s="25">
        <v>388</v>
      </c>
      <c r="B389" s="26">
        <v>45389</v>
      </c>
      <c r="C389" s="25" t="s">
        <v>58</v>
      </c>
      <c r="D389" s="25" t="s">
        <v>21</v>
      </c>
      <c r="E389" s="25" t="s">
        <v>88</v>
      </c>
      <c r="F389" s="25">
        <v>6</v>
      </c>
      <c r="G389" s="25" t="s">
        <v>89</v>
      </c>
      <c r="H389" s="25">
        <v>130</v>
      </c>
      <c r="I389" s="25">
        <v>100</v>
      </c>
      <c r="J389" s="25">
        <v>780</v>
      </c>
      <c r="K389" s="25">
        <v>600</v>
      </c>
      <c r="L389" s="25">
        <v>180</v>
      </c>
      <c r="M389" s="27">
        <v>30</v>
      </c>
      <c r="N389" s="25" t="s">
        <v>57</v>
      </c>
      <c r="O389" s="25" t="s">
        <v>27</v>
      </c>
      <c r="P389" s="25" t="s">
        <v>32</v>
      </c>
    </row>
    <row r="390" spans="1:16" x14ac:dyDescent="0.3">
      <c r="A390" s="25">
        <v>389</v>
      </c>
      <c r="B390" s="26">
        <v>45389</v>
      </c>
      <c r="C390" s="25" t="s">
        <v>58</v>
      </c>
      <c r="D390" s="25" t="s">
        <v>21</v>
      </c>
      <c r="E390" s="25" t="s">
        <v>88</v>
      </c>
      <c r="F390" s="25">
        <v>7</v>
      </c>
      <c r="G390" s="25" t="s">
        <v>89</v>
      </c>
      <c r="H390" s="25">
        <v>130</v>
      </c>
      <c r="I390" s="25">
        <v>100</v>
      </c>
      <c r="J390" s="25">
        <v>910</v>
      </c>
      <c r="K390" s="25">
        <v>700</v>
      </c>
      <c r="L390" s="25">
        <v>210</v>
      </c>
      <c r="M390" s="27">
        <v>30</v>
      </c>
      <c r="N390" s="25" t="s">
        <v>57</v>
      </c>
      <c r="O390" s="25" t="s">
        <v>27</v>
      </c>
      <c r="P390" s="25" t="s">
        <v>32</v>
      </c>
    </row>
    <row r="391" spans="1:16" x14ac:dyDescent="0.3">
      <c r="A391" s="25">
        <v>390</v>
      </c>
      <c r="B391" s="26">
        <v>45389</v>
      </c>
      <c r="C391" s="25" t="s">
        <v>58</v>
      </c>
      <c r="D391" s="25" t="s">
        <v>21</v>
      </c>
      <c r="E391" s="25" t="s">
        <v>94</v>
      </c>
      <c r="F391" s="25">
        <v>15</v>
      </c>
      <c r="G391" s="25" t="s">
        <v>89</v>
      </c>
      <c r="H391" s="25">
        <v>30</v>
      </c>
      <c r="I391" s="25">
        <v>26</v>
      </c>
      <c r="J391" s="25">
        <v>450</v>
      </c>
      <c r="K391" s="25">
        <v>390</v>
      </c>
      <c r="L391" s="25">
        <v>60</v>
      </c>
      <c r="M391" s="27">
        <v>15.384615384615399</v>
      </c>
      <c r="N391" s="25" t="s">
        <v>57</v>
      </c>
      <c r="O391" s="25" t="s">
        <v>27</v>
      </c>
      <c r="P391" s="25" t="s">
        <v>32</v>
      </c>
    </row>
    <row r="392" spans="1:16" x14ac:dyDescent="0.3">
      <c r="A392" s="25">
        <v>391</v>
      </c>
      <c r="B392" s="26">
        <v>45389</v>
      </c>
      <c r="C392" s="25" t="s">
        <v>58</v>
      </c>
      <c r="D392" s="25" t="s">
        <v>22</v>
      </c>
      <c r="E392" s="25" t="s">
        <v>90</v>
      </c>
      <c r="F392" s="25">
        <v>2</v>
      </c>
      <c r="G392" s="25" t="s">
        <v>91</v>
      </c>
      <c r="H392" s="25">
        <v>280</v>
      </c>
      <c r="I392" s="25">
        <v>240</v>
      </c>
      <c r="J392" s="25">
        <v>560</v>
      </c>
      <c r="K392" s="25">
        <v>480</v>
      </c>
      <c r="L392" s="25">
        <v>80</v>
      </c>
      <c r="M392" s="27">
        <v>16.6666666666667</v>
      </c>
      <c r="N392" s="25" t="s">
        <v>57</v>
      </c>
      <c r="O392" s="25" t="s">
        <v>28</v>
      </c>
      <c r="P392" s="25" t="s">
        <v>32</v>
      </c>
    </row>
    <row r="393" spans="1:16" x14ac:dyDescent="0.3">
      <c r="A393" s="25">
        <v>392</v>
      </c>
      <c r="B393" s="26">
        <v>45389</v>
      </c>
      <c r="C393" s="25" t="s">
        <v>58</v>
      </c>
      <c r="D393" s="25" t="s">
        <v>22</v>
      </c>
      <c r="E393" s="25" t="s">
        <v>92</v>
      </c>
      <c r="F393" s="25">
        <v>2.5</v>
      </c>
      <c r="G393" s="25" t="s">
        <v>91</v>
      </c>
      <c r="H393" s="25">
        <v>260</v>
      </c>
      <c r="I393" s="25">
        <v>220</v>
      </c>
      <c r="J393" s="25">
        <v>650</v>
      </c>
      <c r="K393" s="25">
        <v>550</v>
      </c>
      <c r="L393" s="25">
        <v>100</v>
      </c>
      <c r="M393" s="27">
        <v>18.181818181818201</v>
      </c>
      <c r="N393" s="25" t="s">
        <v>57</v>
      </c>
      <c r="O393" s="25" t="s">
        <v>28</v>
      </c>
      <c r="P393" s="25" t="s">
        <v>32</v>
      </c>
    </row>
    <row r="394" spans="1:16" x14ac:dyDescent="0.3">
      <c r="A394" s="25">
        <v>393</v>
      </c>
      <c r="B394" s="26">
        <v>45390</v>
      </c>
      <c r="C394" s="25" t="s">
        <v>58</v>
      </c>
      <c r="D394" s="25" t="s">
        <v>21</v>
      </c>
      <c r="E394" s="25" t="s">
        <v>88</v>
      </c>
      <c r="F394" s="25">
        <v>5</v>
      </c>
      <c r="G394" s="25" t="s">
        <v>89</v>
      </c>
      <c r="H394" s="25">
        <v>130</v>
      </c>
      <c r="I394" s="25">
        <v>100</v>
      </c>
      <c r="J394" s="25">
        <v>650</v>
      </c>
      <c r="K394" s="25">
        <v>500</v>
      </c>
      <c r="L394" s="25">
        <v>150</v>
      </c>
      <c r="M394" s="27">
        <v>30</v>
      </c>
      <c r="N394" s="25" t="s">
        <v>57</v>
      </c>
      <c r="O394" s="25" t="s">
        <v>27</v>
      </c>
      <c r="P394" s="25" t="s">
        <v>32</v>
      </c>
    </row>
    <row r="395" spans="1:16" x14ac:dyDescent="0.3">
      <c r="A395" s="25">
        <v>394</v>
      </c>
      <c r="B395" s="26">
        <v>45390</v>
      </c>
      <c r="C395" s="25" t="s">
        <v>58</v>
      </c>
      <c r="D395" s="25" t="s">
        <v>21</v>
      </c>
      <c r="E395" s="25" t="s">
        <v>88</v>
      </c>
      <c r="F395" s="25">
        <v>3</v>
      </c>
      <c r="G395" s="25" t="s">
        <v>89</v>
      </c>
      <c r="H395" s="25">
        <v>130</v>
      </c>
      <c r="I395" s="25">
        <v>100</v>
      </c>
      <c r="J395" s="25">
        <v>390</v>
      </c>
      <c r="K395" s="25">
        <v>300</v>
      </c>
      <c r="L395" s="25">
        <v>90</v>
      </c>
      <c r="M395" s="27">
        <v>30</v>
      </c>
      <c r="N395" s="25" t="s">
        <v>57</v>
      </c>
      <c r="O395" s="25" t="s">
        <v>27</v>
      </c>
      <c r="P395" s="25" t="s">
        <v>32</v>
      </c>
    </row>
    <row r="396" spans="1:16" x14ac:dyDescent="0.3">
      <c r="A396" s="25">
        <v>395</v>
      </c>
      <c r="B396" s="26">
        <v>45390</v>
      </c>
      <c r="C396" s="25" t="s">
        <v>58</v>
      </c>
      <c r="D396" s="25" t="s">
        <v>21</v>
      </c>
      <c r="E396" s="25" t="s">
        <v>94</v>
      </c>
      <c r="F396" s="25">
        <v>18</v>
      </c>
      <c r="G396" s="25" t="s">
        <v>89</v>
      </c>
      <c r="H396" s="25">
        <v>30</v>
      </c>
      <c r="I396" s="25">
        <v>26</v>
      </c>
      <c r="J396" s="25">
        <v>540</v>
      </c>
      <c r="K396" s="25">
        <v>468</v>
      </c>
      <c r="L396" s="25">
        <v>72</v>
      </c>
      <c r="M396" s="27">
        <v>15.384615384615399</v>
      </c>
      <c r="N396" s="25" t="s">
        <v>57</v>
      </c>
      <c r="O396" s="25" t="s">
        <v>27</v>
      </c>
      <c r="P396" s="25" t="s">
        <v>32</v>
      </c>
    </row>
    <row r="397" spans="1:16" x14ac:dyDescent="0.3">
      <c r="A397" s="25">
        <v>396</v>
      </c>
      <c r="B397" s="26">
        <v>45390</v>
      </c>
      <c r="C397" s="25" t="s">
        <v>58</v>
      </c>
      <c r="D397" s="25" t="s">
        <v>21</v>
      </c>
      <c r="E397" s="25" t="s">
        <v>98</v>
      </c>
      <c r="F397" s="25">
        <v>6</v>
      </c>
      <c r="G397" s="25" t="s">
        <v>89</v>
      </c>
      <c r="H397" s="25">
        <v>95</v>
      </c>
      <c r="I397" s="25">
        <v>55</v>
      </c>
      <c r="J397" s="25">
        <v>570</v>
      </c>
      <c r="K397" s="25">
        <v>330</v>
      </c>
      <c r="L397" s="25">
        <v>240</v>
      </c>
      <c r="M397" s="27">
        <v>72.727272727272705</v>
      </c>
      <c r="N397" s="25" t="s">
        <v>57</v>
      </c>
      <c r="O397" s="25" t="s">
        <v>27</v>
      </c>
      <c r="P397" s="25" t="s">
        <v>32</v>
      </c>
    </row>
    <row r="398" spans="1:16" x14ac:dyDescent="0.3">
      <c r="A398" s="25">
        <v>397</v>
      </c>
      <c r="B398" s="26">
        <v>45390</v>
      </c>
      <c r="C398" s="25" t="s">
        <v>58</v>
      </c>
      <c r="D398" s="25" t="s">
        <v>22</v>
      </c>
      <c r="E398" s="25" t="s">
        <v>96</v>
      </c>
      <c r="F398" s="25">
        <v>1</v>
      </c>
      <c r="G398" s="25" t="s">
        <v>97</v>
      </c>
      <c r="H398" s="25">
        <v>300</v>
      </c>
      <c r="I398" s="25">
        <v>265</v>
      </c>
      <c r="J398" s="25">
        <v>300</v>
      </c>
      <c r="K398" s="25">
        <v>265</v>
      </c>
      <c r="L398" s="25">
        <v>35</v>
      </c>
      <c r="M398" s="27">
        <v>13.207547169811299</v>
      </c>
      <c r="N398" s="25" t="s">
        <v>57</v>
      </c>
      <c r="O398" s="25" t="s">
        <v>28</v>
      </c>
      <c r="P398" s="25" t="s">
        <v>32</v>
      </c>
    </row>
    <row r="399" spans="1:16" x14ac:dyDescent="0.3">
      <c r="A399" s="25">
        <v>398</v>
      </c>
      <c r="B399" s="26">
        <v>45390</v>
      </c>
      <c r="C399" s="25" t="s">
        <v>58</v>
      </c>
      <c r="D399" s="25" t="s">
        <v>22</v>
      </c>
      <c r="E399" s="25" t="s">
        <v>96</v>
      </c>
      <c r="F399" s="25">
        <v>1</v>
      </c>
      <c r="G399" s="25" t="s">
        <v>97</v>
      </c>
      <c r="H399" s="25">
        <v>300</v>
      </c>
      <c r="I399" s="25">
        <v>265</v>
      </c>
      <c r="J399" s="25">
        <v>300</v>
      </c>
      <c r="K399" s="25">
        <v>265</v>
      </c>
      <c r="L399" s="25">
        <v>35</v>
      </c>
      <c r="M399" s="27">
        <v>13.207547169811299</v>
      </c>
      <c r="N399" s="25" t="s">
        <v>57</v>
      </c>
      <c r="O399" s="25" t="s">
        <v>28</v>
      </c>
      <c r="P399" s="25" t="s">
        <v>32</v>
      </c>
    </row>
    <row r="400" spans="1:16" x14ac:dyDescent="0.3">
      <c r="A400" s="25">
        <v>399</v>
      </c>
      <c r="B400" s="26">
        <v>45390</v>
      </c>
      <c r="C400" s="25" t="s">
        <v>58</v>
      </c>
      <c r="D400" s="25" t="s">
        <v>21</v>
      </c>
      <c r="E400" s="25" t="s">
        <v>88</v>
      </c>
      <c r="F400" s="25">
        <v>2</v>
      </c>
      <c r="G400" s="25" t="s">
        <v>89</v>
      </c>
      <c r="H400" s="25">
        <v>130</v>
      </c>
      <c r="I400" s="25">
        <v>100</v>
      </c>
      <c r="J400" s="25">
        <v>260</v>
      </c>
      <c r="K400" s="25">
        <v>200</v>
      </c>
      <c r="L400" s="25">
        <v>60</v>
      </c>
      <c r="M400" s="27">
        <v>30</v>
      </c>
      <c r="N400" s="25" t="s">
        <v>57</v>
      </c>
      <c r="O400" s="25" t="s">
        <v>27</v>
      </c>
      <c r="P400" s="25" t="s">
        <v>32</v>
      </c>
    </row>
    <row r="401" spans="1:16" x14ac:dyDescent="0.3">
      <c r="A401" s="25">
        <v>400</v>
      </c>
      <c r="B401" s="26">
        <v>45390</v>
      </c>
      <c r="C401" s="25" t="s">
        <v>58</v>
      </c>
      <c r="D401" s="25" t="s">
        <v>21</v>
      </c>
      <c r="E401" s="25" t="s">
        <v>88</v>
      </c>
      <c r="F401" s="25">
        <v>4</v>
      </c>
      <c r="G401" s="25" t="s">
        <v>89</v>
      </c>
      <c r="H401" s="25">
        <v>130</v>
      </c>
      <c r="I401" s="25">
        <v>100</v>
      </c>
      <c r="J401" s="25">
        <v>520</v>
      </c>
      <c r="K401" s="25">
        <v>400</v>
      </c>
      <c r="L401" s="25">
        <v>120</v>
      </c>
      <c r="M401" s="27">
        <v>30</v>
      </c>
      <c r="N401" s="25" t="s">
        <v>57</v>
      </c>
      <c r="O401" s="25" t="s">
        <v>27</v>
      </c>
      <c r="P401" s="25" t="s">
        <v>32</v>
      </c>
    </row>
    <row r="402" spans="1:16" x14ac:dyDescent="0.3">
      <c r="A402" s="25">
        <v>401</v>
      </c>
      <c r="B402" s="26">
        <v>45391</v>
      </c>
      <c r="C402" s="25" t="s">
        <v>58</v>
      </c>
      <c r="D402" s="25" t="s">
        <v>21</v>
      </c>
      <c r="E402" s="25" t="s">
        <v>88</v>
      </c>
      <c r="F402" s="25">
        <v>12</v>
      </c>
      <c r="G402" s="25" t="s">
        <v>89</v>
      </c>
      <c r="H402" s="25">
        <v>130</v>
      </c>
      <c r="I402" s="25">
        <v>100</v>
      </c>
      <c r="J402" s="25">
        <v>1560</v>
      </c>
      <c r="K402" s="25">
        <v>1200</v>
      </c>
      <c r="L402" s="25">
        <v>360</v>
      </c>
      <c r="M402" s="27">
        <v>30</v>
      </c>
      <c r="N402" s="25" t="s">
        <v>57</v>
      </c>
      <c r="O402" s="25" t="s">
        <v>27</v>
      </c>
      <c r="P402" s="25" t="s">
        <v>32</v>
      </c>
    </row>
    <row r="403" spans="1:16" x14ac:dyDescent="0.3">
      <c r="A403" s="25">
        <v>402</v>
      </c>
      <c r="B403" s="26">
        <v>45391</v>
      </c>
      <c r="C403" s="25" t="s">
        <v>58</v>
      </c>
      <c r="D403" s="25" t="s">
        <v>21</v>
      </c>
      <c r="E403" s="25" t="s">
        <v>88</v>
      </c>
      <c r="F403" s="25">
        <v>2</v>
      </c>
      <c r="G403" s="25" t="s">
        <v>89</v>
      </c>
      <c r="H403" s="25">
        <v>130</v>
      </c>
      <c r="I403" s="25">
        <v>100</v>
      </c>
      <c r="J403" s="25">
        <v>260</v>
      </c>
      <c r="K403" s="25">
        <v>200</v>
      </c>
      <c r="L403" s="25">
        <v>60</v>
      </c>
      <c r="M403" s="27">
        <v>30</v>
      </c>
      <c r="N403" s="25" t="s">
        <v>57</v>
      </c>
      <c r="O403" s="25" t="s">
        <v>27</v>
      </c>
      <c r="P403" s="25" t="s">
        <v>32</v>
      </c>
    </row>
    <row r="404" spans="1:16" x14ac:dyDescent="0.3">
      <c r="A404" s="25">
        <v>403</v>
      </c>
      <c r="B404" s="26">
        <v>45391</v>
      </c>
      <c r="C404" s="25" t="s">
        <v>58</v>
      </c>
      <c r="D404" s="25" t="s">
        <v>21</v>
      </c>
      <c r="E404" s="25" t="s">
        <v>88</v>
      </c>
      <c r="F404" s="25">
        <v>15</v>
      </c>
      <c r="G404" s="25" t="s">
        <v>89</v>
      </c>
      <c r="H404" s="25">
        <v>130</v>
      </c>
      <c r="I404" s="25">
        <v>100</v>
      </c>
      <c r="J404" s="25">
        <v>1950</v>
      </c>
      <c r="K404" s="25">
        <v>1500</v>
      </c>
      <c r="L404" s="25">
        <v>450</v>
      </c>
      <c r="M404" s="27">
        <v>30</v>
      </c>
      <c r="N404" s="25" t="s">
        <v>57</v>
      </c>
      <c r="O404" s="25" t="s">
        <v>27</v>
      </c>
      <c r="P404" s="25" t="s">
        <v>32</v>
      </c>
    </row>
    <row r="405" spans="1:16" x14ac:dyDescent="0.3">
      <c r="A405" s="25">
        <v>404</v>
      </c>
      <c r="B405" s="26">
        <v>45391</v>
      </c>
      <c r="C405" s="25" t="s">
        <v>58</v>
      </c>
      <c r="D405" s="25" t="s">
        <v>21</v>
      </c>
      <c r="E405" s="25" t="s">
        <v>88</v>
      </c>
      <c r="F405" s="25">
        <v>2</v>
      </c>
      <c r="G405" s="25" t="s">
        <v>89</v>
      </c>
      <c r="H405" s="25">
        <v>130</v>
      </c>
      <c r="I405" s="25">
        <v>100</v>
      </c>
      <c r="J405" s="25">
        <v>260</v>
      </c>
      <c r="K405" s="25">
        <v>200</v>
      </c>
      <c r="L405" s="25">
        <v>60</v>
      </c>
      <c r="M405" s="27">
        <v>30</v>
      </c>
      <c r="N405" s="25" t="s">
        <v>57</v>
      </c>
      <c r="O405" s="25" t="s">
        <v>27</v>
      </c>
      <c r="P405" s="25" t="s">
        <v>32</v>
      </c>
    </row>
    <row r="406" spans="1:16" x14ac:dyDescent="0.3">
      <c r="A406" s="25">
        <v>405</v>
      </c>
      <c r="B406" s="26">
        <v>45391</v>
      </c>
      <c r="C406" s="25" t="s">
        <v>58</v>
      </c>
      <c r="D406" s="25" t="s">
        <v>21</v>
      </c>
      <c r="E406" s="25" t="s">
        <v>88</v>
      </c>
      <c r="F406" s="25">
        <v>3</v>
      </c>
      <c r="G406" s="25" t="s">
        <v>89</v>
      </c>
      <c r="H406" s="25">
        <v>130</v>
      </c>
      <c r="I406" s="25">
        <v>100</v>
      </c>
      <c r="J406" s="25">
        <v>390</v>
      </c>
      <c r="K406" s="25">
        <v>300</v>
      </c>
      <c r="L406" s="25">
        <v>90</v>
      </c>
      <c r="M406" s="27">
        <v>30</v>
      </c>
      <c r="N406" s="25" t="s">
        <v>57</v>
      </c>
      <c r="O406" s="25" t="s">
        <v>27</v>
      </c>
      <c r="P406" s="25" t="s">
        <v>32</v>
      </c>
    </row>
    <row r="407" spans="1:16" x14ac:dyDescent="0.3">
      <c r="A407" s="25">
        <v>406</v>
      </c>
      <c r="B407" s="26">
        <v>45391</v>
      </c>
      <c r="C407" s="25" t="s">
        <v>58</v>
      </c>
      <c r="D407" s="25" t="s">
        <v>21</v>
      </c>
      <c r="E407" s="25" t="s">
        <v>88</v>
      </c>
      <c r="F407" s="25">
        <v>2</v>
      </c>
      <c r="G407" s="25" t="s">
        <v>89</v>
      </c>
      <c r="H407" s="25">
        <v>130</v>
      </c>
      <c r="I407" s="25">
        <v>100</v>
      </c>
      <c r="J407" s="25">
        <v>260</v>
      </c>
      <c r="K407" s="25">
        <v>200</v>
      </c>
      <c r="L407" s="25">
        <v>60</v>
      </c>
      <c r="M407" s="27">
        <v>30</v>
      </c>
      <c r="N407" s="25" t="s">
        <v>57</v>
      </c>
      <c r="O407" s="25" t="s">
        <v>27</v>
      </c>
      <c r="P407" s="25" t="s">
        <v>32</v>
      </c>
    </row>
    <row r="408" spans="1:16" x14ac:dyDescent="0.3">
      <c r="A408" s="25">
        <v>407</v>
      </c>
      <c r="B408" s="26">
        <v>45391</v>
      </c>
      <c r="C408" s="25" t="s">
        <v>58</v>
      </c>
      <c r="D408" s="25" t="s">
        <v>22</v>
      </c>
      <c r="E408" s="25" t="s">
        <v>96</v>
      </c>
      <c r="F408" s="25">
        <v>1</v>
      </c>
      <c r="G408" s="25" t="s">
        <v>97</v>
      </c>
      <c r="H408" s="25">
        <v>300</v>
      </c>
      <c r="I408" s="25">
        <v>265</v>
      </c>
      <c r="J408" s="25">
        <v>300</v>
      </c>
      <c r="K408" s="25">
        <v>265</v>
      </c>
      <c r="L408" s="25">
        <v>35</v>
      </c>
      <c r="M408" s="27">
        <v>13.207547169811299</v>
      </c>
      <c r="N408" s="25" t="s">
        <v>57</v>
      </c>
      <c r="O408" s="25" t="s">
        <v>28</v>
      </c>
      <c r="P408" s="25" t="s">
        <v>32</v>
      </c>
    </row>
    <row r="409" spans="1:16" x14ac:dyDescent="0.3">
      <c r="A409" s="25">
        <v>408</v>
      </c>
      <c r="B409" s="26">
        <v>45391</v>
      </c>
      <c r="C409" s="25" t="s">
        <v>58</v>
      </c>
      <c r="D409" s="25" t="s">
        <v>21</v>
      </c>
      <c r="E409" s="25" t="s">
        <v>88</v>
      </c>
      <c r="F409" s="25">
        <v>4</v>
      </c>
      <c r="G409" s="25" t="s">
        <v>89</v>
      </c>
      <c r="H409" s="25">
        <v>130</v>
      </c>
      <c r="I409" s="25">
        <v>100</v>
      </c>
      <c r="J409" s="25">
        <v>520</v>
      </c>
      <c r="K409" s="25">
        <v>400</v>
      </c>
      <c r="L409" s="25">
        <v>120</v>
      </c>
      <c r="M409" s="27">
        <v>30</v>
      </c>
      <c r="N409" s="25" t="s">
        <v>57</v>
      </c>
      <c r="O409" s="25" t="s">
        <v>27</v>
      </c>
      <c r="P409" s="25" t="s">
        <v>32</v>
      </c>
    </row>
    <row r="410" spans="1:16" x14ac:dyDescent="0.3">
      <c r="A410" s="25">
        <v>409</v>
      </c>
      <c r="B410" s="26">
        <v>45391</v>
      </c>
      <c r="C410" s="25" t="s">
        <v>58</v>
      </c>
      <c r="D410" s="25" t="s">
        <v>21</v>
      </c>
      <c r="E410" s="25" t="s">
        <v>94</v>
      </c>
      <c r="F410" s="25">
        <v>6</v>
      </c>
      <c r="G410" s="25" t="s">
        <v>89</v>
      </c>
      <c r="H410" s="25">
        <v>30</v>
      </c>
      <c r="I410" s="25">
        <v>26</v>
      </c>
      <c r="J410" s="25">
        <v>180</v>
      </c>
      <c r="K410" s="25">
        <v>156</v>
      </c>
      <c r="L410" s="25">
        <v>24</v>
      </c>
      <c r="M410" s="27">
        <v>15.384615384615399</v>
      </c>
      <c r="N410" s="25" t="s">
        <v>57</v>
      </c>
      <c r="O410" s="25" t="s">
        <v>27</v>
      </c>
      <c r="P410" s="25" t="s">
        <v>32</v>
      </c>
    </row>
    <row r="411" spans="1:16" x14ac:dyDescent="0.3">
      <c r="A411" s="25">
        <v>410</v>
      </c>
      <c r="B411" s="26">
        <v>45392</v>
      </c>
      <c r="C411" s="25" t="s">
        <v>58</v>
      </c>
      <c r="D411" s="25" t="s">
        <v>21</v>
      </c>
      <c r="E411" s="25" t="s">
        <v>88</v>
      </c>
      <c r="F411" s="25">
        <v>3</v>
      </c>
      <c r="G411" s="25" t="s">
        <v>89</v>
      </c>
      <c r="H411" s="25">
        <v>130</v>
      </c>
      <c r="I411" s="25">
        <v>100</v>
      </c>
      <c r="J411" s="25">
        <v>390</v>
      </c>
      <c r="K411" s="25">
        <v>300</v>
      </c>
      <c r="L411" s="25">
        <v>90</v>
      </c>
      <c r="M411" s="27">
        <v>30</v>
      </c>
      <c r="N411" s="25" t="s">
        <v>57</v>
      </c>
      <c r="O411" s="25" t="s">
        <v>27</v>
      </c>
      <c r="P411" s="25" t="s">
        <v>32</v>
      </c>
    </row>
    <row r="412" spans="1:16" x14ac:dyDescent="0.3">
      <c r="A412" s="25">
        <v>411</v>
      </c>
      <c r="B412" s="26">
        <v>45392</v>
      </c>
      <c r="C412" s="25" t="s">
        <v>58</v>
      </c>
      <c r="D412" s="25" t="s">
        <v>21</v>
      </c>
      <c r="E412" s="25" t="s">
        <v>95</v>
      </c>
      <c r="F412" s="25">
        <v>4</v>
      </c>
      <c r="G412" s="25" t="s">
        <v>89</v>
      </c>
      <c r="H412" s="25">
        <v>150</v>
      </c>
      <c r="I412" s="25">
        <v>100</v>
      </c>
      <c r="J412" s="25">
        <v>600</v>
      </c>
      <c r="K412" s="25">
        <v>400</v>
      </c>
      <c r="L412" s="25">
        <v>200</v>
      </c>
      <c r="M412" s="27">
        <v>50</v>
      </c>
      <c r="N412" s="25" t="s">
        <v>57</v>
      </c>
      <c r="O412" s="25" t="s">
        <v>28</v>
      </c>
      <c r="P412" s="25" t="s">
        <v>32</v>
      </c>
    </row>
    <row r="413" spans="1:16" x14ac:dyDescent="0.3">
      <c r="A413" s="25">
        <v>412</v>
      </c>
      <c r="B413" s="26">
        <v>45392</v>
      </c>
      <c r="C413" s="25" t="s">
        <v>58</v>
      </c>
      <c r="D413" s="25" t="s">
        <v>21</v>
      </c>
      <c r="E413" s="25" t="s">
        <v>98</v>
      </c>
      <c r="F413" s="25">
        <v>5</v>
      </c>
      <c r="G413" s="25" t="s">
        <v>89</v>
      </c>
      <c r="H413" s="25">
        <v>95</v>
      </c>
      <c r="I413" s="25">
        <v>55</v>
      </c>
      <c r="J413" s="25">
        <v>475</v>
      </c>
      <c r="K413" s="25">
        <v>275</v>
      </c>
      <c r="L413" s="25">
        <v>200</v>
      </c>
      <c r="M413" s="27">
        <v>72.727272727272705</v>
      </c>
      <c r="N413" s="25" t="s">
        <v>57</v>
      </c>
      <c r="O413" s="25" t="s">
        <v>27</v>
      </c>
      <c r="P413" s="25" t="s">
        <v>32</v>
      </c>
    </row>
    <row r="414" spans="1:16" x14ac:dyDescent="0.3">
      <c r="A414" s="25">
        <v>413</v>
      </c>
      <c r="B414" s="26">
        <v>45392</v>
      </c>
      <c r="C414" s="25" t="s">
        <v>58</v>
      </c>
      <c r="D414" s="25" t="s">
        <v>21</v>
      </c>
      <c r="E414" s="25" t="s">
        <v>94</v>
      </c>
      <c r="F414" s="25">
        <v>12</v>
      </c>
      <c r="G414" s="25" t="s">
        <v>89</v>
      </c>
      <c r="H414" s="25">
        <v>30</v>
      </c>
      <c r="I414" s="25">
        <v>26</v>
      </c>
      <c r="J414" s="25">
        <v>360</v>
      </c>
      <c r="K414" s="25">
        <v>312</v>
      </c>
      <c r="L414" s="25">
        <v>48</v>
      </c>
      <c r="M414" s="27">
        <v>15.384615384615399</v>
      </c>
      <c r="N414" s="25" t="s">
        <v>57</v>
      </c>
      <c r="O414" s="25" t="s">
        <v>27</v>
      </c>
      <c r="P414" s="25" t="s">
        <v>32</v>
      </c>
    </row>
    <row r="415" spans="1:16" x14ac:dyDescent="0.3">
      <c r="A415" s="25">
        <v>414</v>
      </c>
      <c r="B415" s="26">
        <v>45393</v>
      </c>
      <c r="C415" s="25" t="s">
        <v>58</v>
      </c>
      <c r="D415" s="25" t="s">
        <v>21</v>
      </c>
      <c r="E415" s="25" t="s">
        <v>88</v>
      </c>
      <c r="F415" s="25">
        <v>4</v>
      </c>
      <c r="G415" s="25" t="s">
        <v>89</v>
      </c>
      <c r="H415" s="25">
        <v>130</v>
      </c>
      <c r="I415" s="25">
        <v>100</v>
      </c>
      <c r="J415" s="25">
        <v>520</v>
      </c>
      <c r="K415" s="25">
        <v>400</v>
      </c>
      <c r="L415" s="25">
        <v>120</v>
      </c>
      <c r="M415" s="27">
        <v>30</v>
      </c>
      <c r="N415" s="25" t="s">
        <v>57</v>
      </c>
      <c r="O415" s="25" t="s">
        <v>27</v>
      </c>
      <c r="P415" s="25" t="s">
        <v>32</v>
      </c>
    </row>
    <row r="416" spans="1:16" x14ac:dyDescent="0.3">
      <c r="A416" s="25">
        <v>415</v>
      </c>
      <c r="B416" s="26">
        <v>45393</v>
      </c>
      <c r="C416" s="25" t="s">
        <v>58</v>
      </c>
      <c r="D416" s="25" t="s">
        <v>21</v>
      </c>
      <c r="E416" s="25" t="s">
        <v>88</v>
      </c>
      <c r="F416" s="25">
        <v>4</v>
      </c>
      <c r="G416" s="25" t="s">
        <v>89</v>
      </c>
      <c r="H416" s="25">
        <v>130</v>
      </c>
      <c r="I416" s="25">
        <v>100</v>
      </c>
      <c r="J416" s="25">
        <v>520</v>
      </c>
      <c r="K416" s="25">
        <v>400</v>
      </c>
      <c r="L416" s="25">
        <v>120</v>
      </c>
      <c r="M416" s="27">
        <v>30</v>
      </c>
      <c r="N416" s="25" t="s">
        <v>57</v>
      </c>
      <c r="O416" s="25" t="s">
        <v>27</v>
      </c>
      <c r="P416" s="25" t="s">
        <v>32</v>
      </c>
    </row>
    <row r="417" spans="1:16" x14ac:dyDescent="0.3">
      <c r="A417" s="25">
        <v>416</v>
      </c>
      <c r="B417" s="26">
        <v>45393</v>
      </c>
      <c r="C417" s="25" t="s">
        <v>58</v>
      </c>
      <c r="D417" s="25" t="s">
        <v>21</v>
      </c>
      <c r="E417" s="25" t="s">
        <v>88</v>
      </c>
      <c r="F417" s="25">
        <v>5</v>
      </c>
      <c r="G417" s="25" t="s">
        <v>89</v>
      </c>
      <c r="H417" s="25">
        <v>130</v>
      </c>
      <c r="I417" s="25">
        <v>100</v>
      </c>
      <c r="J417" s="25">
        <v>650</v>
      </c>
      <c r="K417" s="25">
        <v>500</v>
      </c>
      <c r="L417" s="25">
        <v>150</v>
      </c>
      <c r="M417" s="27">
        <v>30</v>
      </c>
      <c r="N417" s="25" t="s">
        <v>57</v>
      </c>
      <c r="O417" s="25" t="s">
        <v>27</v>
      </c>
      <c r="P417" s="25" t="s">
        <v>32</v>
      </c>
    </row>
    <row r="418" spans="1:16" x14ac:dyDescent="0.3">
      <c r="A418" s="25">
        <v>417</v>
      </c>
      <c r="B418" s="26">
        <v>45393</v>
      </c>
      <c r="C418" s="25" t="s">
        <v>58</v>
      </c>
      <c r="D418" s="25" t="s">
        <v>21</v>
      </c>
      <c r="E418" s="25" t="s">
        <v>88</v>
      </c>
      <c r="F418" s="25">
        <v>6</v>
      </c>
      <c r="G418" s="25" t="s">
        <v>89</v>
      </c>
      <c r="H418" s="25">
        <v>130</v>
      </c>
      <c r="I418" s="25">
        <v>100</v>
      </c>
      <c r="J418" s="25">
        <v>780</v>
      </c>
      <c r="K418" s="25">
        <v>600</v>
      </c>
      <c r="L418" s="25">
        <v>180</v>
      </c>
      <c r="M418" s="27">
        <v>30</v>
      </c>
      <c r="N418" s="25" t="s">
        <v>57</v>
      </c>
      <c r="O418" s="25" t="s">
        <v>27</v>
      </c>
      <c r="P418" s="25" t="s">
        <v>32</v>
      </c>
    </row>
    <row r="419" spans="1:16" x14ac:dyDescent="0.3">
      <c r="A419" s="25">
        <v>418</v>
      </c>
      <c r="B419" s="26">
        <v>45393</v>
      </c>
      <c r="C419" s="25" t="s">
        <v>58</v>
      </c>
      <c r="D419" s="25" t="s">
        <v>21</v>
      </c>
      <c r="E419" s="25" t="s">
        <v>94</v>
      </c>
      <c r="F419" s="25">
        <v>14</v>
      </c>
      <c r="G419" s="25" t="s">
        <v>89</v>
      </c>
      <c r="H419" s="25">
        <v>30</v>
      </c>
      <c r="I419" s="25">
        <v>26</v>
      </c>
      <c r="J419" s="25">
        <v>420</v>
      </c>
      <c r="K419" s="25">
        <v>364</v>
      </c>
      <c r="L419" s="25">
        <v>56</v>
      </c>
      <c r="M419" s="27">
        <v>15.384615384615399</v>
      </c>
      <c r="N419" s="25" t="s">
        <v>57</v>
      </c>
      <c r="O419" s="25" t="s">
        <v>27</v>
      </c>
      <c r="P419" s="25" t="s">
        <v>32</v>
      </c>
    </row>
    <row r="420" spans="1:16" x14ac:dyDescent="0.3">
      <c r="A420" s="25">
        <v>419</v>
      </c>
      <c r="B420" s="26">
        <v>45393</v>
      </c>
      <c r="C420" s="25" t="s">
        <v>58</v>
      </c>
      <c r="D420" s="25" t="s">
        <v>21</v>
      </c>
      <c r="E420" s="25" t="s">
        <v>88</v>
      </c>
      <c r="F420" s="25">
        <v>2</v>
      </c>
      <c r="G420" s="25" t="s">
        <v>89</v>
      </c>
      <c r="H420" s="25">
        <v>130</v>
      </c>
      <c r="I420" s="25">
        <v>100</v>
      </c>
      <c r="J420" s="25">
        <v>260</v>
      </c>
      <c r="K420" s="25">
        <v>200</v>
      </c>
      <c r="L420" s="25">
        <v>60</v>
      </c>
      <c r="M420" s="27">
        <v>30</v>
      </c>
      <c r="N420" s="25" t="s">
        <v>57</v>
      </c>
      <c r="O420" s="25" t="s">
        <v>27</v>
      </c>
      <c r="P420" s="25" t="s">
        <v>32</v>
      </c>
    </row>
    <row r="421" spans="1:16" x14ac:dyDescent="0.3">
      <c r="A421" s="25">
        <v>420</v>
      </c>
      <c r="B421" s="26">
        <v>45393</v>
      </c>
      <c r="C421" s="25" t="s">
        <v>58</v>
      </c>
      <c r="D421" s="25" t="s">
        <v>21</v>
      </c>
      <c r="E421" s="25" t="s">
        <v>88</v>
      </c>
      <c r="F421" s="25">
        <v>2</v>
      </c>
      <c r="G421" s="25" t="s">
        <v>89</v>
      </c>
      <c r="H421" s="25">
        <v>130</v>
      </c>
      <c r="I421" s="25">
        <v>100</v>
      </c>
      <c r="J421" s="25">
        <v>260</v>
      </c>
      <c r="K421" s="25">
        <v>200</v>
      </c>
      <c r="L421" s="25">
        <v>60</v>
      </c>
      <c r="M421" s="27">
        <v>30</v>
      </c>
      <c r="N421" s="25" t="s">
        <v>57</v>
      </c>
      <c r="O421" s="25" t="s">
        <v>27</v>
      </c>
      <c r="P421" s="25" t="s">
        <v>32</v>
      </c>
    </row>
    <row r="422" spans="1:16" x14ac:dyDescent="0.3">
      <c r="A422" s="25">
        <v>421</v>
      </c>
      <c r="B422" s="26">
        <v>45393</v>
      </c>
      <c r="C422" s="25" t="s">
        <v>58</v>
      </c>
      <c r="D422" s="25" t="s">
        <v>22</v>
      </c>
      <c r="E422" s="25" t="s">
        <v>90</v>
      </c>
      <c r="F422" s="25">
        <v>2.5</v>
      </c>
      <c r="G422" s="25" t="s">
        <v>91</v>
      </c>
      <c r="H422" s="25">
        <v>280</v>
      </c>
      <c r="I422" s="25">
        <v>240</v>
      </c>
      <c r="J422" s="25">
        <v>700</v>
      </c>
      <c r="K422" s="25">
        <v>600</v>
      </c>
      <c r="L422" s="25">
        <v>100</v>
      </c>
      <c r="M422" s="27">
        <v>16.6666666666667</v>
      </c>
      <c r="N422" s="25" t="s">
        <v>57</v>
      </c>
      <c r="O422" s="25" t="s">
        <v>28</v>
      </c>
      <c r="P422" s="25" t="s">
        <v>32</v>
      </c>
    </row>
    <row r="423" spans="1:16" x14ac:dyDescent="0.3">
      <c r="A423" s="25">
        <v>422</v>
      </c>
      <c r="B423" s="26">
        <v>45394</v>
      </c>
      <c r="C423" s="25" t="s">
        <v>58</v>
      </c>
      <c r="D423" s="25" t="s">
        <v>21</v>
      </c>
      <c r="E423" s="25" t="s">
        <v>88</v>
      </c>
      <c r="F423" s="25">
        <v>6</v>
      </c>
      <c r="G423" s="25" t="s">
        <v>89</v>
      </c>
      <c r="H423" s="25">
        <v>130</v>
      </c>
      <c r="I423" s="25">
        <v>100</v>
      </c>
      <c r="J423" s="25">
        <v>780</v>
      </c>
      <c r="K423" s="25">
        <v>600</v>
      </c>
      <c r="L423" s="25">
        <v>180</v>
      </c>
      <c r="M423" s="27">
        <v>30</v>
      </c>
      <c r="N423" s="25" t="s">
        <v>57</v>
      </c>
      <c r="O423" s="25" t="s">
        <v>27</v>
      </c>
      <c r="P423" s="25" t="s">
        <v>32</v>
      </c>
    </row>
    <row r="424" spans="1:16" x14ac:dyDescent="0.3">
      <c r="A424" s="25">
        <v>423</v>
      </c>
      <c r="B424" s="26">
        <v>45394</v>
      </c>
      <c r="C424" s="25" t="s">
        <v>58</v>
      </c>
      <c r="D424" s="25" t="s">
        <v>21</v>
      </c>
      <c r="E424" s="25" t="s">
        <v>95</v>
      </c>
      <c r="F424" s="25">
        <v>5</v>
      </c>
      <c r="G424" s="25" t="s">
        <v>89</v>
      </c>
      <c r="H424" s="25">
        <v>150</v>
      </c>
      <c r="I424" s="25">
        <v>100</v>
      </c>
      <c r="J424" s="25">
        <v>750</v>
      </c>
      <c r="K424" s="25">
        <v>500</v>
      </c>
      <c r="L424" s="25">
        <v>250</v>
      </c>
      <c r="M424" s="27">
        <v>50</v>
      </c>
      <c r="N424" s="25" t="s">
        <v>57</v>
      </c>
      <c r="O424" s="25" t="s">
        <v>28</v>
      </c>
      <c r="P424" s="25" t="s">
        <v>32</v>
      </c>
    </row>
    <row r="425" spans="1:16" x14ac:dyDescent="0.3">
      <c r="A425" s="25">
        <v>424</v>
      </c>
      <c r="B425" s="26">
        <v>45394</v>
      </c>
      <c r="C425" s="25" t="s">
        <v>58</v>
      </c>
      <c r="D425" s="25" t="s">
        <v>21</v>
      </c>
      <c r="E425" s="25" t="s">
        <v>88</v>
      </c>
      <c r="F425" s="25">
        <v>2</v>
      </c>
      <c r="G425" s="25" t="s">
        <v>89</v>
      </c>
      <c r="H425" s="25">
        <v>130</v>
      </c>
      <c r="I425" s="25">
        <v>100</v>
      </c>
      <c r="J425" s="25">
        <v>260</v>
      </c>
      <c r="K425" s="25">
        <v>200</v>
      </c>
      <c r="L425" s="25">
        <v>60</v>
      </c>
      <c r="M425" s="27">
        <v>30</v>
      </c>
      <c r="N425" s="25" t="s">
        <v>57</v>
      </c>
      <c r="O425" s="25" t="s">
        <v>27</v>
      </c>
      <c r="P425" s="25" t="s">
        <v>32</v>
      </c>
    </row>
    <row r="426" spans="1:16" x14ac:dyDescent="0.3">
      <c r="A426" s="25">
        <v>425</v>
      </c>
      <c r="B426" s="26">
        <v>45394</v>
      </c>
      <c r="C426" s="25" t="s">
        <v>58</v>
      </c>
      <c r="D426" s="25" t="s">
        <v>21</v>
      </c>
      <c r="E426" s="25" t="s">
        <v>88</v>
      </c>
      <c r="F426" s="25">
        <v>5</v>
      </c>
      <c r="G426" s="25" t="s">
        <v>89</v>
      </c>
      <c r="H426" s="25">
        <v>130</v>
      </c>
      <c r="I426" s="25">
        <v>100</v>
      </c>
      <c r="J426" s="25">
        <v>650</v>
      </c>
      <c r="K426" s="25">
        <v>500</v>
      </c>
      <c r="L426" s="25">
        <v>150</v>
      </c>
      <c r="M426" s="27">
        <v>30</v>
      </c>
      <c r="N426" s="25" t="s">
        <v>57</v>
      </c>
      <c r="O426" s="25" t="s">
        <v>27</v>
      </c>
      <c r="P426" s="25" t="s">
        <v>32</v>
      </c>
    </row>
    <row r="427" spans="1:16" x14ac:dyDescent="0.3">
      <c r="A427" s="25">
        <v>426</v>
      </c>
      <c r="B427" s="26">
        <v>45394</v>
      </c>
      <c r="C427" s="25" t="s">
        <v>58</v>
      </c>
      <c r="D427" s="25" t="s">
        <v>21</v>
      </c>
      <c r="E427" s="25" t="s">
        <v>88</v>
      </c>
      <c r="F427" s="25">
        <v>2</v>
      </c>
      <c r="G427" s="25" t="s">
        <v>89</v>
      </c>
      <c r="H427" s="25">
        <v>130</v>
      </c>
      <c r="I427" s="25">
        <v>100</v>
      </c>
      <c r="J427" s="25">
        <v>260</v>
      </c>
      <c r="K427" s="25">
        <v>200</v>
      </c>
      <c r="L427" s="25">
        <v>60</v>
      </c>
      <c r="M427" s="27">
        <v>30</v>
      </c>
      <c r="N427" s="25" t="s">
        <v>57</v>
      </c>
      <c r="O427" s="25" t="s">
        <v>27</v>
      </c>
      <c r="P427" s="25" t="s">
        <v>32</v>
      </c>
    </row>
    <row r="428" spans="1:16" x14ac:dyDescent="0.3">
      <c r="A428" s="25">
        <v>427</v>
      </c>
      <c r="B428" s="26">
        <v>45395</v>
      </c>
      <c r="C428" s="25" t="s">
        <v>58</v>
      </c>
      <c r="D428" s="25" t="s">
        <v>21</v>
      </c>
      <c r="E428" s="25" t="s">
        <v>95</v>
      </c>
      <c r="F428" s="25">
        <v>6</v>
      </c>
      <c r="G428" s="25" t="s">
        <v>89</v>
      </c>
      <c r="H428" s="25">
        <v>150</v>
      </c>
      <c r="I428" s="25">
        <v>100</v>
      </c>
      <c r="J428" s="25">
        <v>900</v>
      </c>
      <c r="K428" s="25">
        <v>600</v>
      </c>
      <c r="L428" s="25">
        <v>300</v>
      </c>
      <c r="M428" s="27">
        <v>50</v>
      </c>
      <c r="N428" s="25" t="s">
        <v>57</v>
      </c>
      <c r="O428" s="25" t="s">
        <v>28</v>
      </c>
      <c r="P428" s="25" t="s">
        <v>32</v>
      </c>
    </row>
    <row r="429" spans="1:16" x14ac:dyDescent="0.3">
      <c r="A429" s="25">
        <v>428</v>
      </c>
      <c r="B429" s="26">
        <v>45395</v>
      </c>
      <c r="C429" s="25" t="s">
        <v>58</v>
      </c>
      <c r="D429" s="25" t="s">
        <v>21</v>
      </c>
      <c r="E429" s="25" t="s">
        <v>94</v>
      </c>
      <c r="F429" s="25">
        <v>12</v>
      </c>
      <c r="G429" s="25" t="s">
        <v>89</v>
      </c>
      <c r="H429" s="25">
        <v>30</v>
      </c>
      <c r="I429" s="25">
        <v>26</v>
      </c>
      <c r="J429" s="25">
        <v>360</v>
      </c>
      <c r="K429" s="25">
        <v>312</v>
      </c>
      <c r="L429" s="25">
        <v>48</v>
      </c>
      <c r="M429" s="27">
        <v>15.384615384615399</v>
      </c>
      <c r="N429" s="25" t="s">
        <v>57</v>
      </c>
      <c r="O429" s="25" t="s">
        <v>27</v>
      </c>
      <c r="P429" s="25" t="s">
        <v>32</v>
      </c>
    </row>
    <row r="430" spans="1:16" x14ac:dyDescent="0.3">
      <c r="A430" s="25">
        <v>429</v>
      </c>
      <c r="B430" s="26">
        <v>45395</v>
      </c>
      <c r="C430" s="25" t="s">
        <v>58</v>
      </c>
      <c r="D430" s="25" t="s">
        <v>22</v>
      </c>
      <c r="E430" s="25" t="s">
        <v>90</v>
      </c>
      <c r="F430" s="25">
        <v>2</v>
      </c>
      <c r="G430" s="25" t="s">
        <v>91</v>
      </c>
      <c r="H430" s="25">
        <v>280</v>
      </c>
      <c r="I430" s="25">
        <v>240</v>
      </c>
      <c r="J430" s="25">
        <v>560</v>
      </c>
      <c r="K430" s="25">
        <v>480</v>
      </c>
      <c r="L430" s="25">
        <v>80</v>
      </c>
      <c r="M430" s="27">
        <v>16.6666666666667</v>
      </c>
      <c r="N430" s="25" t="s">
        <v>57</v>
      </c>
      <c r="O430" s="25" t="s">
        <v>28</v>
      </c>
      <c r="P430" s="25" t="s">
        <v>32</v>
      </c>
    </row>
    <row r="431" spans="1:16" x14ac:dyDescent="0.3">
      <c r="A431" s="25">
        <v>430</v>
      </c>
      <c r="B431" s="26">
        <v>45395</v>
      </c>
      <c r="C431" s="25" t="s">
        <v>58</v>
      </c>
      <c r="D431" s="25" t="s">
        <v>21</v>
      </c>
      <c r="E431" s="25" t="s">
        <v>88</v>
      </c>
      <c r="F431" s="25">
        <v>5</v>
      </c>
      <c r="G431" s="25" t="s">
        <v>89</v>
      </c>
      <c r="H431" s="25">
        <v>130</v>
      </c>
      <c r="I431" s="25">
        <v>100</v>
      </c>
      <c r="J431" s="25">
        <v>650</v>
      </c>
      <c r="K431" s="25">
        <v>500</v>
      </c>
      <c r="L431" s="25">
        <v>150</v>
      </c>
      <c r="M431" s="27">
        <v>30</v>
      </c>
      <c r="N431" s="25" t="s">
        <v>57</v>
      </c>
      <c r="O431" s="25" t="s">
        <v>27</v>
      </c>
      <c r="P431" s="25" t="s">
        <v>32</v>
      </c>
    </row>
    <row r="432" spans="1:16" x14ac:dyDescent="0.3">
      <c r="A432" s="25">
        <v>431</v>
      </c>
      <c r="B432" s="26">
        <v>45395</v>
      </c>
      <c r="C432" s="25" t="s">
        <v>58</v>
      </c>
      <c r="D432" s="25" t="s">
        <v>22</v>
      </c>
      <c r="E432" s="25" t="s">
        <v>90</v>
      </c>
      <c r="F432" s="25">
        <v>1</v>
      </c>
      <c r="G432" s="25" t="s">
        <v>91</v>
      </c>
      <c r="H432" s="25">
        <v>280</v>
      </c>
      <c r="I432" s="25">
        <v>240</v>
      </c>
      <c r="J432" s="25">
        <v>280</v>
      </c>
      <c r="K432" s="25">
        <v>240</v>
      </c>
      <c r="L432" s="25">
        <v>40</v>
      </c>
      <c r="M432" s="27">
        <v>16.6666666666667</v>
      </c>
      <c r="N432" s="25" t="s">
        <v>57</v>
      </c>
      <c r="O432" s="25" t="s">
        <v>28</v>
      </c>
      <c r="P432" s="25" t="s">
        <v>32</v>
      </c>
    </row>
    <row r="433" spans="1:16" x14ac:dyDescent="0.3">
      <c r="A433" s="25">
        <v>432</v>
      </c>
      <c r="B433" s="26">
        <v>45395</v>
      </c>
      <c r="C433" s="25" t="s">
        <v>58</v>
      </c>
      <c r="D433" s="25" t="s">
        <v>21</v>
      </c>
      <c r="E433" s="25" t="s">
        <v>88</v>
      </c>
      <c r="F433" s="25">
        <v>5</v>
      </c>
      <c r="G433" s="25" t="s">
        <v>89</v>
      </c>
      <c r="H433" s="25">
        <v>130</v>
      </c>
      <c r="I433" s="25">
        <v>100</v>
      </c>
      <c r="J433" s="25">
        <v>650</v>
      </c>
      <c r="K433" s="25">
        <v>500</v>
      </c>
      <c r="L433" s="25">
        <v>150</v>
      </c>
      <c r="M433" s="27">
        <v>30</v>
      </c>
      <c r="N433" s="25" t="s">
        <v>57</v>
      </c>
      <c r="O433" s="25" t="s">
        <v>27</v>
      </c>
      <c r="P433" s="25" t="s">
        <v>32</v>
      </c>
    </row>
    <row r="434" spans="1:16" x14ac:dyDescent="0.3">
      <c r="A434" s="25">
        <v>433</v>
      </c>
      <c r="B434" s="26">
        <v>45395</v>
      </c>
      <c r="C434" s="25" t="s">
        <v>58</v>
      </c>
      <c r="D434" s="25" t="s">
        <v>21</v>
      </c>
      <c r="E434" s="25" t="s">
        <v>88</v>
      </c>
      <c r="F434" s="25">
        <v>2</v>
      </c>
      <c r="G434" s="25" t="s">
        <v>89</v>
      </c>
      <c r="H434" s="25">
        <v>130</v>
      </c>
      <c r="I434" s="25">
        <v>100</v>
      </c>
      <c r="J434" s="25">
        <v>260</v>
      </c>
      <c r="K434" s="25">
        <v>200</v>
      </c>
      <c r="L434" s="25">
        <v>60</v>
      </c>
      <c r="M434" s="27">
        <v>30</v>
      </c>
      <c r="N434" s="25" t="s">
        <v>57</v>
      </c>
      <c r="O434" s="25" t="s">
        <v>27</v>
      </c>
      <c r="P434" s="25" t="s">
        <v>32</v>
      </c>
    </row>
    <row r="435" spans="1:16" x14ac:dyDescent="0.3">
      <c r="A435" s="25">
        <v>434</v>
      </c>
      <c r="B435" s="26">
        <v>45396</v>
      </c>
      <c r="C435" s="25" t="s">
        <v>58</v>
      </c>
      <c r="D435" s="25" t="s">
        <v>21</v>
      </c>
      <c r="E435" s="25" t="s">
        <v>88</v>
      </c>
      <c r="F435" s="25">
        <v>6</v>
      </c>
      <c r="G435" s="25" t="s">
        <v>89</v>
      </c>
      <c r="H435" s="25">
        <v>130</v>
      </c>
      <c r="I435" s="25">
        <v>100</v>
      </c>
      <c r="J435" s="25">
        <v>780</v>
      </c>
      <c r="K435" s="25">
        <v>600</v>
      </c>
      <c r="L435" s="25">
        <v>180</v>
      </c>
      <c r="M435" s="27">
        <v>30</v>
      </c>
      <c r="N435" s="25" t="s">
        <v>57</v>
      </c>
      <c r="O435" s="25" t="s">
        <v>27</v>
      </c>
      <c r="P435" s="25" t="s">
        <v>32</v>
      </c>
    </row>
    <row r="436" spans="1:16" x14ac:dyDescent="0.3">
      <c r="A436" s="25">
        <v>435</v>
      </c>
      <c r="B436" s="26">
        <v>45396</v>
      </c>
      <c r="C436" s="25" t="s">
        <v>58</v>
      </c>
      <c r="D436" s="25" t="s">
        <v>21</v>
      </c>
      <c r="E436" s="25" t="s">
        <v>88</v>
      </c>
      <c r="F436" s="25">
        <v>7</v>
      </c>
      <c r="G436" s="25" t="s">
        <v>89</v>
      </c>
      <c r="H436" s="25">
        <v>130</v>
      </c>
      <c r="I436" s="25">
        <v>100</v>
      </c>
      <c r="J436" s="25">
        <v>910</v>
      </c>
      <c r="K436" s="25">
        <v>700</v>
      </c>
      <c r="L436" s="25">
        <v>210</v>
      </c>
      <c r="M436" s="27">
        <v>30</v>
      </c>
      <c r="N436" s="25" t="s">
        <v>57</v>
      </c>
      <c r="O436" s="25" t="s">
        <v>27</v>
      </c>
      <c r="P436" s="25" t="s">
        <v>32</v>
      </c>
    </row>
    <row r="437" spans="1:16" x14ac:dyDescent="0.3">
      <c r="A437" s="25">
        <v>436</v>
      </c>
      <c r="B437" s="26">
        <v>45396</v>
      </c>
      <c r="C437" s="25" t="s">
        <v>58</v>
      </c>
      <c r="D437" s="25" t="s">
        <v>21</v>
      </c>
      <c r="E437" s="25" t="s">
        <v>88</v>
      </c>
      <c r="F437" s="25">
        <v>9</v>
      </c>
      <c r="G437" s="25" t="s">
        <v>89</v>
      </c>
      <c r="H437" s="25">
        <v>130</v>
      </c>
      <c r="I437" s="25">
        <v>100</v>
      </c>
      <c r="J437" s="25">
        <v>1170</v>
      </c>
      <c r="K437" s="25">
        <v>900</v>
      </c>
      <c r="L437" s="25">
        <v>270</v>
      </c>
      <c r="M437" s="27">
        <v>30</v>
      </c>
      <c r="N437" s="25" t="s">
        <v>57</v>
      </c>
      <c r="O437" s="25" t="s">
        <v>27</v>
      </c>
      <c r="P437" s="25" t="s">
        <v>32</v>
      </c>
    </row>
    <row r="438" spans="1:16" x14ac:dyDescent="0.3">
      <c r="A438" s="25">
        <v>437</v>
      </c>
      <c r="B438" s="26">
        <v>45396</v>
      </c>
      <c r="C438" s="25" t="s">
        <v>58</v>
      </c>
      <c r="D438" s="25" t="s">
        <v>22</v>
      </c>
      <c r="E438" s="25" t="s">
        <v>92</v>
      </c>
      <c r="F438" s="25">
        <v>1</v>
      </c>
      <c r="G438" s="25" t="s">
        <v>91</v>
      </c>
      <c r="H438" s="25">
        <v>260</v>
      </c>
      <c r="I438" s="25">
        <v>220</v>
      </c>
      <c r="J438" s="25">
        <v>260</v>
      </c>
      <c r="K438" s="25">
        <v>220</v>
      </c>
      <c r="L438" s="25">
        <v>40</v>
      </c>
      <c r="M438" s="27">
        <v>18.181818181818201</v>
      </c>
      <c r="N438" s="25" t="s">
        <v>57</v>
      </c>
      <c r="O438" s="25" t="s">
        <v>28</v>
      </c>
      <c r="P438" s="25" t="s">
        <v>32</v>
      </c>
    </row>
    <row r="439" spans="1:16" x14ac:dyDescent="0.3">
      <c r="A439" s="25">
        <v>438</v>
      </c>
      <c r="B439" s="26">
        <v>45397</v>
      </c>
      <c r="C439" s="25" t="s">
        <v>58</v>
      </c>
      <c r="D439" s="25" t="s">
        <v>21</v>
      </c>
      <c r="E439" s="25" t="s">
        <v>88</v>
      </c>
      <c r="F439" s="25">
        <v>2</v>
      </c>
      <c r="G439" s="25" t="s">
        <v>89</v>
      </c>
      <c r="H439" s="25">
        <v>130</v>
      </c>
      <c r="I439" s="25">
        <v>100</v>
      </c>
      <c r="J439" s="25">
        <v>260</v>
      </c>
      <c r="K439" s="25">
        <v>200</v>
      </c>
      <c r="L439" s="25">
        <v>60</v>
      </c>
      <c r="M439" s="27">
        <v>30</v>
      </c>
      <c r="N439" s="25" t="s">
        <v>57</v>
      </c>
      <c r="O439" s="25" t="s">
        <v>27</v>
      </c>
      <c r="P439" s="25" t="s">
        <v>32</v>
      </c>
    </row>
    <row r="440" spans="1:16" x14ac:dyDescent="0.3">
      <c r="A440" s="25">
        <v>439</v>
      </c>
      <c r="B440" s="26">
        <v>45397</v>
      </c>
      <c r="C440" s="25" t="s">
        <v>58</v>
      </c>
      <c r="D440" s="25" t="s">
        <v>21</v>
      </c>
      <c r="E440" s="25" t="s">
        <v>88</v>
      </c>
      <c r="F440" s="25">
        <v>3</v>
      </c>
      <c r="G440" s="25" t="s">
        <v>89</v>
      </c>
      <c r="H440" s="25">
        <v>130</v>
      </c>
      <c r="I440" s="25">
        <v>100</v>
      </c>
      <c r="J440" s="25">
        <v>390</v>
      </c>
      <c r="K440" s="25">
        <v>300</v>
      </c>
      <c r="L440" s="25">
        <v>90</v>
      </c>
      <c r="M440" s="27">
        <v>30</v>
      </c>
      <c r="N440" s="25" t="s">
        <v>57</v>
      </c>
      <c r="O440" s="25" t="s">
        <v>27</v>
      </c>
      <c r="P440" s="25" t="s">
        <v>32</v>
      </c>
    </row>
    <row r="441" spans="1:16" x14ac:dyDescent="0.3">
      <c r="A441" s="25">
        <v>440</v>
      </c>
      <c r="B441" s="26">
        <v>45397</v>
      </c>
      <c r="C441" s="25" t="s">
        <v>58</v>
      </c>
      <c r="D441" s="25" t="s">
        <v>21</v>
      </c>
      <c r="E441" s="25" t="s">
        <v>88</v>
      </c>
      <c r="F441" s="25">
        <v>5</v>
      </c>
      <c r="G441" s="25" t="s">
        <v>89</v>
      </c>
      <c r="H441" s="25">
        <v>130</v>
      </c>
      <c r="I441" s="25">
        <v>100</v>
      </c>
      <c r="J441" s="25">
        <v>650</v>
      </c>
      <c r="K441" s="25">
        <v>500</v>
      </c>
      <c r="L441" s="25">
        <v>150</v>
      </c>
      <c r="M441" s="27">
        <v>30</v>
      </c>
      <c r="N441" s="25" t="s">
        <v>57</v>
      </c>
      <c r="O441" s="25" t="s">
        <v>27</v>
      </c>
      <c r="P441" s="25" t="s">
        <v>32</v>
      </c>
    </row>
    <row r="442" spans="1:16" x14ac:dyDescent="0.3">
      <c r="A442" s="25">
        <v>441</v>
      </c>
      <c r="B442" s="26">
        <v>45397</v>
      </c>
      <c r="C442" s="25" t="s">
        <v>58</v>
      </c>
      <c r="D442" s="25" t="s">
        <v>21</v>
      </c>
      <c r="E442" s="25" t="s">
        <v>88</v>
      </c>
      <c r="F442" s="25">
        <v>2</v>
      </c>
      <c r="G442" s="25" t="s">
        <v>89</v>
      </c>
      <c r="H442" s="25">
        <v>130</v>
      </c>
      <c r="I442" s="25">
        <v>100</v>
      </c>
      <c r="J442" s="25">
        <v>260</v>
      </c>
      <c r="K442" s="25">
        <v>200</v>
      </c>
      <c r="L442" s="25">
        <v>60</v>
      </c>
      <c r="M442" s="27">
        <v>30</v>
      </c>
      <c r="N442" s="25" t="s">
        <v>57</v>
      </c>
      <c r="O442" s="25" t="s">
        <v>27</v>
      </c>
      <c r="P442" s="25" t="s">
        <v>32</v>
      </c>
    </row>
    <row r="443" spans="1:16" x14ac:dyDescent="0.3">
      <c r="A443" s="25">
        <v>442</v>
      </c>
      <c r="B443" s="26">
        <v>45398</v>
      </c>
      <c r="C443" s="25" t="s">
        <v>58</v>
      </c>
      <c r="D443" s="25" t="s">
        <v>21</v>
      </c>
      <c r="E443" s="25" t="s">
        <v>88</v>
      </c>
      <c r="F443" s="25">
        <v>2</v>
      </c>
      <c r="G443" s="25" t="s">
        <v>89</v>
      </c>
      <c r="H443" s="25">
        <v>130</v>
      </c>
      <c r="I443" s="25">
        <v>100</v>
      </c>
      <c r="J443" s="25">
        <v>260</v>
      </c>
      <c r="K443" s="25">
        <v>200</v>
      </c>
      <c r="L443" s="25">
        <v>60</v>
      </c>
      <c r="M443" s="27">
        <v>30</v>
      </c>
      <c r="N443" s="25" t="s">
        <v>57</v>
      </c>
      <c r="O443" s="25" t="s">
        <v>27</v>
      </c>
      <c r="P443" s="25" t="s">
        <v>32</v>
      </c>
    </row>
    <row r="444" spans="1:16" x14ac:dyDescent="0.3">
      <c r="A444" s="25">
        <v>443</v>
      </c>
      <c r="B444" s="26">
        <v>45398</v>
      </c>
      <c r="C444" s="25" t="s">
        <v>58</v>
      </c>
      <c r="D444" s="25" t="s">
        <v>21</v>
      </c>
      <c r="E444" s="25" t="s">
        <v>95</v>
      </c>
      <c r="F444" s="25">
        <v>5</v>
      </c>
      <c r="G444" s="25" t="s">
        <v>89</v>
      </c>
      <c r="H444" s="25">
        <v>150</v>
      </c>
      <c r="I444" s="25">
        <v>100</v>
      </c>
      <c r="J444" s="25">
        <v>750</v>
      </c>
      <c r="K444" s="25">
        <v>500</v>
      </c>
      <c r="L444" s="25">
        <v>250</v>
      </c>
      <c r="M444" s="27">
        <v>50</v>
      </c>
      <c r="N444" s="25" t="s">
        <v>57</v>
      </c>
      <c r="O444" s="25" t="s">
        <v>28</v>
      </c>
      <c r="P444" s="25" t="s">
        <v>32</v>
      </c>
    </row>
    <row r="445" spans="1:16" x14ac:dyDescent="0.3">
      <c r="A445" s="25">
        <v>444</v>
      </c>
      <c r="B445" s="26">
        <v>45398</v>
      </c>
      <c r="C445" s="25" t="s">
        <v>58</v>
      </c>
      <c r="D445" s="25" t="s">
        <v>21</v>
      </c>
      <c r="E445" s="25" t="s">
        <v>94</v>
      </c>
      <c r="F445" s="25">
        <v>12</v>
      </c>
      <c r="G445" s="25" t="s">
        <v>89</v>
      </c>
      <c r="H445" s="25">
        <v>30</v>
      </c>
      <c r="I445" s="25">
        <v>26</v>
      </c>
      <c r="J445" s="25">
        <v>360</v>
      </c>
      <c r="K445" s="25">
        <v>312</v>
      </c>
      <c r="L445" s="25">
        <v>48</v>
      </c>
      <c r="M445" s="27">
        <v>15.384615384615399</v>
      </c>
      <c r="N445" s="25" t="s">
        <v>57</v>
      </c>
      <c r="O445" s="25" t="s">
        <v>27</v>
      </c>
      <c r="P445" s="25" t="s">
        <v>32</v>
      </c>
    </row>
    <row r="446" spans="1:16" x14ac:dyDescent="0.3">
      <c r="A446" s="25">
        <v>445</v>
      </c>
      <c r="B446" s="26">
        <v>45398</v>
      </c>
      <c r="C446" s="25" t="s">
        <v>58</v>
      </c>
      <c r="D446" s="25" t="s">
        <v>21</v>
      </c>
      <c r="E446" s="25" t="s">
        <v>94</v>
      </c>
      <c r="F446" s="25">
        <v>14</v>
      </c>
      <c r="G446" s="25" t="s">
        <v>89</v>
      </c>
      <c r="H446" s="25">
        <v>30</v>
      </c>
      <c r="I446" s="25">
        <v>26</v>
      </c>
      <c r="J446" s="25">
        <v>420</v>
      </c>
      <c r="K446" s="25">
        <v>364</v>
      </c>
      <c r="L446" s="25">
        <v>56</v>
      </c>
      <c r="M446" s="27">
        <v>15.384615384615399</v>
      </c>
      <c r="N446" s="25" t="s">
        <v>57</v>
      </c>
      <c r="O446" s="25" t="s">
        <v>27</v>
      </c>
      <c r="P446" s="25" t="s">
        <v>32</v>
      </c>
    </row>
    <row r="447" spans="1:16" x14ac:dyDescent="0.3">
      <c r="A447" s="25">
        <v>446</v>
      </c>
      <c r="B447" s="26">
        <v>45398</v>
      </c>
      <c r="C447" s="25" t="s">
        <v>58</v>
      </c>
      <c r="D447" s="25" t="s">
        <v>21</v>
      </c>
      <c r="E447" s="25" t="s">
        <v>88</v>
      </c>
      <c r="F447" s="25">
        <v>2</v>
      </c>
      <c r="G447" s="25" t="s">
        <v>89</v>
      </c>
      <c r="H447" s="25">
        <v>130</v>
      </c>
      <c r="I447" s="25">
        <v>100</v>
      </c>
      <c r="J447" s="25">
        <v>260</v>
      </c>
      <c r="K447" s="25">
        <v>200</v>
      </c>
      <c r="L447" s="25">
        <v>60</v>
      </c>
      <c r="M447" s="27">
        <v>30</v>
      </c>
      <c r="N447" s="25" t="s">
        <v>57</v>
      </c>
      <c r="O447" s="25" t="s">
        <v>27</v>
      </c>
      <c r="P447" s="25" t="s">
        <v>32</v>
      </c>
    </row>
    <row r="448" spans="1:16" x14ac:dyDescent="0.3">
      <c r="A448" s="25">
        <v>447</v>
      </c>
      <c r="B448" s="26">
        <v>45398</v>
      </c>
      <c r="C448" s="25" t="s">
        <v>58</v>
      </c>
      <c r="D448" s="25" t="s">
        <v>21</v>
      </c>
      <c r="E448" s="25" t="s">
        <v>88</v>
      </c>
      <c r="F448" s="25">
        <v>4</v>
      </c>
      <c r="G448" s="25" t="s">
        <v>89</v>
      </c>
      <c r="H448" s="25">
        <v>130</v>
      </c>
      <c r="I448" s="25">
        <v>100</v>
      </c>
      <c r="J448" s="25">
        <v>520</v>
      </c>
      <c r="K448" s="25">
        <v>400</v>
      </c>
      <c r="L448" s="25">
        <v>120</v>
      </c>
      <c r="M448" s="27">
        <v>30</v>
      </c>
      <c r="N448" s="25" t="s">
        <v>57</v>
      </c>
      <c r="O448" s="25" t="s">
        <v>27</v>
      </c>
      <c r="P448" s="25" t="s">
        <v>32</v>
      </c>
    </row>
    <row r="449" spans="1:16" x14ac:dyDescent="0.3">
      <c r="A449" s="25">
        <v>448</v>
      </c>
      <c r="B449" s="26">
        <v>45400</v>
      </c>
      <c r="C449" s="25" t="s">
        <v>58</v>
      </c>
      <c r="D449" s="25" t="s">
        <v>21</v>
      </c>
      <c r="E449" s="25" t="s">
        <v>88</v>
      </c>
      <c r="F449" s="25">
        <v>2</v>
      </c>
      <c r="G449" s="25" t="s">
        <v>89</v>
      </c>
      <c r="H449" s="25">
        <v>130</v>
      </c>
      <c r="I449" s="25">
        <v>100</v>
      </c>
      <c r="J449" s="25">
        <v>260</v>
      </c>
      <c r="K449" s="25">
        <v>200</v>
      </c>
      <c r="L449" s="25">
        <v>60</v>
      </c>
      <c r="M449" s="27">
        <v>30</v>
      </c>
      <c r="N449" s="25" t="s">
        <v>57</v>
      </c>
      <c r="O449" s="25" t="s">
        <v>27</v>
      </c>
      <c r="P449" s="25" t="s">
        <v>32</v>
      </c>
    </row>
    <row r="450" spans="1:16" x14ac:dyDescent="0.3">
      <c r="A450" s="25">
        <v>449</v>
      </c>
      <c r="B450" s="26">
        <v>45400</v>
      </c>
      <c r="C450" s="25" t="s">
        <v>58</v>
      </c>
      <c r="D450" s="25" t="s">
        <v>21</v>
      </c>
      <c r="E450" s="25" t="s">
        <v>88</v>
      </c>
      <c r="F450" s="25">
        <v>5</v>
      </c>
      <c r="G450" s="25" t="s">
        <v>89</v>
      </c>
      <c r="H450" s="25">
        <v>130</v>
      </c>
      <c r="I450" s="25">
        <v>100</v>
      </c>
      <c r="J450" s="25">
        <v>650</v>
      </c>
      <c r="K450" s="25">
        <v>500</v>
      </c>
      <c r="L450" s="25">
        <v>150</v>
      </c>
      <c r="M450" s="27">
        <v>30</v>
      </c>
      <c r="N450" s="25" t="s">
        <v>57</v>
      </c>
      <c r="O450" s="25" t="s">
        <v>27</v>
      </c>
      <c r="P450" s="25" t="s">
        <v>32</v>
      </c>
    </row>
    <row r="451" spans="1:16" x14ac:dyDescent="0.3">
      <c r="A451" s="25">
        <v>450</v>
      </c>
      <c r="B451" s="26">
        <v>45400</v>
      </c>
      <c r="C451" s="25" t="s">
        <v>58</v>
      </c>
      <c r="D451" s="25" t="s">
        <v>22</v>
      </c>
      <c r="E451" s="25" t="s">
        <v>90</v>
      </c>
      <c r="F451" s="25">
        <v>1</v>
      </c>
      <c r="G451" s="25" t="s">
        <v>91</v>
      </c>
      <c r="H451" s="25">
        <v>280</v>
      </c>
      <c r="I451" s="25">
        <v>240</v>
      </c>
      <c r="J451" s="25">
        <v>280</v>
      </c>
      <c r="K451" s="25">
        <v>240</v>
      </c>
      <c r="L451" s="25">
        <v>40</v>
      </c>
      <c r="M451" s="27">
        <v>16.6666666666667</v>
      </c>
      <c r="N451" s="25" t="s">
        <v>57</v>
      </c>
      <c r="O451" s="25" t="s">
        <v>28</v>
      </c>
      <c r="P451" s="25" t="s">
        <v>32</v>
      </c>
    </row>
    <row r="452" spans="1:16" x14ac:dyDescent="0.3">
      <c r="A452" s="25">
        <v>451</v>
      </c>
      <c r="B452" s="26">
        <v>45400</v>
      </c>
      <c r="C452" s="25" t="s">
        <v>58</v>
      </c>
      <c r="D452" s="25" t="s">
        <v>22</v>
      </c>
      <c r="E452" s="25" t="s">
        <v>103</v>
      </c>
      <c r="F452" s="25">
        <v>1</v>
      </c>
      <c r="G452" s="25" t="s">
        <v>102</v>
      </c>
      <c r="H452" s="25">
        <v>30</v>
      </c>
      <c r="I452" s="25">
        <v>20</v>
      </c>
      <c r="J452" s="25">
        <v>30</v>
      </c>
      <c r="K452" s="25">
        <v>20</v>
      </c>
      <c r="L452" s="25">
        <v>10</v>
      </c>
      <c r="M452" s="27">
        <v>50</v>
      </c>
      <c r="N452" s="25" t="s">
        <v>57</v>
      </c>
      <c r="O452" s="25" t="s">
        <v>28</v>
      </c>
      <c r="P452" s="25" t="s">
        <v>32</v>
      </c>
    </row>
    <row r="453" spans="1:16" x14ac:dyDescent="0.3">
      <c r="A453" s="25">
        <v>452</v>
      </c>
      <c r="B453" s="26">
        <v>45400</v>
      </c>
      <c r="C453" s="25" t="s">
        <v>58</v>
      </c>
      <c r="D453" s="25" t="s">
        <v>21</v>
      </c>
      <c r="E453" s="25" t="s">
        <v>88</v>
      </c>
      <c r="F453" s="25">
        <v>5</v>
      </c>
      <c r="G453" s="25" t="s">
        <v>89</v>
      </c>
      <c r="H453" s="25">
        <v>130</v>
      </c>
      <c r="I453" s="25">
        <v>100</v>
      </c>
      <c r="J453" s="25">
        <v>650</v>
      </c>
      <c r="K453" s="25">
        <v>500</v>
      </c>
      <c r="L453" s="25">
        <v>150</v>
      </c>
      <c r="M453" s="27">
        <v>30</v>
      </c>
      <c r="N453" s="25" t="s">
        <v>57</v>
      </c>
      <c r="O453" s="25" t="s">
        <v>27</v>
      </c>
      <c r="P453" s="25" t="s">
        <v>32</v>
      </c>
    </row>
    <row r="454" spans="1:16" x14ac:dyDescent="0.3">
      <c r="A454" s="25">
        <v>453</v>
      </c>
      <c r="B454" s="26">
        <v>45400</v>
      </c>
      <c r="C454" s="25" t="s">
        <v>58</v>
      </c>
      <c r="D454" s="25" t="s">
        <v>21</v>
      </c>
      <c r="E454" s="25" t="s">
        <v>88</v>
      </c>
      <c r="F454" s="25">
        <v>2</v>
      </c>
      <c r="G454" s="25" t="s">
        <v>89</v>
      </c>
      <c r="H454" s="25">
        <v>130</v>
      </c>
      <c r="I454" s="25">
        <v>100</v>
      </c>
      <c r="J454" s="25">
        <v>260</v>
      </c>
      <c r="K454" s="25">
        <v>200</v>
      </c>
      <c r="L454" s="25">
        <v>60</v>
      </c>
      <c r="M454" s="27">
        <v>30</v>
      </c>
      <c r="N454" s="25" t="s">
        <v>57</v>
      </c>
      <c r="O454" s="25" t="s">
        <v>27</v>
      </c>
      <c r="P454" s="25" t="s">
        <v>32</v>
      </c>
    </row>
    <row r="455" spans="1:16" x14ac:dyDescent="0.3">
      <c r="A455" s="25">
        <v>454</v>
      </c>
      <c r="B455" s="26">
        <v>45402</v>
      </c>
      <c r="C455" s="25" t="s">
        <v>58</v>
      </c>
      <c r="D455" s="25" t="s">
        <v>21</v>
      </c>
      <c r="E455" s="25" t="s">
        <v>98</v>
      </c>
      <c r="F455" s="25">
        <v>5</v>
      </c>
      <c r="G455" s="25" t="s">
        <v>89</v>
      </c>
      <c r="H455" s="25">
        <v>95</v>
      </c>
      <c r="I455" s="25">
        <v>55</v>
      </c>
      <c r="J455" s="25">
        <v>475</v>
      </c>
      <c r="K455" s="25">
        <v>275</v>
      </c>
      <c r="L455" s="25">
        <v>200</v>
      </c>
      <c r="M455" s="27">
        <v>72.727272727272705</v>
      </c>
      <c r="N455" s="25" t="s">
        <v>57</v>
      </c>
      <c r="O455" s="25" t="s">
        <v>27</v>
      </c>
      <c r="P455" s="25" t="s">
        <v>32</v>
      </c>
    </row>
    <row r="456" spans="1:16" x14ac:dyDescent="0.3">
      <c r="A456" s="25">
        <v>455</v>
      </c>
      <c r="B456" s="26">
        <v>45402</v>
      </c>
      <c r="C456" s="25" t="s">
        <v>58</v>
      </c>
      <c r="D456" s="25" t="s">
        <v>21</v>
      </c>
      <c r="E456" s="25" t="s">
        <v>94</v>
      </c>
      <c r="F456" s="25">
        <v>12</v>
      </c>
      <c r="G456" s="25" t="s">
        <v>89</v>
      </c>
      <c r="H456" s="25">
        <v>30</v>
      </c>
      <c r="I456" s="25">
        <v>26</v>
      </c>
      <c r="J456" s="25">
        <v>360</v>
      </c>
      <c r="K456" s="25">
        <v>312</v>
      </c>
      <c r="L456" s="25">
        <v>48</v>
      </c>
      <c r="M456" s="27">
        <v>15.384615384615399</v>
      </c>
      <c r="N456" s="25" t="s">
        <v>57</v>
      </c>
      <c r="O456" s="25" t="s">
        <v>27</v>
      </c>
      <c r="P456" s="25" t="s">
        <v>32</v>
      </c>
    </row>
    <row r="457" spans="1:16" x14ac:dyDescent="0.3">
      <c r="A457" s="25">
        <v>456</v>
      </c>
      <c r="B457" s="26">
        <v>45402</v>
      </c>
      <c r="C457" s="25" t="s">
        <v>58</v>
      </c>
      <c r="D457" s="25" t="s">
        <v>21</v>
      </c>
      <c r="E457" s="25" t="s">
        <v>88</v>
      </c>
      <c r="F457" s="25">
        <v>5</v>
      </c>
      <c r="G457" s="25" t="s">
        <v>89</v>
      </c>
      <c r="H457" s="25">
        <v>130</v>
      </c>
      <c r="I457" s="25">
        <v>100</v>
      </c>
      <c r="J457" s="25">
        <v>650</v>
      </c>
      <c r="K457" s="25">
        <v>500</v>
      </c>
      <c r="L457" s="25">
        <v>150</v>
      </c>
      <c r="M457" s="27">
        <v>30</v>
      </c>
      <c r="N457" s="25" t="s">
        <v>57</v>
      </c>
      <c r="O457" s="25" t="s">
        <v>27</v>
      </c>
      <c r="P457" s="25" t="s">
        <v>32</v>
      </c>
    </row>
    <row r="458" spans="1:16" x14ac:dyDescent="0.3">
      <c r="A458" s="25">
        <v>457</v>
      </c>
      <c r="B458" s="26">
        <v>45402</v>
      </c>
      <c r="C458" s="25" t="s">
        <v>58</v>
      </c>
      <c r="D458" s="25" t="s">
        <v>22</v>
      </c>
      <c r="E458" s="25" t="s">
        <v>92</v>
      </c>
      <c r="F458" s="25">
        <v>2</v>
      </c>
      <c r="G458" s="25" t="s">
        <v>91</v>
      </c>
      <c r="H458" s="25">
        <v>260</v>
      </c>
      <c r="I458" s="25">
        <v>220</v>
      </c>
      <c r="J458" s="25">
        <v>520</v>
      </c>
      <c r="K458" s="25">
        <v>440</v>
      </c>
      <c r="L458" s="25">
        <v>80</v>
      </c>
      <c r="M458" s="27">
        <v>18.181818181818201</v>
      </c>
      <c r="N458" s="25" t="s">
        <v>57</v>
      </c>
      <c r="O458" s="25" t="s">
        <v>28</v>
      </c>
      <c r="P458" s="25" t="s">
        <v>32</v>
      </c>
    </row>
    <row r="459" spans="1:16" x14ac:dyDescent="0.3">
      <c r="A459" s="25">
        <v>458</v>
      </c>
      <c r="B459" s="26">
        <v>45402</v>
      </c>
      <c r="C459" s="25" t="s">
        <v>58</v>
      </c>
      <c r="D459" s="25" t="s">
        <v>22</v>
      </c>
      <c r="E459" s="25" t="s">
        <v>103</v>
      </c>
      <c r="F459" s="25">
        <v>1</v>
      </c>
      <c r="G459" s="25" t="s">
        <v>102</v>
      </c>
      <c r="H459" s="25">
        <v>30</v>
      </c>
      <c r="I459" s="25">
        <v>20</v>
      </c>
      <c r="J459" s="25">
        <v>30</v>
      </c>
      <c r="K459" s="25">
        <v>20</v>
      </c>
      <c r="L459" s="25">
        <v>10</v>
      </c>
      <c r="M459" s="27">
        <v>50</v>
      </c>
      <c r="N459" s="25" t="s">
        <v>57</v>
      </c>
      <c r="O459" s="25" t="s">
        <v>28</v>
      </c>
      <c r="P459" s="25" t="s">
        <v>32</v>
      </c>
    </row>
    <row r="460" spans="1:16" x14ac:dyDescent="0.3">
      <c r="A460" s="25">
        <v>459</v>
      </c>
      <c r="B460" s="26">
        <v>45403</v>
      </c>
      <c r="C460" s="25" t="s">
        <v>58</v>
      </c>
      <c r="D460" s="25" t="s">
        <v>21</v>
      </c>
      <c r="E460" s="25" t="s">
        <v>88</v>
      </c>
      <c r="F460" s="25">
        <v>4</v>
      </c>
      <c r="G460" s="25" t="s">
        <v>89</v>
      </c>
      <c r="H460" s="25">
        <v>130</v>
      </c>
      <c r="I460" s="25">
        <v>100</v>
      </c>
      <c r="J460" s="25">
        <v>520</v>
      </c>
      <c r="K460" s="25">
        <v>400</v>
      </c>
      <c r="L460" s="25">
        <v>120</v>
      </c>
      <c r="M460" s="27">
        <v>30</v>
      </c>
      <c r="N460" s="25" t="s">
        <v>57</v>
      </c>
      <c r="O460" s="25" t="s">
        <v>27</v>
      </c>
      <c r="P460" s="25" t="s">
        <v>32</v>
      </c>
    </row>
    <row r="461" spans="1:16" x14ac:dyDescent="0.3">
      <c r="A461" s="25">
        <v>460</v>
      </c>
      <c r="B461" s="26">
        <v>45403</v>
      </c>
      <c r="C461" s="25" t="s">
        <v>58</v>
      </c>
      <c r="D461" s="25" t="s">
        <v>21</v>
      </c>
      <c r="E461" s="25" t="s">
        <v>98</v>
      </c>
      <c r="F461" s="25">
        <v>2</v>
      </c>
      <c r="G461" s="25" t="s">
        <v>89</v>
      </c>
      <c r="H461" s="25">
        <v>95</v>
      </c>
      <c r="I461" s="25">
        <v>55</v>
      </c>
      <c r="J461" s="25">
        <v>190</v>
      </c>
      <c r="K461" s="25">
        <v>110</v>
      </c>
      <c r="L461" s="25">
        <v>80</v>
      </c>
      <c r="M461" s="27">
        <v>72.727272727272705</v>
      </c>
      <c r="N461" s="25" t="s">
        <v>57</v>
      </c>
      <c r="O461" s="25" t="s">
        <v>27</v>
      </c>
      <c r="P461" s="25" t="s">
        <v>32</v>
      </c>
    </row>
    <row r="462" spans="1:16" x14ac:dyDescent="0.3">
      <c r="A462" s="25">
        <v>461</v>
      </c>
      <c r="B462" s="26">
        <v>45403</v>
      </c>
      <c r="C462" s="25" t="s">
        <v>58</v>
      </c>
      <c r="D462" s="25" t="s">
        <v>21</v>
      </c>
      <c r="E462" s="25" t="s">
        <v>88</v>
      </c>
      <c r="F462" s="25">
        <v>4</v>
      </c>
      <c r="G462" s="25" t="s">
        <v>89</v>
      </c>
      <c r="H462" s="25">
        <v>130</v>
      </c>
      <c r="I462" s="25">
        <v>100</v>
      </c>
      <c r="J462" s="25">
        <v>520</v>
      </c>
      <c r="K462" s="25">
        <v>400</v>
      </c>
      <c r="L462" s="25">
        <v>120</v>
      </c>
      <c r="M462" s="27">
        <v>30</v>
      </c>
      <c r="N462" s="25" t="s">
        <v>57</v>
      </c>
      <c r="O462" s="25" t="s">
        <v>27</v>
      </c>
      <c r="P462" s="25" t="s">
        <v>32</v>
      </c>
    </row>
    <row r="463" spans="1:16" x14ac:dyDescent="0.3">
      <c r="A463" s="25">
        <v>462</v>
      </c>
      <c r="B463" s="26">
        <v>45403</v>
      </c>
      <c r="C463" s="25" t="s">
        <v>58</v>
      </c>
      <c r="D463" s="25" t="s">
        <v>22</v>
      </c>
      <c r="E463" s="25" t="s">
        <v>90</v>
      </c>
      <c r="F463" s="25">
        <v>1.5</v>
      </c>
      <c r="G463" s="25" t="s">
        <v>91</v>
      </c>
      <c r="H463" s="25">
        <v>280</v>
      </c>
      <c r="I463" s="25">
        <v>240</v>
      </c>
      <c r="J463" s="25">
        <v>420</v>
      </c>
      <c r="K463" s="25">
        <v>360</v>
      </c>
      <c r="L463" s="25">
        <v>60</v>
      </c>
      <c r="M463" s="27">
        <v>16.6666666666667</v>
      </c>
      <c r="N463" s="25" t="s">
        <v>57</v>
      </c>
      <c r="O463" s="25" t="s">
        <v>28</v>
      </c>
      <c r="P463" s="25" t="s">
        <v>33</v>
      </c>
    </row>
    <row r="464" spans="1:16" x14ac:dyDescent="0.3">
      <c r="A464" s="25">
        <v>463</v>
      </c>
      <c r="B464" s="26">
        <v>45403</v>
      </c>
      <c r="C464" s="25" t="s">
        <v>58</v>
      </c>
      <c r="D464" s="25" t="s">
        <v>22</v>
      </c>
      <c r="E464" s="25" t="s">
        <v>99</v>
      </c>
      <c r="F464" s="25">
        <v>2</v>
      </c>
      <c r="G464" s="25" t="s">
        <v>100</v>
      </c>
      <c r="H464" s="25">
        <v>200</v>
      </c>
      <c r="I464" s="25">
        <v>160</v>
      </c>
      <c r="J464" s="25">
        <v>400</v>
      </c>
      <c r="K464" s="25">
        <v>320</v>
      </c>
      <c r="L464" s="25">
        <v>80</v>
      </c>
      <c r="M464" s="27">
        <v>25</v>
      </c>
      <c r="N464" s="25" t="s">
        <v>57</v>
      </c>
      <c r="O464" s="25" t="s">
        <v>28</v>
      </c>
      <c r="P464" s="25" t="s">
        <v>33</v>
      </c>
    </row>
    <row r="465" spans="1:16" x14ac:dyDescent="0.3">
      <c r="A465" s="25">
        <v>464</v>
      </c>
      <c r="B465" s="26">
        <v>45404</v>
      </c>
      <c r="C465" s="25" t="s">
        <v>58</v>
      </c>
      <c r="D465" s="25" t="s">
        <v>21</v>
      </c>
      <c r="E465" s="25" t="s">
        <v>94</v>
      </c>
      <c r="F465" s="25">
        <v>16</v>
      </c>
      <c r="G465" s="25" t="s">
        <v>89</v>
      </c>
      <c r="H465" s="25">
        <v>30</v>
      </c>
      <c r="I465" s="25">
        <v>26</v>
      </c>
      <c r="J465" s="25">
        <v>480</v>
      </c>
      <c r="K465" s="25">
        <v>416</v>
      </c>
      <c r="L465" s="25">
        <v>64</v>
      </c>
      <c r="M465" s="27">
        <v>15.384615384615399</v>
      </c>
      <c r="N465" s="25" t="s">
        <v>57</v>
      </c>
      <c r="O465" s="25" t="s">
        <v>27</v>
      </c>
      <c r="P465" s="25" t="s">
        <v>32</v>
      </c>
    </row>
    <row r="466" spans="1:16" x14ac:dyDescent="0.3">
      <c r="A466" s="25">
        <v>465</v>
      </c>
      <c r="B466" s="26">
        <v>45404</v>
      </c>
      <c r="C466" s="25" t="s">
        <v>58</v>
      </c>
      <c r="D466" s="25" t="s">
        <v>21</v>
      </c>
      <c r="E466" s="25" t="s">
        <v>88</v>
      </c>
      <c r="F466" s="25">
        <v>3</v>
      </c>
      <c r="G466" s="25" t="s">
        <v>89</v>
      </c>
      <c r="H466" s="25">
        <v>130</v>
      </c>
      <c r="I466" s="25">
        <v>100</v>
      </c>
      <c r="J466" s="25">
        <v>390</v>
      </c>
      <c r="K466" s="25">
        <v>300</v>
      </c>
      <c r="L466" s="25">
        <v>90</v>
      </c>
      <c r="M466" s="27">
        <v>30</v>
      </c>
      <c r="N466" s="25" t="s">
        <v>57</v>
      </c>
      <c r="O466" s="25" t="s">
        <v>27</v>
      </c>
      <c r="P466" s="25" t="s">
        <v>32</v>
      </c>
    </row>
    <row r="467" spans="1:16" x14ac:dyDescent="0.3">
      <c r="A467" s="25">
        <v>466</v>
      </c>
      <c r="B467" s="26">
        <v>45404</v>
      </c>
      <c r="C467" s="25" t="s">
        <v>58</v>
      </c>
      <c r="D467" s="25" t="s">
        <v>21</v>
      </c>
      <c r="E467" s="25" t="s">
        <v>88</v>
      </c>
      <c r="F467" s="25">
        <v>5</v>
      </c>
      <c r="G467" s="25" t="s">
        <v>89</v>
      </c>
      <c r="H467" s="25">
        <v>130</v>
      </c>
      <c r="I467" s="25">
        <v>100</v>
      </c>
      <c r="J467" s="25">
        <v>650</v>
      </c>
      <c r="K467" s="25">
        <v>500</v>
      </c>
      <c r="L467" s="25">
        <v>150</v>
      </c>
      <c r="M467" s="27">
        <v>30</v>
      </c>
      <c r="N467" s="25" t="s">
        <v>57</v>
      </c>
      <c r="O467" s="25" t="s">
        <v>27</v>
      </c>
      <c r="P467" s="25" t="s">
        <v>32</v>
      </c>
    </row>
    <row r="468" spans="1:16" x14ac:dyDescent="0.3">
      <c r="A468" s="25">
        <v>467</v>
      </c>
      <c r="B468" s="26">
        <v>45404</v>
      </c>
      <c r="C468" s="25" t="s">
        <v>58</v>
      </c>
      <c r="D468" s="25" t="s">
        <v>21</v>
      </c>
      <c r="E468" s="25" t="s">
        <v>88</v>
      </c>
      <c r="F468" s="25">
        <v>2</v>
      </c>
      <c r="G468" s="25" t="s">
        <v>89</v>
      </c>
      <c r="H468" s="25">
        <v>130</v>
      </c>
      <c r="I468" s="25">
        <v>100</v>
      </c>
      <c r="J468" s="25">
        <v>260</v>
      </c>
      <c r="K468" s="25">
        <v>200</v>
      </c>
      <c r="L468" s="25">
        <v>60</v>
      </c>
      <c r="M468" s="27">
        <v>30</v>
      </c>
      <c r="N468" s="25" t="s">
        <v>57</v>
      </c>
      <c r="O468" s="25" t="s">
        <v>27</v>
      </c>
      <c r="P468" s="25" t="s">
        <v>32</v>
      </c>
    </row>
    <row r="469" spans="1:16" x14ac:dyDescent="0.3">
      <c r="A469" s="25">
        <v>468</v>
      </c>
      <c r="B469" s="26">
        <v>45404</v>
      </c>
      <c r="C469" s="25" t="s">
        <v>58</v>
      </c>
      <c r="D469" s="25" t="s">
        <v>21</v>
      </c>
      <c r="E469" s="25" t="s">
        <v>88</v>
      </c>
      <c r="F469" s="25">
        <v>6</v>
      </c>
      <c r="G469" s="25" t="s">
        <v>89</v>
      </c>
      <c r="H469" s="25">
        <v>130</v>
      </c>
      <c r="I469" s="25">
        <v>100</v>
      </c>
      <c r="J469" s="25">
        <v>780</v>
      </c>
      <c r="K469" s="25">
        <v>600</v>
      </c>
      <c r="L469" s="25">
        <v>180</v>
      </c>
      <c r="M469" s="27">
        <v>30</v>
      </c>
      <c r="N469" s="25" t="s">
        <v>57</v>
      </c>
      <c r="O469" s="25" t="s">
        <v>27</v>
      </c>
      <c r="P469" s="25" t="s">
        <v>32</v>
      </c>
    </row>
    <row r="470" spans="1:16" x14ac:dyDescent="0.3">
      <c r="A470" s="25">
        <v>469</v>
      </c>
      <c r="B470" s="26">
        <v>45404</v>
      </c>
      <c r="C470" s="25" t="s">
        <v>58</v>
      </c>
      <c r="D470" s="25" t="s">
        <v>21</v>
      </c>
      <c r="E470" s="25" t="s">
        <v>98</v>
      </c>
      <c r="F470" s="25">
        <v>3</v>
      </c>
      <c r="G470" s="25" t="s">
        <v>89</v>
      </c>
      <c r="H470" s="25">
        <v>95</v>
      </c>
      <c r="I470" s="25">
        <v>55</v>
      </c>
      <c r="J470" s="25">
        <v>285</v>
      </c>
      <c r="K470" s="25">
        <v>165</v>
      </c>
      <c r="L470" s="25">
        <v>120</v>
      </c>
      <c r="M470" s="27">
        <v>72.727272727272705</v>
      </c>
      <c r="N470" s="25" t="s">
        <v>57</v>
      </c>
      <c r="O470" s="25" t="s">
        <v>27</v>
      </c>
      <c r="P470" s="25" t="s">
        <v>32</v>
      </c>
    </row>
    <row r="471" spans="1:16" x14ac:dyDescent="0.3">
      <c r="A471" s="25">
        <v>470</v>
      </c>
      <c r="B471" s="26">
        <v>45405</v>
      </c>
      <c r="C471" s="25" t="s">
        <v>58</v>
      </c>
      <c r="D471" s="25" t="s">
        <v>21</v>
      </c>
      <c r="E471" s="25" t="s">
        <v>93</v>
      </c>
      <c r="F471" s="25">
        <v>2</v>
      </c>
      <c r="G471" s="25" t="s">
        <v>89</v>
      </c>
      <c r="H471" s="25">
        <v>250</v>
      </c>
      <c r="I471" s="25">
        <v>180</v>
      </c>
      <c r="J471" s="25">
        <v>500</v>
      </c>
      <c r="K471" s="25">
        <v>360</v>
      </c>
      <c r="L471" s="25">
        <v>140</v>
      </c>
      <c r="M471" s="27">
        <v>38.8888888888889</v>
      </c>
      <c r="N471" s="25" t="s">
        <v>57</v>
      </c>
      <c r="O471" s="25" t="s">
        <v>27</v>
      </c>
      <c r="P471" s="25" t="s">
        <v>32</v>
      </c>
    </row>
    <row r="472" spans="1:16" x14ac:dyDescent="0.3">
      <c r="A472" s="25">
        <v>471</v>
      </c>
      <c r="B472" s="26">
        <v>45405</v>
      </c>
      <c r="C472" s="25" t="s">
        <v>58</v>
      </c>
      <c r="D472" s="25" t="s">
        <v>21</v>
      </c>
      <c r="E472" s="25" t="s">
        <v>88</v>
      </c>
      <c r="F472" s="25">
        <v>5</v>
      </c>
      <c r="G472" s="25" t="s">
        <v>89</v>
      </c>
      <c r="H472" s="25">
        <v>130</v>
      </c>
      <c r="I472" s="25">
        <v>100</v>
      </c>
      <c r="J472" s="25">
        <v>650</v>
      </c>
      <c r="K472" s="25">
        <v>500</v>
      </c>
      <c r="L472" s="25">
        <v>150</v>
      </c>
      <c r="M472" s="27">
        <v>30</v>
      </c>
      <c r="N472" s="25" t="s">
        <v>57</v>
      </c>
      <c r="O472" s="25" t="s">
        <v>27</v>
      </c>
      <c r="P472" s="25" t="s">
        <v>32</v>
      </c>
    </row>
    <row r="473" spans="1:16" x14ac:dyDescent="0.3">
      <c r="A473" s="25">
        <v>472</v>
      </c>
      <c r="B473" s="26">
        <v>45405</v>
      </c>
      <c r="C473" s="25" t="s">
        <v>58</v>
      </c>
      <c r="D473" s="25" t="s">
        <v>21</v>
      </c>
      <c r="E473" s="25" t="s">
        <v>88</v>
      </c>
      <c r="F473" s="25">
        <v>3</v>
      </c>
      <c r="G473" s="25" t="s">
        <v>89</v>
      </c>
      <c r="H473" s="25">
        <v>130</v>
      </c>
      <c r="I473" s="25">
        <v>100</v>
      </c>
      <c r="J473" s="25">
        <v>390</v>
      </c>
      <c r="K473" s="25">
        <v>300</v>
      </c>
      <c r="L473" s="25">
        <v>90</v>
      </c>
      <c r="M473" s="27">
        <v>30</v>
      </c>
      <c r="N473" s="25" t="s">
        <v>57</v>
      </c>
      <c r="O473" s="25" t="s">
        <v>27</v>
      </c>
      <c r="P473" s="25" t="s">
        <v>32</v>
      </c>
    </row>
    <row r="474" spans="1:16" x14ac:dyDescent="0.3">
      <c r="A474" s="25">
        <v>473</v>
      </c>
      <c r="B474" s="26">
        <v>45405</v>
      </c>
      <c r="C474" s="25" t="s">
        <v>58</v>
      </c>
      <c r="D474" s="25" t="s">
        <v>22</v>
      </c>
      <c r="E474" s="25" t="s">
        <v>90</v>
      </c>
      <c r="F474" s="25">
        <v>1</v>
      </c>
      <c r="G474" s="25" t="s">
        <v>91</v>
      </c>
      <c r="H474" s="25">
        <v>280</v>
      </c>
      <c r="I474" s="25">
        <v>240</v>
      </c>
      <c r="J474" s="25">
        <v>280</v>
      </c>
      <c r="K474" s="25">
        <v>240</v>
      </c>
      <c r="L474" s="25">
        <v>40</v>
      </c>
      <c r="M474" s="27">
        <v>16.6666666666667</v>
      </c>
      <c r="N474" s="25" t="s">
        <v>57</v>
      </c>
      <c r="O474" s="25" t="s">
        <v>28</v>
      </c>
      <c r="P474" s="25" t="s">
        <v>32</v>
      </c>
    </row>
    <row r="475" spans="1:16" x14ac:dyDescent="0.3">
      <c r="A475" s="25">
        <v>474</v>
      </c>
      <c r="B475" s="26">
        <v>45405</v>
      </c>
      <c r="C475" s="25" t="s">
        <v>58</v>
      </c>
      <c r="D475" s="25" t="s">
        <v>21</v>
      </c>
      <c r="E475" s="25" t="s">
        <v>95</v>
      </c>
      <c r="F475" s="25">
        <v>4</v>
      </c>
      <c r="G475" s="25" t="s">
        <v>89</v>
      </c>
      <c r="H475" s="25">
        <v>150</v>
      </c>
      <c r="I475" s="25">
        <v>100</v>
      </c>
      <c r="J475" s="25">
        <v>600</v>
      </c>
      <c r="K475" s="25">
        <v>400</v>
      </c>
      <c r="L475" s="25">
        <v>200</v>
      </c>
      <c r="M475" s="27">
        <v>50</v>
      </c>
      <c r="N475" s="25" t="s">
        <v>57</v>
      </c>
      <c r="O475" s="25" t="s">
        <v>28</v>
      </c>
      <c r="P475" s="25" t="s">
        <v>32</v>
      </c>
    </row>
    <row r="476" spans="1:16" x14ac:dyDescent="0.3">
      <c r="A476" s="25">
        <v>475</v>
      </c>
      <c r="B476" s="26">
        <v>45407</v>
      </c>
      <c r="C476" s="25" t="s">
        <v>58</v>
      </c>
      <c r="D476" s="25" t="s">
        <v>21</v>
      </c>
      <c r="E476" s="25" t="s">
        <v>88</v>
      </c>
      <c r="F476" s="25">
        <v>5</v>
      </c>
      <c r="G476" s="25" t="s">
        <v>89</v>
      </c>
      <c r="H476" s="25">
        <v>130</v>
      </c>
      <c r="I476" s="25">
        <v>100</v>
      </c>
      <c r="J476" s="25">
        <v>650</v>
      </c>
      <c r="K476" s="25">
        <v>500</v>
      </c>
      <c r="L476" s="25">
        <v>150</v>
      </c>
      <c r="M476" s="27">
        <v>30</v>
      </c>
      <c r="N476" s="25" t="s">
        <v>57</v>
      </c>
      <c r="O476" s="25" t="s">
        <v>27</v>
      </c>
      <c r="P476" s="25" t="s">
        <v>32</v>
      </c>
    </row>
    <row r="477" spans="1:16" x14ac:dyDescent="0.3">
      <c r="A477" s="25">
        <v>476</v>
      </c>
      <c r="B477" s="26">
        <v>45407</v>
      </c>
      <c r="C477" s="25" t="s">
        <v>58</v>
      </c>
      <c r="D477" s="25" t="s">
        <v>21</v>
      </c>
      <c r="E477" s="25" t="s">
        <v>88</v>
      </c>
      <c r="F477" s="25">
        <v>6</v>
      </c>
      <c r="G477" s="25" t="s">
        <v>89</v>
      </c>
      <c r="H477" s="25">
        <v>130</v>
      </c>
      <c r="I477" s="25">
        <v>100</v>
      </c>
      <c r="J477" s="25">
        <v>780</v>
      </c>
      <c r="K477" s="25">
        <v>600</v>
      </c>
      <c r="L477" s="25">
        <v>180</v>
      </c>
      <c r="M477" s="27">
        <v>30</v>
      </c>
      <c r="N477" s="25" t="s">
        <v>57</v>
      </c>
      <c r="O477" s="25" t="s">
        <v>27</v>
      </c>
      <c r="P477" s="25" t="s">
        <v>32</v>
      </c>
    </row>
    <row r="478" spans="1:16" x14ac:dyDescent="0.3">
      <c r="A478" s="25">
        <v>477</v>
      </c>
      <c r="B478" s="26">
        <v>45407</v>
      </c>
      <c r="C478" s="25" t="s">
        <v>58</v>
      </c>
      <c r="D478" s="25" t="s">
        <v>21</v>
      </c>
      <c r="E478" s="25" t="s">
        <v>94</v>
      </c>
      <c r="F478" s="25">
        <v>8</v>
      </c>
      <c r="G478" s="25" t="s">
        <v>89</v>
      </c>
      <c r="H478" s="25">
        <v>30</v>
      </c>
      <c r="I478" s="25">
        <v>26</v>
      </c>
      <c r="J478" s="25">
        <v>240</v>
      </c>
      <c r="K478" s="25">
        <v>208</v>
      </c>
      <c r="L478" s="25">
        <v>32</v>
      </c>
      <c r="M478" s="27">
        <v>15.384615384615399</v>
      </c>
      <c r="N478" s="25" t="s">
        <v>57</v>
      </c>
      <c r="O478" s="25" t="s">
        <v>27</v>
      </c>
      <c r="P478" s="25" t="s">
        <v>32</v>
      </c>
    </row>
    <row r="479" spans="1:16" x14ac:dyDescent="0.3">
      <c r="A479" s="25">
        <v>478</v>
      </c>
      <c r="B479" s="26">
        <v>45407</v>
      </c>
      <c r="C479" s="25" t="s">
        <v>58</v>
      </c>
      <c r="D479" s="25" t="s">
        <v>21</v>
      </c>
      <c r="E479" s="25" t="s">
        <v>98</v>
      </c>
      <c r="F479" s="25">
        <v>2</v>
      </c>
      <c r="G479" s="25" t="s">
        <v>89</v>
      </c>
      <c r="H479" s="25">
        <v>95</v>
      </c>
      <c r="I479" s="25">
        <v>55</v>
      </c>
      <c r="J479" s="25">
        <v>190</v>
      </c>
      <c r="K479" s="25">
        <v>110</v>
      </c>
      <c r="L479" s="25">
        <v>80</v>
      </c>
      <c r="M479" s="27">
        <v>72.727272727272705</v>
      </c>
      <c r="N479" s="25" t="s">
        <v>57</v>
      </c>
      <c r="O479" s="25" t="s">
        <v>27</v>
      </c>
      <c r="P479" s="25" t="s">
        <v>32</v>
      </c>
    </row>
    <row r="480" spans="1:16" x14ac:dyDescent="0.3">
      <c r="A480" s="25">
        <v>479</v>
      </c>
      <c r="B480" s="26">
        <v>45408</v>
      </c>
      <c r="C480" s="25" t="s">
        <v>58</v>
      </c>
      <c r="D480" s="25" t="s">
        <v>21</v>
      </c>
      <c r="E480" s="25" t="s">
        <v>88</v>
      </c>
      <c r="F480" s="25">
        <v>2</v>
      </c>
      <c r="G480" s="25" t="s">
        <v>89</v>
      </c>
      <c r="H480" s="25">
        <v>130</v>
      </c>
      <c r="I480" s="25">
        <v>100</v>
      </c>
      <c r="J480" s="25">
        <v>260</v>
      </c>
      <c r="K480" s="25">
        <v>200</v>
      </c>
      <c r="L480" s="25">
        <v>60</v>
      </c>
      <c r="M480" s="27">
        <v>30</v>
      </c>
      <c r="N480" s="25" t="s">
        <v>57</v>
      </c>
      <c r="O480" s="25" t="s">
        <v>27</v>
      </c>
      <c r="P480" s="25" t="s">
        <v>32</v>
      </c>
    </row>
    <row r="481" spans="1:16" x14ac:dyDescent="0.3">
      <c r="A481" s="25">
        <v>480</v>
      </c>
      <c r="B481" s="26">
        <v>45408</v>
      </c>
      <c r="C481" s="25" t="s">
        <v>58</v>
      </c>
      <c r="D481" s="25" t="s">
        <v>21</v>
      </c>
      <c r="E481" s="25" t="s">
        <v>88</v>
      </c>
      <c r="F481" s="25">
        <v>4</v>
      </c>
      <c r="G481" s="25" t="s">
        <v>89</v>
      </c>
      <c r="H481" s="25">
        <v>130</v>
      </c>
      <c r="I481" s="25">
        <v>100</v>
      </c>
      <c r="J481" s="25">
        <v>520</v>
      </c>
      <c r="K481" s="25">
        <v>400</v>
      </c>
      <c r="L481" s="25">
        <v>120</v>
      </c>
      <c r="M481" s="27">
        <v>30</v>
      </c>
      <c r="N481" s="25" t="s">
        <v>57</v>
      </c>
      <c r="O481" s="25" t="s">
        <v>27</v>
      </c>
      <c r="P481" s="25" t="s">
        <v>32</v>
      </c>
    </row>
    <row r="482" spans="1:16" x14ac:dyDescent="0.3">
      <c r="A482" s="25">
        <v>481</v>
      </c>
      <c r="B482" s="26">
        <v>45408</v>
      </c>
      <c r="C482" s="25" t="s">
        <v>58</v>
      </c>
      <c r="D482" s="25" t="s">
        <v>21</v>
      </c>
      <c r="E482" s="25" t="s">
        <v>88</v>
      </c>
      <c r="F482" s="25">
        <v>3</v>
      </c>
      <c r="G482" s="25" t="s">
        <v>89</v>
      </c>
      <c r="H482" s="25">
        <v>130</v>
      </c>
      <c r="I482" s="25">
        <v>100</v>
      </c>
      <c r="J482" s="25">
        <v>390</v>
      </c>
      <c r="K482" s="25">
        <v>300</v>
      </c>
      <c r="L482" s="25">
        <v>90</v>
      </c>
      <c r="M482" s="27">
        <v>30</v>
      </c>
      <c r="N482" s="25" t="s">
        <v>57</v>
      </c>
      <c r="O482" s="25" t="s">
        <v>27</v>
      </c>
      <c r="P482" s="25" t="s">
        <v>32</v>
      </c>
    </row>
    <row r="483" spans="1:16" x14ac:dyDescent="0.3">
      <c r="A483" s="25">
        <v>482</v>
      </c>
      <c r="B483" s="26">
        <v>45409</v>
      </c>
      <c r="C483" s="25" t="s">
        <v>58</v>
      </c>
      <c r="D483" s="25" t="s">
        <v>21</v>
      </c>
      <c r="E483" s="25" t="s">
        <v>88</v>
      </c>
      <c r="F483" s="25">
        <v>7</v>
      </c>
      <c r="G483" s="25" t="s">
        <v>89</v>
      </c>
      <c r="H483" s="25">
        <v>130</v>
      </c>
      <c r="I483" s="25">
        <v>100</v>
      </c>
      <c r="J483" s="25">
        <v>910</v>
      </c>
      <c r="K483" s="25">
        <v>700</v>
      </c>
      <c r="L483" s="25">
        <v>210</v>
      </c>
      <c r="M483" s="27">
        <v>30</v>
      </c>
      <c r="N483" s="25" t="s">
        <v>57</v>
      </c>
      <c r="O483" s="25" t="s">
        <v>27</v>
      </c>
      <c r="P483" s="25" t="s">
        <v>32</v>
      </c>
    </row>
    <row r="484" spans="1:16" x14ac:dyDescent="0.3">
      <c r="A484" s="25">
        <v>483</v>
      </c>
      <c r="B484" s="26">
        <v>45409</v>
      </c>
      <c r="C484" s="25" t="s">
        <v>58</v>
      </c>
      <c r="D484" s="25" t="s">
        <v>21</v>
      </c>
      <c r="E484" s="25" t="s">
        <v>88</v>
      </c>
      <c r="F484" s="25">
        <v>3</v>
      </c>
      <c r="G484" s="25" t="s">
        <v>89</v>
      </c>
      <c r="H484" s="25">
        <v>130</v>
      </c>
      <c r="I484" s="25">
        <v>100</v>
      </c>
      <c r="J484" s="25">
        <v>390</v>
      </c>
      <c r="K484" s="25">
        <v>300</v>
      </c>
      <c r="L484" s="25">
        <v>90</v>
      </c>
      <c r="M484" s="27">
        <v>30</v>
      </c>
      <c r="N484" s="25" t="s">
        <v>57</v>
      </c>
      <c r="O484" s="25" t="s">
        <v>27</v>
      </c>
      <c r="P484" s="25" t="s">
        <v>32</v>
      </c>
    </row>
    <row r="485" spans="1:16" x14ac:dyDescent="0.3">
      <c r="A485" s="25">
        <v>484</v>
      </c>
      <c r="B485" s="26">
        <v>45409</v>
      </c>
      <c r="C485" s="25" t="s">
        <v>58</v>
      </c>
      <c r="D485" s="25" t="s">
        <v>21</v>
      </c>
      <c r="E485" s="25" t="s">
        <v>88</v>
      </c>
      <c r="F485" s="25">
        <v>9</v>
      </c>
      <c r="G485" s="25" t="s">
        <v>89</v>
      </c>
      <c r="H485" s="25">
        <v>130</v>
      </c>
      <c r="I485" s="25">
        <v>100</v>
      </c>
      <c r="J485" s="25">
        <v>1170</v>
      </c>
      <c r="K485" s="25">
        <v>900</v>
      </c>
      <c r="L485" s="25">
        <v>270</v>
      </c>
      <c r="M485" s="27">
        <v>30</v>
      </c>
      <c r="N485" s="25" t="s">
        <v>57</v>
      </c>
      <c r="O485" s="25" t="s">
        <v>27</v>
      </c>
      <c r="P485" s="25" t="s">
        <v>32</v>
      </c>
    </row>
    <row r="486" spans="1:16" x14ac:dyDescent="0.3">
      <c r="A486" s="25">
        <v>485</v>
      </c>
      <c r="B486" s="26">
        <v>45409</v>
      </c>
      <c r="C486" s="25" t="s">
        <v>58</v>
      </c>
      <c r="D486" s="25" t="s">
        <v>21</v>
      </c>
      <c r="E486" s="25" t="s">
        <v>88</v>
      </c>
      <c r="F486" s="25">
        <v>3</v>
      </c>
      <c r="G486" s="25" t="s">
        <v>89</v>
      </c>
      <c r="H486" s="25">
        <v>130</v>
      </c>
      <c r="I486" s="25">
        <v>100</v>
      </c>
      <c r="J486" s="25">
        <v>390</v>
      </c>
      <c r="K486" s="25">
        <v>300</v>
      </c>
      <c r="L486" s="25">
        <v>90</v>
      </c>
      <c r="M486" s="27">
        <v>30</v>
      </c>
      <c r="N486" s="25" t="s">
        <v>57</v>
      </c>
      <c r="O486" s="25" t="s">
        <v>27</v>
      </c>
      <c r="P486" s="25" t="s">
        <v>32</v>
      </c>
    </row>
    <row r="487" spans="1:16" x14ac:dyDescent="0.3">
      <c r="A487" s="25">
        <v>486</v>
      </c>
      <c r="B487" s="26">
        <v>45409</v>
      </c>
      <c r="C487" s="25" t="s">
        <v>58</v>
      </c>
      <c r="D487" s="25" t="s">
        <v>21</v>
      </c>
      <c r="E487" s="25" t="s">
        <v>88</v>
      </c>
      <c r="F487" s="25">
        <v>5</v>
      </c>
      <c r="G487" s="25" t="s">
        <v>89</v>
      </c>
      <c r="H487" s="25">
        <v>130</v>
      </c>
      <c r="I487" s="25">
        <v>100</v>
      </c>
      <c r="J487" s="25">
        <v>650</v>
      </c>
      <c r="K487" s="25">
        <v>500</v>
      </c>
      <c r="L487" s="25">
        <v>150</v>
      </c>
      <c r="M487" s="27">
        <v>30</v>
      </c>
      <c r="N487" s="25" t="s">
        <v>57</v>
      </c>
      <c r="O487" s="25" t="s">
        <v>27</v>
      </c>
      <c r="P487" s="25" t="s">
        <v>32</v>
      </c>
    </row>
    <row r="488" spans="1:16" x14ac:dyDescent="0.3">
      <c r="A488" s="25">
        <v>487</v>
      </c>
      <c r="B488" s="26">
        <v>45410</v>
      </c>
      <c r="C488" s="25" t="s">
        <v>58</v>
      </c>
      <c r="D488" s="25" t="s">
        <v>21</v>
      </c>
      <c r="E488" s="25" t="s">
        <v>88</v>
      </c>
      <c r="F488" s="25">
        <v>3</v>
      </c>
      <c r="G488" s="25" t="s">
        <v>89</v>
      </c>
      <c r="H488" s="25">
        <v>130</v>
      </c>
      <c r="I488" s="25">
        <v>100</v>
      </c>
      <c r="J488" s="25">
        <v>390</v>
      </c>
      <c r="K488" s="25">
        <v>300</v>
      </c>
      <c r="L488" s="25">
        <v>90</v>
      </c>
      <c r="M488" s="27">
        <v>30</v>
      </c>
      <c r="N488" s="25" t="s">
        <v>57</v>
      </c>
      <c r="O488" s="25" t="s">
        <v>27</v>
      </c>
      <c r="P488" s="25" t="s">
        <v>32</v>
      </c>
    </row>
    <row r="489" spans="1:16" x14ac:dyDescent="0.3">
      <c r="A489" s="25">
        <v>488</v>
      </c>
      <c r="B489" s="26">
        <v>45410</v>
      </c>
      <c r="C489" s="25" t="s">
        <v>58</v>
      </c>
      <c r="D489" s="25" t="s">
        <v>22</v>
      </c>
      <c r="E489" s="25" t="s">
        <v>90</v>
      </c>
      <c r="F489" s="25">
        <v>0.5</v>
      </c>
      <c r="G489" s="25" t="s">
        <v>91</v>
      </c>
      <c r="H489" s="25">
        <v>280</v>
      </c>
      <c r="I489" s="25">
        <v>240</v>
      </c>
      <c r="J489" s="25">
        <v>140</v>
      </c>
      <c r="K489" s="25">
        <v>120</v>
      </c>
      <c r="L489" s="25">
        <v>20</v>
      </c>
      <c r="M489" s="27">
        <v>16.6666666666667</v>
      </c>
      <c r="N489" s="25" t="s">
        <v>57</v>
      </c>
      <c r="O489" s="25" t="s">
        <v>28</v>
      </c>
      <c r="P489" s="25" t="s">
        <v>33</v>
      </c>
    </row>
    <row r="490" spans="1:16" x14ac:dyDescent="0.3">
      <c r="A490" s="25">
        <v>489</v>
      </c>
      <c r="B490" s="26">
        <v>45410</v>
      </c>
      <c r="C490" s="25" t="s">
        <v>58</v>
      </c>
      <c r="D490" s="25" t="s">
        <v>22</v>
      </c>
      <c r="E490" s="25" t="s">
        <v>103</v>
      </c>
      <c r="F490" s="25">
        <v>1</v>
      </c>
      <c r="G490" s="25" t="s">
        <v>102</v>
      </c>
      <c r="H490" s="25">
        <v>30</v>
      </c>
      <c r="I490" s="25">
        <v>20</v>
      </c>
      <c r="J490" s="25">
        <v>30</v>
      </c>
      <c r="K490" s="25">
        <v>20</v>
      </c>
      <c r="L490" s="25">
        <v>10</v>
      </c>
      <c r="M490" s="27">
        <v>50</v>
      </c>
      <c r="N490" s="25" t="s">
        <v>57</v>
      </c>
      <c r="O490" s="25" t="s">
        <v>28</v>
      </c>
      <c r="P490" s="25" t="s">
        <v>33</v>
      </c>
    </row>
    <row r="491" spans="1:16" x14ac:dyDescent="0.3">
      <c r="A491" s="25">
        <v>490</v>
      </c>
      <c r="B491" s="26">
        <v>45410</v>
      </c>
      <c r="C491" s="25" t="s">
        <v>58</v>
      </c>
      <c r="D491" s="25" t="s">
        <v>21</v>
      </c>
      <c r="E491" s="25" t="s">
        <v>88</v>
      </c>
      <c r="F491" s="25">
        <v>6</v>
      </c>
      <c r="G491" s="25" t="s">
        <v>89</v>
      </c>
      <c r="H491" s="25">
        <v>130</v>
      </c>
      <c r="I491" s="25">
        <v>100</v>
      </c>
      <c r="J491" s="25">
        <v>780</v>
      </c>
      <c r="K491" s="25">
        <v>600</v>
      </c>
      <c r="L491" s="25">
        <v>180</v>
      </c>
      <c r="M491" s="27">
        <v>30</v>
      </c>
      <c r="N491" s="25" t="s">
        <v>57</v>
      </c>
      <c r="O491" s="25" t="s">
        <v>27</v>
      </c>
      <c r="P491" s="25" t="s">
        <v>32</v>
      </c>
    </row>
    <row r="492" spans="1:16" x14ac:dyDescent="0.3">
      <c r="A492" s="25">
        <v>491</v>
      </c>
      <c r="B492" s="26">
        <v>45411</v>
      </c>
      <c r="C492" s="25" t="s">
        <v>58</v>
      </c>
      <c r="D492" s="25" t="s">
        <v>21</v>
      </c>
      <c r="E492" s="25" t="s">
        <v>95</v>
      </c>
      <c r="F492" s="25">
        <v>3</v>
      </c>
      <c r="G492" s="25" t="s">
        <v>89</v>
      </c>
      <c r="H492" s="25">
        <v>150</v>
      </c>
      <c r="I492" s="25">
        <v>100</v>
      </c>
      <c r="J492" s="25">
        <v>450</v>
      </c>
      <c r="K492" s="25">
        <v>300</v>
      </c>
      <c r="L492" s="25">
        <v>150</v>
      </c>
      <c r="M492" s="27">
        <v>50</v>
      </c>
      <c r="N492" s="25" t="s">
        <v>57</v>
      </c>
      <c r="O492" s="25" t="s">
        <v>28</v>
      </c>
      <c r="P492" s="25" t="s">
        <v>32</v>
      </c>
    </row>
    <row r="493" spans="1:16" x14ac:dyDescent="0.3">
      <c r="A493" s="25">
        <v>492</v>
      </c>
      <c r="B493" s="26">
        <v>45411</v>
      </c>
      <c r="C493" s="25" t="s">
        <v>58</v>
      </c>
      <c r="D493" s="25" t="s">
        <v>21</v>
      </c>
      <c r="E493" s="25" t="s">
        <v>88</v>
      </c>
      <c r="F493" s="25">
        <v>7</v>
      </c>
      <c r="G493" s="25" t="s">
        <v>89</v>
      </c>
      <c r="H493" s="25">
        <v>130</v>
      </c>
      <c r="I493" s="25">
        <v>100</v>
      </c>
      <c r="J493" s="25">
        <v>910</v>
      </c>
      <c r="K493" s="25">
        <v>700</v>
      </c>
      <c r="L493" s="25">
        <v>210</v>
      </c>
      <c r="M493" s="27">
        <v>30</v>
      </c>
      <c r="N493" s="25" t="s">
        <v>57</v>
      </c>
      <c r="O493" s="25" t="s">
        <v>27</v>
      </c>
      <c r="P493" s="25" t="s">
        <v>32</v>
      </c>
    </row>
    <row r="494" spans="1:16" x14ac:dyDescent="0.3">
      <c r="A494" s="25">
        <v>493</v>
      </c>
      <c r="B494" s="26">
        <v>45411</v>
      </c>
      <c r="C494" s="25" t="s">
        <v>58</v>
      </c>
      <c r="D494" s="25" t="s">
        <v>21</v>
      </c>
      <c r="E494" s="25" t="s">
        <v>95</v>
      </c>
      <c r="F494" s="25">
        <v>3</v>
      </c>
      <c r="G494" s="25" t="s">
        <v>89</v>
      </c>
      <c r="H494" s="25">
        <v>150</v>
      </c>
      <c r="I494" s="25">
        <v>100</v>
      </c>
      <c r="J494" s="25">
        <v>450</v>
      </c>
      <c r="K494" s="25">
        <v>300</v>
      </c>
      <c r="L494" s="25">
        <v>150</v>
      </c>
      <c r="M494" s="27">
        <v>50</v>
      </c>
      <c r="N494" s="25" t="s">
        <v>57</v>
      </c>
      <c r="O494" s="25" t="s">
        <v>28</v>
      </c>
      <c r="P494" s="25" t="s">
        <v>32</v>
      </c>
    </row>
    <row r="495" spans="1:16" x14ac:dyDescent="0.3">
      <c r="A495" s="25">
        <v>494</v>
      </c>
      <c r="B495" s="26">
        <v>45412</v>
      </c>
      <c r="C495" s="25" t="s">
        <v>58</v>
      </c>
      <c r="D495" s="25" t="s">
        <v>21</v>
      </c>
      <c r="E495" s="25" t="s">
        <v>93</v>
      </c>
      <c r="F495" s="25">
        <v>2</v>
      </c>
      <c r="G495" s="25" t="s">
        <v>89</v>
      </c>
      <c r="H495" s="25">
        <v>250</v>
      </c>
      <c r="I495" s="25">
        <v>180</v>
      </c>
      <c r="J495" s="25">
        <v>500</v>
      </c>
      <c r="K495" s="25">
        <v>360</v>
      </c>
      <c r="L495" s="25">
        <v>140</v>
      </c>
      <c r="M495" s="27">
        <v>38.8888888888889</v>
      </c>
      <c r="N495" s="25" t="s">
        <v>57</v>
      </c>
      <c r="O495" s="25" t="s">
        <v>27</v>
      </c>
      <c r="P495" s="25" t="s">
        <v>32</v>
      </c>
    </row>
    <row r="496" spans="1:16" x14ac:dyDescent="0.3">
      <c r="A496" s="25">
        <v>495</v>
      </c>
      <c r="B496" s="26">
        <v>45412</v>
      </c>
      <c r="C496" s="25" t="s">
        <v>58</v>
      </c>
      <c r="D496" s="25" t="s">
        <v>21</v>
      </c>
      <c r="E496" s="25" t="s">
        <v>88</v>
      </c>
      <c r="F496" s="25">
        <v>5</v>
      </c>
      <c r="G496" s="25" t="s">
        <v>89</v>
      </c>
      <c r="H496" s="25">
        <v>130</v>
      </c>
      <c r="I496" s="25">
        <v>100</v>
      </c>
      <c r="J496" s="25">
        <v>650</v>
      </c>
      <c r="K496" s="25">
        <v>500</v>
      </c>
      <c r="L496" s="25">
        <v>150</v>
      </c>
      <c r="M496" s="27">
        <v>30</v>
      </c>
      <c r="N496" s="25" t="s">
        <v>57</v>
      </c>
      <c r="O496" s="25" t="s">
        <v>27</v>
      </c>
      <c r="P496" s="25" t="s">
        <v>32</v>
      </c>
    </row>
    <row r="497" spans="1:16" x14ac:dyDescent="0.3">
      <c r="A497" s="25">
        <v>496</v>
      </c>
      <c r="B497" s="26">
        <v>45412</v>
      </c>
      <c r="C497" s="25" t="s">
        <v>58</v>
      </c>
      <c r="D497" s="25" t="s">
        <v>21</v>
      </c>
      <c r="E497" s="25" t="s">
        <v>88</v>
      </c>
      <c r="F497" s="25">
        <v>2</v>
      </c>
      <c r="G497" s="25" t="s">
        <v>89</v>
      </c>
      <c r="H497" s="25">
        <v>130</v>
      </c>
      <c r="I497" s="25">
        <v>100</v>
      </c>
      <c r="J497" s="25">
        <v>260</v>
      </c>
      <c r="K497" s="25">
        <v>200</v>
      </c>
      <c r="L497" s="25">
        <v>60</v>
      </c>
      <c r="M497" s="27">
        <v>30</v>
      </c>
      <c r="N497" s="25" t="s">
        <v>57</v>
      </c>
      <c r="O497" s="25" t="s">
        <v>27</v>
      </c>
      <c r="P497" s="25" t="s">
        <v>32</v>
      </c>
    </row>
    <row r="498" spans="1:16" x14ac:dyDescent="0.3">
      <c r="A498" s="25">
        <v>497</v>
      </c>
      <c r="B498" s="26">
        <v>45412</v>
      </c>
      <c r="C498" s="25" t="s">
        <v>58</v>
      </c>
      <c r="D498" s="25" t="s">
        <v>21</v>
      </c>
      <c r="E498" s="25" t="s">
        <v>88</v>
      </c>
      <c r="F498" s="25">
        <v>7</v>
      </c>
      <c r="G498" s="25" t="s">
        <v>89</v>
      </c>
      <c r="H498" s="25">
        <v>130</v>
      </c>
      <c r="I498" s="25">
        <v>100</v>
      </c>
      <c r="J498" s="25">
        <v>910</v>
      </c>
      <c r="K498" s="25">
        <v>700</v>
      </c>
      <c r="L498" s="25">
        <v>210</v>
      </c>
      <c r="M498" s="27">
        <v>30</v>
      </c>
      <c r="N498" s="25" t="s">
        <v>57</v>
      </c>
      <c r="O498" s="25" t="s">
        <v>27</v>
      </c>
      <c r="P498" s="25" t="s">
        <v>32</v>
      </c>
    </row>
    <row r="499" spans="1:16" x14ac:dyDescent="0.3">
      <c r="A499" s="25">
        <v>498</v>
      </c>
      <c r="B499" s="26">
        <v>45412</v>
      </c>
      <c r="C499" s="25" t="s">
        <v>58</v>
      </c>
      <c r="D499" s="25" t="s">
        <v>21</v>
      </c>
      <c r="E499" s="25" t="s">
        <v>88</v>
      </c>
      <c r="F499" s="25">
        <v>4</v>
      </c>
      <c r="G499" s="25" t="s">
        <v>89</v>
      </c>
      <c r="H499" s="25">
        <v>130</v>
      </c>
      <c r="I499" s="25">
        <v>100</v>
      </c>
      <c r="J499" s="25">
        <v>520</v>
      </c>
      <c r="K499" s="25">
        <v>400</v>
      </c>
      <c r="L499" s="25">
        <v>120</v>
      </c>
      <c r="M499" s="27">
        <v>30</v>
      </c>
      <c r="N499" s="25" t="s">
        <v>57</v>
      </c>
      <c r="O499" s="25" t="s">
        <v>27</v>
      </c>
      <c r="P499" s="25" t="s">
        <v>32</v>
      </c>
    </row>
    <row r="500" spans="1:16" x14ac:dyDescent="0.3">
      <c r="A500" s="25">
        <v>499</v>
      </c>
      <c r="B500" s="26">
        <v>45412</v>
      </c>
      <c r="C500" s="25" t="s">
        <v>58</v>
      </c>
      <c r="D500" s="25" t="s">
        <v>21</v>
      </c>
      <c r="E500" s="25" t="s">
        <v>88</v>
      </c>
      <c r="F500" s="25">
        <v>2</v>
      </c>
      <c r="G500" s="25" t="s">
        <v>89</v>
      </c>
      <c r="H500" s="25">
        <v>130</v>
      </c>
      <c r="I500" s="25">
        <v>100</v>
      </c>
      <c r="J500" s="25">
        <v>260</v>
      </c>
      <c r="K500" s="25">
        <v>200</v>
      </c>
      <c r="L500" s="25">
        <v>60</v>
      </c>
      <c r="M500" s="27">
        <v>30</v>
      </c>
      <c r="N500" s="25" t="s">
        <v>57</v>
      </c>
      <c r="O500" s="25" t="s">
        <v>27</v>
      </c>
      <c r="P500" s="25" t="s">
        <v>32</v>
      </c>
    </row>
    <row r="501" spans="1:16" x14ac:dyDescent="0.3">
      <c r="A501" s="25">
        <v>500</v>
      </c>
      <c r="B501" s="26">
        <v>45413</v>
      </c>
      <c r="C501" s="25" t="s">
        <v>59</v>
      </c>
      <c r="D501" s="25" t="s">
        <v>21</v>
      </c>
      <c r="E501" s="25" t="s">
        <v>88</v>
      </c>
      <c r="F501" s="25">
        <v>8</v>
      </c>
      <c r="G501" s="25" t="s">
        <v>89</v>
      </c>
      <c r="H501" s="25">
        <v>130</v>
      </c>
      <c r="I501" s="25">
        <v>100</v>
      </c>
      <c r="J501" s="25">
        <v>1040</v>
      </c>
      <c r="K501" s="25">
        <v>800</v>
      </c>
      <c r="L501" s="25">
        <v>240</v>
      </c>
      <c r="M501" s="27">
        <v>30</v>
      </c>
      <c r="N501" s="25" t="s">
        <v>60</v>
      </c>
      <c r="O501" s="25" t="s">
        <v>27</v>
      </c>
      <c r="P501" s="25" t="s">
        <v>32</v>
      </c>
    </row>
    <row r="502" spans="1:16" x14ac:dyDescent="0.3">
      <c r="A502" s="25">
        <v>501</v>
      </c>
      <c r="B502" s="26">
        <v>45413</v>
      </c>
      <c r="C502" s="25" t="s">
        <v>59</v>
      </c>
      <c r="D502" s="25" t="s">
        <v>21</v>
      </c>
      <c r="E502" s="25" t="s">
        <v>88</v>
      </c>
      <c r="F502" s="25">
        <v>4</v>
      </c>
      <c r="G502" s="25" t="s">
        <v>89</v>
      </c>
      <c r="H502" s="25">
        <v>130</v>
      </c>
      <c r="I502" s="25">
        <v>100</v>
      </c>
      <c r="J502" s="25">
        <v>520</v>
      </c>
      <c r="K502" s="25">
        <v>400</v>
      </c>
      <c r="L502" s="25">
        <v>120</v>
      </c>
      <c r="M502" s="27">
        <v>30</v>
      </c>
      <c r="N502" s="25" t="s">
        <v>60</v>
      </c>
      <c r="O502" s="25" t="s">
        <v>27</v>
      </c>
      <c r="P502" s="25" t="s">
        <v>32</v>
      </c>
    </row>
    <row r="503" spans="1:16" x14ac:dyDescent="0.3">
      <c r="A503" s="25">
        <v>502</v>
      </c>
      <c r="B503" s="26">
        <v>45413</v>
      </c>
      <c r="C503" s="25" t="s">
        <v>59</v>
      </c>
      <c r="D503" s="25" t="s">
        <v>21</v>
      </c>
      <c r="E503" s="25" t="s">
        <v>95</v>
      </c>
      <c r="F503" s="25">
        <v>4</v>
      </c>
      <c r="G503" s="25" t="s">
        <v>89</v>
      </c>
      <c r="H503" s="25">
        <v>150</v>
      </c>
      <c r="I503" s="25">
        <v>100</v>
      </c>
      <c r="J503" s="25">
        <v>600</v>
      </c>
      <c r="K503" s="25">
        <v>400</v>
      </c>
      <c r="L503" s="25">
        <v>200</v>
      </c>
      <c r="M503" s="27">
        <v>50</v>
      </c>
      <c r="N503" s="25" t="s">
        <v>60</v>
      </c>
      <c r="O503" s="25" t="s">
        <v>28</v>
      </c>
      <c r="P503" s="25" t="s">
        <v>32</v>
      </c>
    </row>
    <row r="504" spans="1:16" x14ac:dyDescent="0.3">
      <c r="A504" s="25">
        <v>503</v>
      </c>
      <c r="B504" s="26">
        <v>45414</v>
      </c>
      <c r="C504" s="25" t="s">
        <v>59</v>
      </c>
      <c r="D504" s="25" t="s">
        <v>21</v>
      </c>
      <c r="E504" s="25" t="s">
        <v>93</v>
      </c>
      <c r="F504" s="25">
        <v>2</v>
      </c>
      <c r="G504" s="25" t="s">
        <v>89</v>
      </c>
      <c r="H504" s="25">
        <v>250</v>
      </c>
      <c r="I504" s="25">
        <v>180</v>
      </c>
      <c r="J504" s="25">
        <v>500</v>
      </c>
      <c r="K504" s="25">
        <v>360</v>
      </c>
      <c r="L504" s="25">
        <v>140</v>
      </c>
      <c r="M504" s="27">
        <v>38.8888888888889</v>
      </c>
      <c r="N504" s="25" t="s">
        <v>60</v>
      </c>
      <c r="O504" s="25" t="s">
        <v>27</v>
      </c>
      <c r="P504" s="25" t="s">
        <v>32</v>
      </c>
    </row>
    <row r="505" spans="1:16" x14ac:dyDescent="0.3">
      <c r="A505" s="25">
        <v>504</v>
      </c>
      <c r="B505" s="26">
        <v>45414</v>
      </c>
      <c r="C505" s="25" t="s">
        <v>59</v>
      </c>
      <c r="D505" s="25" t="s">
        <v>21</v>
      </c>
      <c r="E505" s="25" t="s">
        <v>94</v>
      </c>
      <c r="F505" s="25">
        <v>13</v>
      </c>
      <c r="G505" s="25" t="s">
        <v>89</v>
      </c>
      <c r="H505" s="25">
        <v>30</v>
      </c>
      <c r="I505" s="25">
        <v>26</v>
      </c>
      <c r="J505" s="25">
        <v>390</v>
      </c>
      <c r="K505" s="25">
        <v>338</v>
      </c>
      <c r="L505" s="25">
        <v>52</v>
      </c>
      <c r="M505" s="27">
        <v>15.384615384615399</v>
      </c>
      <c r="N505" s="25" t="s">
        <v>60</v>
      </c>
      <c r="O505" s="25" t="s">
        <v>27</v>
      </c>
      <c r="P505" s="25" t="s">
        <v>32</v>
      </c>
    </row>
    <row r="506" spans="1:16" x14ac:dyDescent="0.3">
      <c r="A506" s="25">
        <v>505</v>
      </c>
      <c r="B506" s="26">
        <v>45414</v>
      </c>
      <c r="C506" s="25" t="s">
        <v>59</v>
      </c>
      <c r="D506" s="25" t="s">
        <v>21</v>
      </c>
      <c r="E506" s="25" t="s">
        <v>98</v>
      </c>
      <c r="F506" s="25">
        <v>2</v>
      </c>
      <c r="G506" s="25" t="s">
        <v>89</v>
      </c>
      <c r="H506" s="25">
        <v>95</v>
      </c>
      <c r="I506" s="25">
        <v>55</v>
      </c>
      <c r="J506" s="25">
        <v>190</v>
      </c>
      <c r="K506" s="25">
        <v>110</v>
      </c>
      <c r="L506" s="25">
        <v>80</v>
      </c>
      <c r="M506" s="27">
        <v>72.727272727272705</v>
      </c>
      <c r="N506" s="25" t="s">
        <v>60</v>
      </c>
      <c r="O506" s="25" t="s">
        <v>27</v>
      </c>
      <c r="P506" s="25" t="s">
        <v>32</v>
      </c>
    </row>
    <row r="507" spans="1:16" x14ac:dyDescent="0.3">
      <c r="A507" s="25">
        <v>506</v>
      </c>
      <c r="B507" s="26">
        <v>45414</v>
      </c>
      <c r="C507" s="25" t="s">
        <v>59</v>
      </c>
      <c r="D507" s="25" t="s">
        <v>21</v>
      </c>
      <c r="E507" s="25" t="s">
        <v>88</v>
      </c>
      <c r="F507" s="25">
        <v>6</v>
      </c>
      <c r="G507" s="25" t="s">
        <v>89</v>
      </c>
      <c r="H507" s="25">
        <v>130</v>
      </c>
      <c r="I507" s="25">
        <v>100</v>
      </c>
      <c r="J507" s="25">
        <v>780</v>
      </c>
      <c r="K507" s="25">
        <v>600</v>
      </c>
      <c r="L507" s="25">
        <v>180</v>
      </c>
      <c r="M507" s="27">
        <v>30</v>
      </c>
      <c r="N507" s="25" t="s">
        <v>60</v>
      </c>
      <c r="O507" s="25" t="s">
        <v>27</v>
      </c>
      <c r="P507" s="25" t="s">
        <v>32</v>
      </c>
    </row>
    <row r="508" spans="1:16" x14ac:dyDescent="0.3">
      <c r="A508" s="25">
        <v>507</v>
      </c>
      <c r="B508" s="26">
        <v>45414</v>
      </c>
      <c r="C508" s="25" t="s">
        <v>59</v>
      </c>
      <c r="D508" s="25" t="s">
        <v>21</v>
      </c>
      <c r="E508" s="25" t="s">
        <v>88</v>
      </c>
      <c r="F508" s="25">
        <v>3</v>
      </c>
      <c r="G508" s="25" t="s">
        <v>89</v>
      </c>
      <c r="H508" s="25">
        <v>130</v>
      </c>
      <c r="I508" s="25">
        <v>100</v>
      </c>
      <c r="J508" s="25">
        <v>390</v>
      </c>
      <c r="K508" s="25">
        <v>300</v>
      </c>
      <c r="L508" s="25">
        <v>90</v>
      </c>
      <c r="M508" s="27">
        <v>30</v>
      </c>
      <c r="N508" s="25" t="s">
        <v>60</v>
      </c>
      <c r="O508" s="25" t="s">
        <v>27</v>
      </c>
      <c r="P508" s="25" t="s">
        <v>32</v>
      </c>
    </row>
    <row r="509" spans="1:16" x14ac:dyDescent="0.3">
      <c r="A509" s="25">
        <v>508</v>
      </c>
      <c r="B509" s="26">
        <v>45415</v>
      </c>
      <c r="C509" s="25" t="s">
        <v>59</v>
      </c>
      <c r="D509" s="25" t="s">
        <v>21</v>
      </c>
      <c r="E509" s="25" t="s">
        <v>88</v>
      </c>
      <c r="F509" s="25">
        <v>7</v>
      </c>
      <c r="G509" s="25" t="s">
        <v>89</v>
      </c>
      <c r="H509" s="25">
        <v>130</v>
      </c>
      <c r="I509" s="25">
        <v>100</v>
      </c>
      <c r="J509" s="25">
        <v>910</v>
      </c>
      <c r="K509" s="25">
        <v>700</v>
      </c>
      <c r="L509" s="25">
        <v>210</v>
      </c>
      <c r="M509" s="27">
        <v>30</v>
      </c>
      <c r="N509" s="25" t="s">
        <v>60</v>
      </c>
      <c r="O509" s="25" t="s">
        <v>27</v>
      </c>
      <c r="P509" s="25" t="s">
        <v>32</v>
      </c>
    </row>
    <row r="510" spans="1:16" x14ac:dyDescent="0.3">
      <c r="A510" s="25">
        <v>509</v>
      </c>
      <c r="B510" s="26">
        <v>45415</v>
      </c>
      <c r="C510" s="25" t="s">
        <v>59</v>
      </c>
      <c r="D510" s="25" t="s">
        <v>21</v>
      </c>
      <c r="E510" s="25" t="s">
        <v>88</v>
      </c>
      <c r="F510" s="25">
        <v>4</v>
      </c>
      <c r="G510" s="25" t="s">
        <v>89</v>
      </c>
      <c r="H510" s="25">
        <v>130</v>
      </c>
      <c r="I510" s="25">
        <v>100</v>
      </c>
      <c r="J510" s="25">
        <v>520</v>
      </c>
      <c r="K510" s="25">
        <v>400</v>
      </c>
      <c r="L510" s="25">
        <v>120</v>
      </c>
      <c r="M510" s="27">
        <v>30</v>
      </c>
      <c r="N510" s="25" t="s">
        <v>60</v>
      </c>
      <c r="O510" s="25" t="s">
        <v>27</v>
      </c>
      <c r="P510" s="25" t="s">
        <v>32</v>
      </c>
    </row>
    <row r="511" spans="1:16" x14ac:dyDescent="0.3">
      <c r="A511" s="25">
        <v>510</v>
      </c>
      <c r="B511" s="26">
        <v>45415</v>
      </c>
      <c r="C511" s="25" t="s">
        <v>59</v>
      </c>
      <c r="D511" s="25" t="s">
        <v>21</v>
      </c>
      <c r="E511" s="25" t="s">
        <v>88</v>
      </c>
      <c r="F511" s="25">
        <v>8</v>
      </c>
      <c r="G511" s="25" t="s">
        <v>89</v>
      </c>
      <c r="H511" s="25">
        <v>130</v>
      </c>
      <c r="I511" s="25">
        <v>100</v>
      </c>
      <c r="J511" s="25">
        <v>1040</v>
      </c>
      <c r="K511" s="25">
        <v>800</v>
      </c>
      <c r="L511" s="25">
        <v>240</v>
      </c>
      <c r="M511" s="27">
        <v>30</v>
      </c>
      <c r="N511" s="25" t="s">
        <v>60</v>
      </c>
      <c r="O511" s="25" t="s">
        <v>27</v>
      </c>
      <c r="P511" s="25" t="s">
        <v>32</v>
      </c>
    </row>
    <row r="512" spans="1:16" x14ac:dyDescent="0.3">
      <c r="A512" s="25">
        <v>511</v>
      </c>
      <c r="B512" s="26">
        <v>45415</v>
      </c>
      <c r="C512" s="25" t="s">
        <v>59</v>
      </c>
      <c r="D512" s="25" t="s">
        <v>21</v>
      </c>
      <c r="E512" s="25" t="s">
        <v>88</v>
      </c>
      <c r="F512" s="25">
        <v>9</v>
      </c>
      <c r="G512" s="25" t="s">
        <v>89</v>
      </c>
      <c r="H512" s="25">
        <v>130</v>
      </c>
      <c r="I512" s="25">
        <v>100</v>
      </c>
      <c r="J512" s="25">
        <v>1170</v>
      </c>
      <c r="K512" s="25">
        <v>900</v>
      </c>
      <c r="L512" s="25">
        <v>270</v>
      </c>
      <c r="M512" s="27">
        <v>30</v>
      </c>
      <c r="N512" s="25" t="s">
        <v>60</v>
      </c>
      <c r="O512" s="25" t="s">
        <v>27</v>
      </c>
      <c r="P512" s="25" t="s">
        <v>32</v>
      </c>
    </row>
    <row r="513" spans="1:16" x14ac:dyDescent="0.3">
      <c r="A513" s="25">
        <v>512</v>
      </c>
      <c r="B513" s="26">
        <v>45415</v>
      </c>
      <c r="C513" s="25" t="s">
        <v>59</v>
      </c>
      <c r="D513" s="25" t="s">
        <v>21</v>
      </c>
      <c r="E513" s="25" t="s">
        <v>88</v>
      </c>
      <c r="F513" s="25">
        <v>11</v>
      </c>
      <c r="G513" s="25" t="s">
        <v>89</v>
      </c>
      <c r="H513" s="25">
        <v>130</v>
      </c>
      <c r="I513" s="25">
        <v>100</v>
      </c>
      <c r="J513" s="25">
        <v>1430</v>
      </c>
      <c r="K513" s="25">
        <v>1100</v>
      </c>
      <c r="L513" s="25">
        <v>330</v>
      </c>
      <c r="M513" s="27">
        <v>30</v>
      </c>
      <c r="N513" s="25" t="s">
        <v>60</v>
      </c>
      <c r="O513" s="25" t="s">
        <v>27</v>
      </c>
      <c r="P513" s="25" t="s">
        <v>32</v>
      </c>
    </row>
    <row r="514" spans="1:16" x14ac:dyDescent="0.3">
      <c r="A514" s="25">
        <v>513</v>
      </c>
      <c r="B514" s="26">
        <v>45415</v>
      </c>
      <c r="C514" s="25" t="s">
        <v>59</v>
      </c>
      <c r="D514" s="25" t="s">
        <v>21</v>
      </c>
      <c r="E514" s="25" t="s">
        <v>98</v>
      </c>
      <c r="F514" s="25">
        <v>2</v>
      </c>
      <c r="G514" s="25" t="s">
        <v>89</v>
      </c>
      <c r="H514" s="25">
        <v>95</v>
      </c>
      <c r="I514" s="25">
        <v>55</v>
      </c>
      <c r="J514" s="25">
        <v>190</v>
      </c>
      <c r="K514" s="25">
        <v>110</v>
      </c>
      <c r="L514" s="25">
        <v>80</v>
      </c>
      <c r="M514" s="27">
        <v>72.727272727272705</v>
      </c>
      <c r="N514" s="25" t="s">
        <v>60</v>
      </c>
      <c r="O514" s="25" t="s">
        <v>27</v>
      </c>
      <c r="P514" s="25" t="s">
        <v>32</v>
      </c>
    </row>
    <row r="515" spans="1:16" x14ac:dyDescent="0.3">
      <c r="A515" s="25">
        <v>514</v>
      </c>
      <c r="B515" s="26">
        <v>45416</v>
      </c>
      <c r="C515" s="25" t="s">
        <v>59</v>
      </c>
      <c r="D515" s="25" t="s">
        <v>21</v>
      </c>
      <c r="E515" s="25" t="s">
        <v>94</v>
      </c>
      <c r="F515" s="25">
        <v>14</v>
      </c>
      <c r="G515" s="25" t="s">
        <v>89</v>
      </c>
      <c r="H515" s="25">
        <v>30</v>
      </c>
      <c r="I515" s="25">
        <v>26</v>
      </c>
      <c r="J515" s="25">
        <v>420</v>
      </c>
      <c r="K515" s="25">
        <v>364</v>
      </c>
      <c r="L515" s="25">
        <v>56</v>
      </c>
      <c r="M515" s="27">
        <v>15.384615384615399</v>
      </c>
      <c r="N515" s="25" t="s">
        <v>60</v>
      </c>
      <c r="O515" s="25" t="s">
        <v>27</v>
      </c>
      <c r="P515" s="25" t="s">
        <v>32</v>
      </c>
    </row>
    <row r="516" spans="1:16" x14ac:dyDescent="0.3">
      <c r="A516" s="25">
        <v>515</v>
      </c>
      <c r="B516" s="26">
        <v>45416</v>
      </c>
      <c r="C516" s="25" t="s">
        <v>59</v>
      </c>
      <c r="D516" s="25" t="s">
        <v>21</v>
      </c>
      <c r="E516" s="25" t="s">
        <v>93</v>
      </c>
      <c r="F516" s="25">
        <v>2</v>
      </c>
      <c r="G516" s="25" t="s">
        <v>89</v>
      </c>
      <c r="H516" s="25">
        <v>250</v>
      </c>
      <c r="I516" s="25">
        <v>180</v>
      </c>
      <c r="J516" s="25">
        <v>500</v>
      </c>
      <c r="K516" s="25">
        <v>360</v>
      </c>
      <c r="L516" s="25">
        <v>140</v>
      </c>
      <c r="M516" s="27">
        <v>38.8888888888889</v>
      </c>
      <c r="N516" s="25" t="s">
        <v>60</v>
      </c>
      <c r="O516" s="25" t="s">
        <v>27</v>
      </c>
      <c r="P516" s="25" t="s">
        <v>32</v>
      </c>
    </row>
    <row r="517" spans="1:16" x14ac:dyDescent="0.3">
      <c r="A517" s="25">
        <v>516</v>
      </c>
      <c r="B517" s="26">
        <v>45416</v>
      </c>
      <c r="C517" s="25" t="s">
        <v>59</v>
      </c>
      <c r="D517" s="25" t="s">
        <v>21</v>
      </c>
      <c r="E517" s="25" t="s">
        <v>88</v>
      </c>
      <c r="F517" s="25">
        <v>14</v>
      </c>
      <c r="G517" s="25" t="s">
        <v>89</v>
      </c>
      <c r="H517" s="25">
        <v>130</v>
      </c>
      <c r="I517" s="25">
        <v>100</v>
      </c>
      <c r="J517" s="25">
        <v>1820</v>
      </c>
      <c r="K517" s="25">
        <v>1400</v>
      </c>
      <c r="L517" s="25">
        <v>420</v>
      </c>
      <c r="M517" s="27">
        <v>30</v>
      </c>
      <c r="N517" s="25" t="s">
        <v>60</v>
      </c>
      <c r="O517" s="25" t="s">
        <v>27</v>
      </c>
      <c r="P517" s="25" t="s">
        <v>32</v>
      </c>
    </row>
    <row r="518" spans="1:16" x14ac:dyDescent="0.3">
      <c r="A518" s="25">
        <v>517</v>
      </c>
      <c r="B518" s="26">
        <v>45416</v>
      </c>
      <c r="C518" s="25" t="s">
        <v>59</v>
      </c>
      <c r="D518" s="25" t="s">
        <v>21</v>
      </c>
      <c r="E518" s="25" t="s">
        <v>88</v>
      </c>
      <c r="F518" s="25">
        <v>5</v>
      </c>
      <c r="G518" s="25" t="s">
        <v>89</v>
      </c>
      <c r="H518" s="25">
        <v>130</v>
      </c>
      <c r="I518" s="25">
        <v>100</v>
      </c>
      <c r="J518" s="25">
        <v>650</v>
      </c>
      <c r="K518" s="25">
        <v>500</v>
      </c>
      <c r="L518" s="25">
        <v>150</v>
      </c>
      <c r="M518" s="27">
        <v>30</v>
      </c>
      <c r="N518" s="25" t="s">
        <v>60</v>
      </c>
      <c r="O518" s="25" t="s">
        <v>27</v>
      </c>
      <c r="P518" s="25" t="s">
        <v>32</v>
      </c>
    </row>
    <row r="519" spans="1:16" x14ac:dyDescent="0.3">
      <c r="A519" s="25">
        <v>518</v>
      </c>
      <c r="B519" s="26">
        <v>45417</v>
      </c>
      <c r="C519" s="25" t="s">
        <v>59</v>
      </c>
      <c r="D519" s="25" t="s">
        <v>21</v>
      </c>
      <c r="E519" s="25" t="s">
        <v>88</v>
      </c>
      <c r="F519" s="25">
        <v>3</v>
      </c>
      <c r="G519" s="25" t="s">
        <v>89</v>
      </c>
      <c r="H519" s="25">
        <v>130</v>
      </c>
      <c r="I519" s="25">
        <v>100</v>
      </c>
      <c r="J519" s="25">
        <v>390</v>
      </c>
      <c r="K519" s="25">
        <v>300</v>
      </c>
      <c r="L519" s="25">
        <v>90</v>
      </c>
      <c r="M519" s="27">
        <v>30</v>
      </c>
      <c r="N519" s="25" t="s">
        <v>60</v>
      </c>
      <c r="O519" s="25" t="s">
        <v>27</v>
      </c>
      <c r="P519" s="25" t="s">
        <v>32</v>
      </c>
    </row>
    <row r="520" spans="1:16" x14ac:dyDescent="0.3">
      <c r="A520" s="25">
        <v>519</v>
      </c>
      <c r="B520" s="26">
        <v>45417</v>
      </c>
      <c r="C520" s="25" t="s">
        <v>59</v>
      </c>
      <c r="D520" s="25" t="s">
        <v>21</v>
      </c>
      <c r="E520" s="25" t="s">
        <v>88</v>
      </c>
      <c r="F520" s="25">
        <v>7</v>
      </c>
      <c r="G520" s="25" t="s">
        <v>89</v>
      </c>
      <c r="H520" s="25">
        <v>130</v>
      </c>
      <c r="I520" s="25">
        <v>100</v>
      </c>
      <c r="J520" s="25">
        <v>910</v>
      </c>
      <c r="K520" s="25">
        <v>700</v>
      </c>
      <c r="L520" s="25">
        <v>210</v>
      </c>
      <c r="M520" s="27">
        <v>30</v>
      </c>
      <c r="N520" s="25" t="s">
        <v>60</v>
      </c>
      <c r="O520" s="25" t="s">
        <v>27</v>
      </c>
      <c r="P520" s="25" t="s">
        <v>32</v>
      </c>
    </row>
    <row r="521" spans="1:16" x14ac:dyDescent="0.3">
      <c r="A521" s="25">
        <v>520</v>
      </c>
      <c r="B521" s="26">
        <v>45417</v>
      </c>
      <c r="C521" s="25" t="s">
        <v>59</v>
      </c>
      <c r="D521" s="25" t="s">
        <v>21</v>
      </c>
      <c r="E521" s="25" t="s">
        <v>93</v>
      </c>
      <c r="F521" s="25">
        <v>3</v>
      </c>
      <c r="G521" s="25" t="s">
        <v>89</v>
      </c>
      <c r="H521" s="25">
        <v>250</v>
      </c>
      <c r="I521" s="25">
        <v>180</v>
      </c>
      <c r="J521" s="25">
        <v>750</v>
      </c>
      <c r="K521" s="25">
        <v>540</v>
      </c>
      <c r="L521" s="25">
        <v>210</v>
      </c>
      <c r="M521" s="27">
        <v>38.8888888888889</v>
      </c>
      <c r="N521" s="25" t="s">
        <v>60</v>
      </c>
      <c r="O521" s="25" t="s">
        <v>27</v>
      </c>
      <c r="P521" s="25" t="s">
        <v>32</v>
      </c>
    </row>
    <row r="522" spans="1:16" x14ac:dyDescent="0.3">
      <c r="A522" s="25">
        <v>521</v>
      </c>
      <c r="B522" s="26">
        <v>45417</v>
      </c>
      <c r="C522" s="25" t="s">
        <v>59</v>
      </c>
      <c r="D522" s="25" t="s">
        <v>21</v>
      </c>
      <c r="E522" s="25" t="s">
        <v>95</v>
      </c>
      <c r="F522" s="25">
        <v>5</v>
      </c>
      <c r="G522" s="25" t="s">
        <v>89</v>
      </c>
      <c r="H522" s="25">
        <v>150</v>
      </c>
      <c r="I522" s="25">
        <v>100</v>
      </c>
      <c r="J522" s="25">
        <v>750</v>
      </c>
      <c r="K522" s="25">
        <v>500</v>
      </c>
      <c r="L522" s="25">
        <v>250</v>
      </c>
      <c r="M522" s="27">
        <v>50</v>
      </c>
      <c r="N522" s="25" t="s">
        <v>60</v>
      </c>
      <c r="O522" s="25" t="s">
        <v>28</v>
      </c>
      <c r="P522" s="25" t="s">
        <v>32</v>
      </c>
    </row>
    <row r="523" spans="1:16" x14ac:dyDescent="0.3">
      <c r="A523" s="25">
        <v>522</v>
      </c>
      <c r="B523" s="26">
        <v>45422</v>
      </c>
      <c r="C523" s="25" t="s">
        <v>59</v>
      </c>
      <c r="D523" s="25" t="s">
        <v>21</v>
      </c>
      <c r="E523" s="25" t="s">
        <v>88</v>
      </c>
      <c r="F523" s="25">
        <v>2</v>
      </c>
      <c r="G523" s="25" t="s">
        <v>89</v>
      </c>
      <c r="H523" s="25">
        <v>130</v>
      </c>
      <c r="I523" s="25">
        <v>100</v>
      </c>
      <c r="J523" s="25">
        <v>260</v>
      </c>
      <c r="K523" s="25">
        <v>200</v>
      </c>
      <c r="L523" s="25">
        <v>60</v>
      </c>
      <c r="M523" s="27">
        <v>30</v>
      </c>
      <c r="N523" s="25" t="s">
        <v>60</v>
      </c>
      <c r="O523" s="25" t="s">
        <v>27</v>
      </c>
      <c r="P523" s="25" t="s">
        <v>32</v>
      </c>
    </row>
    <row r="524" spans="1:16" x14ac:dyDescent="0.3">
      <c r="A524" s="25">
        <v>523</v>
      </c>
      <c r="B524" s="26">
        <v>45422</v>
      </c>
      <c r="C524" s="25" t="s">
        <v>59</v>
      </c>
      <c r="D524" s="25" t="s">
        <v>21</v>
      </c>
      <c r="E524" s="25" t="s">
        <v>88</v>
      </c>
      <c r="F524" s="25">
        <v>11</v>
      </c>
      <c r="G524" s="25" t="s">
        <v>89</v>
      </c>
      <c r="H524" s="25">
        <v>130</v>
      </c>
      <c r="I524" s="25">
        <v>100</v>
      </c>
      <c r="J524" s="25">
        <v>1430</v>
      </c>
      <c r="K524" s="25">
        <v>1100</v>
      </c>
      <c r="L524" s="25">
        <v>330</v>
      </c>
      <c r="M524" s="27">
        <v>30</v>
      </c>
      <c r="N524" s="25" t="s">
        <v>60</v>
      </c>
      <c r="O524" s="25" t="s">
        <v>27</v>
      </c>
      <c r="P524" s="25" t="s">
        <v>32</v>
      </c>
    </row>
    <row r="525" spans="1:16" x14ac:dyDescent="0.3">
      <c r="A525" s="25">
        <v>524</v>
      </c>
      <c r="B525" s="26">
        <v>45422</v>
      </c>
      <c r="C525" s="25" t="s">
        <v>59</v>
      </c>
      <c r="D525" s="25" t="s">
        <v>21</v>
      </c>
      <c r="E525" s="25" t="s">
        <v>95</v>
      </c>
      <c r="F525" s="25">
        <v>4</v>
      </c>
      <c r="G525" s="25" t="s">
        <v>89</v>
      </c>
      <c r="H525" s="25">
        <v>150</v>
      </c>
      <c r="I525" s="25">
        <v>100</v>
      </c>
      <c r="J525" s="25">
        <v>600</v>
      </c>
      <c r="K525" s="25">
        <v>400</v>
      </c>
      <c r="L525" s="25">
        <v>200</v>
      </c>
      <c r="M525" s="27">
        <v>50</v>
      </c>
      <c r="N525" s="25" t="s">
        <v>60</v>
      </c>
      <c r="O525" s="25" t="s">
        <v>28</v>
      </c>
      <c r="P525" s="25" t="s">
        <v>32</v>
      </c>
    </row>
    <row r="526" spans="1:16" x14ac:dyDescent="0.3">
      <c r="A526" s="25">
        <v>525</v>
      </c>
      <c r="B526" s="26">
        <v>45422</v>
      </c>
      <c r="C526" s="25" t="s">
        <v>59</v>
      </c>
      <c r="D526" s="25" t="s">
        <v>22</v>
      </c>
      <c r="E526" s="25" t="s">
        <v>90</v>
      </c>
      <c r="F526" s="25">
        <v>1</v>
      </c>
      <c r="G526" s="25" t="s">
        <v>91</v>
      </c>
      <c r="H526" s="25">
        <v>280</v>
      </c>
      <c r="I526" s="25">
        <v>240</v>
      </c>
      <c r="J526" s="25">
        <v>280</v>
      </c>
      <c r="K526" s="25">
        <v>240</v>
      </c>
      <c r="L526" s="25">
        <v>40</v>
      </c>
      <c r="M526" s="27">
        <v>16.6666666666667</v>
      </c>
      <c r="N526" s="25" t="s">
        <v>60</v>
      </c>
      <c r="O526" s="25" t="s">
        <v>28</v>
      </c>
      <c r="P526" s="25" t="s">
        <v>32</v>
      </c>
    </row>
    <row r="527" spans="1:16" x14ac:dyDescent="0.3">
      <c r="A527" s="25">
        <v>526</v>
      </c>
      <c r="B527" s="26">
        <v>45422</v>
      </c>
      <c r="C527" s="25" t="s">
        <v>59</v>
      </c>
      <c r="D527" s="25" t="s">
        <v>22</v>
      </c>
      <c r="E527" s="25" t="s">
        <v>96</v>
      </c>
      <c r="F527" s="25">
        <v>2</v>
      </c>
      <c r="G527" s="25" t="s">
        <v>97</v>
      </c>
      <c r="H527" s="25">
        <v>300</v>
      </c>
      <c r="I527" s="25">
        <v>265</v>
      </c>
      <c r="J527" s="25">
        <v>600</v>
      </c>
      <c r="K527" s="25">
        <v>530</v>
      </c>
      <c r="L527" s="25">
        <v>70</v>
      </c>
      <c r="M527" s="27">
        <v>13.207547169811299</v>
      </c>
      <c r="N527" s="25" t="s">
        <v>60</v>
      </c>
      <c r="O527" s="25" t="s">
        <v>28</v>
      </c>
      <c r="P527" s="25" t="s">
        <v>32</v>
      </c>
    </row>
    <row r="528" spans="1:16" x14ac:dyDescent="0.3">
      <c r="A528" s="25">
        <v>527</v>
      </c>
      <c r="B528" s="26">
        <v>45423</v>
      </c>
      <c r="C528" s="25" t="s">
        <v>59</v>
      </c>
      <c r="D528" s="25" t="s">
        <v>21</v>
      </c>
      <c r="E528" s="25" t="s">
        <v>94</v>
      </c>
      <c r="F528" s="25">
        <v>10</v>
      </c>
      <c r="G528" s="25" t="s">
        <v>89</v>
      </c>
      <c r="H528" s="25">
        <v>30</v>
      </c>
      <c r="I528" s="25">
        <v>26</v>
      </c>
      <c r="J528" s="25">
        <v>300</v>
      </c>
      <c r="K528" s="25">
        <v>260</v>
      </c>
      <c r="L528" s="25">
        <v>40</v>
      </c>
      <c r="M528" s="27">
        <v>15.384615384615399</v>
      </c>
      <c r="N528" s="25" t="s">
        <v>60</v>
      </c>
      <c r="O528" s="25" t="s">
        <v>27</v>
      </c>
      <c r="P528" s="25" t="s">
        <v>32</v>
      </c>
    </row>
    <row r="529" spans="1:16" x14ac:dyDescent="0.3">
      <c r="A529" s="25">
        <v>528</v>
      </c>
      <c r="B529" s="26">
        <v>45423</v>
      </c>
      <c r="C529" s="25" t="s">
        <v>59</v>
      </c>
      <c r="D529" s="25" t="s">
        <v>21</v>
      </c>
      <c r="E529" s="25" t="s">
        <v>98</v>
      </c>
      <c r="F529" s="25">
        <v>2</v>
      </c>
      <c r="G529" s="25" t="s">
        <v>89</v>
      </c>
      <c r="H529" s="25">
        <v>95</v>
      </c>
      <c r="I529" s="25">
        <v>55</v>
      </c>
      <c r="J529" s="25">
        <v>190</v>
      </c>
      <c r="K529" s="25">
        <v>110</v>
      </c>
      <c r="L529" s="25">
        <v>80</v>
      </c>
      <c r="M529" s="27">
        <v>72.727272727272705</v>
      </c>
      <c r="N529" s="25" t="s">
        <v>60</v>
      </c>
      <c r="O529" s="25" t="s">
        <v>27</v>
      </c>
      <c r="P529" s="25" t="s">
        <v>32</v>
      </c>
    </row>
    <row r="530" spans="1:16" x14ac:dyDescent="0.3">
      <c r="A530" s="25">
        <v>529</v>
      </c>
      <c r="B530" s="26">
        <v>45423</v>
      </c>
      <c r="C530" s="25" t="s">
        <v>59</v>
      </c>
      <c r="D530" s="25" t="s">
        <v>21</v>
      </c>
      <c r="E530" s="25" t="s">
        <v>88</v>
      </c>
      <c r="F530" s="25">
        <v>3</v>
      </c>
      <c r="G530" s="25" t="s">
        <v>89</v>
      </c>
      <c r="H530" s="25">
        <v>130</v>
      </c>
      <c r="I530" s="25">
        <v>100</v>
      </c>
      <c r="J530" s="25">
        <v>390</v>
      </c>
      <c r="K530" s="25">
        <v>300</v>
      </c>
      <c r="L530" s="25">
        <v>90</v>
      </c>
      <c r="M530" s="27">
        <v>30</v>
      </c>
      <c r="N530" s="25" t="s">
        <v>60</v>
      </c>
      <c r="O530" s="25" t="s">
        <v>27</v>
      </c>
      <c r="P530" s="25" t="s">
        <v>32</v>
      </c>
    </row>
    <row r="531" spans="1:16" x14ac:dyDescent="0.3">
      <c r="A531" s="25">
        <v>530</v>
      </c>
      <c r="B531" s="26">
        <v>45423</v>
      </c>
      <c r="C531" s="25" t="s">
        <v>59</v>
      </c>
      <c r="D531" s="25" t="s">
        <v>21</v>
      </c>
      <c r="E531" s="25" t="s">
        <v>88</v>
      </c>
      <c r="F531" s="25">
        <v>4</v>
      </c>
      <c r="G531" s="25" t="s">
        <v>89</v>
      </c>
      <c r="H531" s="25">
        <v>130</v>
      </c>
      <c r="I531" s="25">
        <v>100</v>
      </c>
      <c r="J531" s="25">
        <v>520</v>
      </c>
      <c r="K531" s="25">
        <v>400</v>
      </c>
      <c r="L531" s="25">
        <v>120</v>
      </c>
      <c r="M531" s="27">
        <v>30</v>
      </c>
      <c r="N531" s="25" t="s">
        <v>60</v>
      </c>
      <c r="O531" s="25" t="s">
        <v>27</v>
      </c>
      <c r="P531" s="25" t="s">
        <v>32</v>
      </c>
    </row>
    <row r="532" spans="1:16" x14ac:dyDescent="0.3">
      <c r="A532" s="25">
        <v>531</v>
      </c>
      <c r="B532" s="26">
        <v>45423</v>
      </c>
      <c r="C532" s="25" t="s">
        <v>59</v>
      </c>
      <c r="D532" s="25" t="s">
        <v>21</v>
      </c>
      <c r="E532" s="25" t="s">
        <v>88</v>
      </c>
      <c r="F532" s="25">
        <v>2</v>
      </c>
      <c r="G532" s="25" t="s">
        <v>89</v>
      </c>
      <c r="H532" s="25">
        <v>130</v>
      </c>
      <c r="I532" s="25">
        <v>100</v>
      </c>
      <c r="J532" s="25">
        <v>260</v>
      </c>
      <c r="K532" s="25">
        <v>200</v>
      </c>
      <c r="L532" s="25">
        <v>60</v>
      </c>
      <c r="M532" s="27">
        <v>30</v>
      </c>
      <c r="N532" s="25" t="s">
        <v>60</v>
      </c>
      <c r="O532" s="25" t="s">
        <v>27</v>
      </c>
      <c r="P532" s="25" t="s">
        <v>32</v>
      </c>
    </row>
    <row r="533" spans="1:16" x14ac:dyDescent="0.3">
      <c r="A533" s="25">
        <v>532</v>
      </c>
      <c r="B533" s="26">
        <v>45424</v>
      </c>
      <c r="C533" s="25" t="s">
        <v>59</v>
      </c>
      <c r="D533" s="25" t="s">
        <v>21</v>
      </c>
      <c r="E533" s="25" t="s">
        <v>94</v>
      </c>
      <c r="F533" s="25">
        <v>8</v>
      </c>
      <c r="G533" s="25" t="s">
        <v>89</v>
      </c>
      <c r="H533" s="25">
        <v>30</v>
      </c>
      <c r="I533" s="25">
        <v>26</v>
      </c>
      <c r="J533" s="25">
        <v>240</v>
      </c>
      <c r="K533" s="25">
        <v>208</v>
      </c>
      <c r="L533" s="25">
        <v>32</v>
      </c>
      <c r="M533" s="27">
        <v>15.384615384615399</v>
      </c>
      <c r="N533" s="25" t="s">
        <v>60</v>
      </c>
      <c r="O533" s="25" t="s">
        <v>27</v>
      </c>
      <c r="P533" s="25" t="s">
        <v>32</v>
      </c>
    </row>
    <row r="534" spans="1:16" x14ac:dyDescent="0.3">
      <c r="A534" s="25">
        <v>533</v>
      </c>
      <c r="B534" s="26">
        <v>45424</v>
      </c>
      <c r="C534" s="25" t="s">
        <v>59</v>
      </c>
      <c r="D534" s="25" t="s">
        <v>21</v>
      </c>
      <c r="E534" s="25" t="s">
        <v>93</v>
      </c>
      <c r="F534" s="25">
        <v>2</v>
      </c>
      <c r="G534" s="25" t="s">
        <v>89</v>
      </c>
      <c r="H534" s="25">
        <v>250</v>
      </c>
      <c r="I534" s="25">
        <v>180</v>
      </c>
      <c r="J534" s="25">
        <v>500</v>
      </c>
      <c r="K534" s="25">
        <v>360</v>
      </c>
      <c r="L534" s="25">
        <v>140</v>
      </c>
      <c r="M534" s="27">
        <v>38.8888888888889</v>
      </c>
      <c r="N534" s="25" t="s">
        <v>60</v>
      </c>
      <c r="O534" s="25" t="s">
        <v>27</v>
      </c>
      <c r="P534" s="25" t="s">
        <v>32</v>
      </c>
    </row>
    <row r="535" spans="1:16" x14ac:dyDescent="0.3">
      <c r="A535" s="25">
        <v>534</v>
      </c>
      <c r="B535" s="26">
        <v>45424</v>
      </c>
      <c r="C535" s="25" t="s">
        <v>59</v>
      </c>
      <c r="D535" s="25" t="s">
        <v>21</v>
      </c>
      <c r="E535" s="25" t="s">
        <v>88</v>
      </c>
      <c r="F535" s="25">
        <v>3</v>
      </c>
      <c r="G535" s="25" t="s">
        <v>89</v>
      </c>
      <c r="H535" s="25">
        <v>130</v>
      </c>
      <c r="I535" s="25">
        <v>100</v>
      </c>
      <c r="J535" s="25">
        <v>390</v>
      </c>
      <c r="K535" s="25">
        <v>300</v>
      </c>
      <c r="L535" s="25">
        <v>90</v>
      </c>
      <c r="M535" s="27">
        <v>30</v>
      </c>
      <c r="N535" s="25" t="s">
        <v>60</v>
      </c>
      <c r="O535" s="25" t="s">
        <v>27</v>
      </c>
      <c r="P535" s="25" t="s">
        <v>32</v>
      </c>
    </row>
    <row r="536" spans="1:16" x14ac:dyDescent="0.3">
      <c r="A536" s="25">
        <v>535</v>
      </c>
      <c r="B536" s="26">
        <v>45424</v>
      </c>
      <c r="C536" s="25" t="s">
        <v>59</v>
      </c>
      <c r="D536" s="25" t="s">
        <v>21</v>
      </c>
      <c r="E536" s="25" t="s">
        <v>88</v>
      </c>
      <c r="F536" s="25">
        <v>2</v>
      </c>
      <c r="G536" s="25" t="s">
        <v>89</v>
      </c>
      <c r="H536" s="25">
        <v>130</v>
      </c>
      <c r="I536" s="25">
        <v>100</v>
      </c>
      <c r="J536" s="25">
        <v>260</v>
      </c>
      <c r="K536" s="25">
        <v>200</v>
      </c>
      <c r="L536" s="25">
        <v>60</v>
      </c>
      <c r="M536" s="27">
        <v>30</v>
      </c>
      <c r="N536" s="25" t="s">
        <v>60</v>
      </c>
      <c r="O536" s="25" t="s">
        <v>27</v>
      </c>
      <c r="P536" s="25" t="s">
        <v>32</v>
      </c>
    </row>
    <row r="537" spans="1:16" x14ac:dyDescent="0.3">
      <c r="A537" s="25">
        <v>536</v>
      </c>
      <c r="B537" s="26">
        <v>45424</v>
      </c>
      <c r="C537" s="25" t="s">
        <v>59</v>
      </c>
      <c r="D537" s="25" t="s">
        <v>21</v>
      </c>
      <c r="E537" s="25" t="s">
        <v>88</v>
      </c>
      <c r="F537" s="25">
        <v>4</v>
      </c>
      <c r="G537" s="25" t="s">
        <v>89</v>
      </c>
      <c r="H537" s="25">
        <v>130</v>
      </c>
      <c r="I537" s="25">
        <v>100</v>
      </c>
      <c r="J537" s="25">
        <v>520</v>
      </c>
      <c r="K537" s="25">
        <v>400</v>
      </c>
      <c r="L537" s="25">
        <v>120</v>
      </c>
      <c r="M537" s="27">
        <v>30</v>
      </c>
      <c r="N537" s="25" t="s">
        <v>60</v>
      </c>
      <c r="O537" s="25" t="s">
        <v>27</v>
      </c>
      <c r="P537" s="25" t="s">
        <v>32</v>
      </c>
    </row>
    <row r="538" spans="1:16" x14ac:dyDescent="0.3">
      <c r="A538" s="25">
        <v>537</v>
      </c>
      <c r="B538" s="26">
        <v>45424</v>
      </c>
      <c r="C538" s="25" t="s">
        <v>59</v>
      </c>
      <c r="D538" s="25" t="s">
        <v>21</v>
      </c>
      <c r="E538" s="25" t="s">
        <v>88</v>
      </c>
      <c r="F538" s="25">
        <v>5</v>
      </c>
      <c r="G538" s="25" t="s">
        <v>89</v>
      </c>
      <c r="H538" s="25">
        <v>130</v>
      </c>
      <c r="I538" s="25">
        <v>100</v>
      </c>
      <c r="J538" s="25">
        <v>650</v>
      </c>
      <c r="K538" s="25">
        <v>500</v>
      </c>
      <c r="L538" s="25">
        <v>150</v>
      </c>
      <c r="M538" s="27">
        <v>30</v>
      </c>
      <c r="N538" s="25" t="s">
        <v>60</v>
      </c>
      <c r="O538" s="25" t="s">
        <v>27</v>
      </c>
      <c r="P538" s="25" t="s">
        <v>32</v>
      </c>
    </row>
    <row r="539" spans="1:16" x14ac:dyDescent="0.3">
      <c r="A539" s="25">
        <v>538</v>
      </c>
      <c r="B539" s="26">
        <v>45425</v>
      </c>
      <c r="C539" s="25" t="s">
        <v>59</v>
      </c>
      <c r="D539" s="25" t="s">
        <v>21</v>
      </c>
      <c r="E539" s="25" t="s">
        <v>88</v>
      </c>
      <c r="F539" s="25">
        <v>3</v>
      </c>
      <c r="G539" s="25" t="s">
        <v>89</v>
      </c>
      <c r="H539" s="25">
        <v>130</v>
      </c>
      <c r="I539" s="25">
        <v>100</v>
      </c>
      <c r="J539" s="25">
        <v>390</v>
      </c>
      <c r="K539" s="25">
        <v>300</v>
      </c>
      <c r="L539" s="25">
        <v>90</v>
      </c>
      <c r="M539" s="27">
        <v>30</v>
      </c>
      <c r="N539" s="25" t="s">
        <v>60</v>
      </c>
      <c r="O539" s="25" t="s">
        <v>27</v>
      </c>
      <c r="P539" s="25" t="s">
        <v>32</v>
      </c>
    </row>
    <row r="540" spans="1:16" x14ac:dyDescent="0.3">
      <c r="A540" s="25">
        <v>539</v>
      </c>
      <c r="B540" s="26">
        <v>45425</v>
      </c>
      <c r="C540" s="25" t="s">
        <v>59</v>
      </c>
      <c r="D540" s="25" t="s">
        <v>21</v>
      </c>
      <c r="E540" s="25" t="s">
        <v>88</v>
      </c>
      <c r="F540" s="25">
        <v>5</v>
      </c>
      <c r="G540" s="25" t="s">
        <v>89</v>
      </c>
      <c r="H540" s="25">
        <v>130</v>
      </c>
      <c r="I540" s="25">
        <v>100</v>
      </c>
      <c r="J540" s="25">
        <v>650</v>
      </c>
      <c r="K540" s="25">
        <v>500</v>
      </c>
      <c r="L540" s="25">
        <v>150</v>
      </c>
      <c r="M540" s="27">
        <v>30</v>
      </c>
      <c r="N540" s="25" t="s">
        <v>60</v>
      </c>
      <c r="O540" s="25" t="s">
        <v>27</v>
      </c>
      <c r="P540" s="25" t="s">
        <v>32</v>
      </c>
    </row>
    <row r="541" spans="1:16" x14ac:dyDescent="0.3">
      <c r="A541" s="25">
        <v>540</v>
      </c>
      <c r="B541" s="26">
        <v>45425</v>
      </c>
      <c r="C541" s="25" t="s">
        <v>59</v>
      </c>
      <c r="D541" s="25" t="s">
        <v>21</v>
      </c>
      <c r="E541" s="25" t="s">
        <v>88</v>
      </c>
      <c r="F541" s="25">
        <v>2</v>
      </c>
      <c r="G541" s="25" t="s">
        <v>89</v>
      </c>
      <c r="H541" s="25">
        <v>130</v>
      </c>
      <c r="I541" s="25">
        <v>100</v>
      </c>
      <c r="J541" s="25">
        <v>260</v>
      </c>
      <c r="K541" s="25">
        <v>200</v>
      </c>
      <c r="L541" s="25">
        <v>60</v>
      </c>
      <c r="M541" s="27">
        <v>30</v>
      </c>
      <c r="N541" s="25" t="s">
        <v>60</v>
      </c>
      <c r="O541" s="25" t="s">
        <v>27</v>
      </c>
      <c r="P541" s="25" t="s">
        <v>32</v>
      </c>
    </row>
    <row r="542" spans="1:16" x14ac:dyDescent="0.3">
      <c r="A542" s="25">
        <v>541</v>
      </c>
      <c r="B542" s="26">
        <v>45425</v>
      </c>
      <c r="C542" s="25" t="s">
        <v>59</v>
      </c>
      <c r="D542" s="25" t="s">
        <v>21</v>
      </c>
      <c r="E542" s="25" t="s">
        <v>88</v>
      </c>
      <c r="F542" s="25">
        <v>6</v>
      </c>
      <c r="G542" s="25" t="s">
        <v>89</v>
      </c>
      <c r="H542" s="25">
        <v>130</v>
      </c>
      <c r="I542" s="25">
        <v>100</v>
      </c>
      <c r="J542" s="25">
        <v>780</v>
      </c>
      <c r="K542" s="25">
        <v>600</v>
      </c>
      <c r="L542" s="25">
        <v>180</v>
      </c>
      <c r="M542" s="27">
        <v>30</v>
      </c>
      <c r="N542" s="25" t="s">
        <v>60</v>
      </c>
      <c r="O542" s="25" t="s">
        <v>27</v>
      </c>
      <c r="P542" s="25" t="s">
        <v>32</v>
      </c>
    </row>
    <row r="543" spans="1:16" x14ac:dyDescent="0.3">
      <c r="A543" s="25">
        <v>542</v>
      </c>
      <c r="B543" s="26">
        <v>45425</v>
      </c>
      <c r="C543" s="25" t="s">
        <v>59</v>
      </c>
      <c r="D543" s="25" t="s">
        <v>21</v>
      </c>
      <c r="E543" s="25" t="s">
        <v>95</v>
      </c>
      <c r="F543" s="25">
        <v>2</v>
      </c>
      <c r="G543" s="25" t="s">
        <v>89</v>
      </c>
      <c r="H543" s="25">
        <v>150</v>
      </c>
      <c r="I543" s="25">
        <v>100</v>
      </c>
      <c r="J543" s="25">
        <v>300</v>
      </c>
      <c r="K543" s="25">
        <v>200</v>
      </c>
      <c r="L543" s="25">
        <v>100</v>
      </c>
      <c r="M543" s="27">
        <v>50</v>
      </c>
      <c r="N543" s="25" t="s">
        <v>60</v>
      </c>
      <c r="O543" s="25" t="s">
        <v>28</v>
      </c>
      <c r="P543" s="25" t="s">
        <v>32</v>
      </c>
    </row>
    <row r="544" spans="1:16" x14ac:dyDescent="0.3">
      <c r="A544" s="25">
        <v>543</v>
      </c>
      <c r="B544" s="26">
        <v>45427</v>
      </c>
      <c r="C544" s="25" t="s">
        <v>59</v>
      </c>
      <c r="D544" s="25" t="s">
        <v>21</v>
      </c>
      <c r="E544" s="25" t="s">
        <v>88</v>
      </c>
      <c r="F544" s="25">
        <v>2</v>
      </c>
      <c r="G544" s="25" t="s">
        <v>89</v>
      </c>
      <c r="H544" s="25">
        <v>130</v>
      </c>
      <c r="I544" s="25">
        <v>100</v>
      </c>
      <c r="J544" s="25">
        <v>260</v>
      </c>
      <c r="K544" s="25">
        <v>200</v>
      </c>
      <c r="L544" s="25">
        <v>60</v>
      </c>
      <c r="M544" s="27">
        <v>30</v>
      </c>
      <c r="N544" s="25" t="s">
        <v>60</v>
      </c>
      <c r="O544" s="25" t="s">
        <v>27</v>
      </c>
      <c r="P544" s="25" t="s">
        <v>32</v>
      </c>
    </row>
    <row r="545" spans="1:16" x14ac:dyDescent="0.3">
      <c r="A545" s="25">
        <v>544</v>
      </c>
      <c r="B545" s="26">
        <v>45427</v>
      </c>
      <c r="C545" s="25" t="s">
        <v>59</v>
      </c>
      <c r="D545" s="25" t="s">
        <v>21</v>
      </c>
      <c r="E545" s="25" t="s">
        <v>98</v>
      </c>
      <c r="F545" s="25">
        <v>5</v>
      </c>
      <c r="G545" s="25" t="s">
        <v>89</v>
      </c>
      <c r="H545" s="25">
        <v>95</v>
      </c>
      <c r="I545" s="25">
        <v>55</v>
      </c>
      <c r="J545" s="25">
        <v>475</v>
      </c>
      <c r="K545" s="25">
        <v>275</v>
      </c>
      <c r="L545" s="25">
        <v>200</v>
      </c>
      <c r="M545" s="27">
        <v>72.727272727272705</v>
      </c>
      <c r="N545" s="25" t="s">
        <v>60</v>
      </c>
      <c r="O545" s="25" t="s">
        <v>27</v>
      </c>
      <c r="P545" s="25" t="s">
        <v>32</v>
      </c>
    </row>
    <row r="546" spans="1:16" x14ac:dyDescent="0.3">
      <c r="A546" s="25">
        <v>545</v>
      </c>
      <c r="B546" s="26">
        <v>45427</v>
      </c>
      <c r="C546" s="25" t="s">
        <v>59</v>
      </c>
      <c r="D546" s="25" t="s">
        <v>21</v>
      </c>
      <c r="E546" s="25" t="s">
        <v>94</v>
      </c>
      <c r="F546" s="25">
        <v>3</v>
      </c>
      <c r="G546" s="25" t="s">
        <v>89</v>
      </c>
      <c r="H546" s="25">
        <v>30</v>
      </c>
      <c r="I546" s="25">
        <v>26</v>
      </c>
      <c r="J546" s="25">
        <v>90</v>
      </c>
      <c r="K546" s="25">
        <v>78</v>
      </c>
      <c r="L546" s="25">
        <v>12</v>
      </c>
      <c r="M546" s="27">
        <v>15.384615384615399</v>
      </c>
      <c r="N546" s="25" t="s">
        <v>60</v>
      </c>
      <c r="O546" s="25" t="s">
        <v>27</v>
      </c>
      <c r="P546" s="25" t="s">
        <v>32</v>
      </c>
    </row>
    <row r="547" spans="1:16" x14ac:dyDescent="0.3">
      <c r="A547" s="25">
        <v>546</v>
      </c>
      <c r="B547" s="26">
        <v>45427</v>
      </c>
      <c r="C547" s="25" t="s">
        <v>59</v>
      </c>
      <c r="D547" s="25" t="s">
        <v>21</v>
      </c>
      <c r="E547" s="25" t="s">
        <v>93</v>
      </c>
      <c r="F547" s="25">
        <v>2</v>
      </c>
      <c r="G547" s="25" t="s">
        <v>89</v>
      </c>
      <c r="H547" s="25">
        <v>250</v>
      </c>
      <c r="I547" s="25">
        <v>180</v>
      </c>
      <c r="J547" s="25">
        <v>500</v>
      </c>
      <c r="K547" s="25">
        <v>360</v>
      </c>
      <c r="L547" s="25">
        <v>140</v>
      </c>
      <c r="M547" s="27">
        <v>38.8888888888889</v>
      </c>
      <c r="N547" s="25" t="s">
        <v>60</v>
      </c>
      <c r="O547" s="25" t="s">
        <v>27</v>
      </c>
      <c r="P547" s="25" t="s">
        <v>32</v>
      </c>
    </row>
    <row r="548" spans="1:16" x14ac:dyDescent="0.3">
      <c r="A548" s="25">
        <v>547</v>
      </c>
      <c r="B548" s="26">
        <v>45428</v>
      </c>
      <c r="C548" s="25" t="s">
        <v>59</v>
      </c>
      <c r="D548" s="25" t="s">
        <v>21</v>
      </c>
      <c r="E548" s="25" t="s">
        <v>88</v>
      </c>
      <c r="F548" s="25">
        <v>4</v>
      </c>
      <c r="G548" s="25" t="s">
        <v>89</v>
      </c>
      <c r="H548" s="25">
        <v>130</v>
      </c>
      <c r="I548" s="25">
        <v>100</v>
      </c>
      <c r="J548" s="25">
        <v>520</v>
      </c>
      <c r="K548" s="25">
        <v>400</v>
      </c>
      <c r="L548" s="25">
        <v>120</v>
      </c>
      <c r="M548" s="27">
        <v>30</v>
      </c>
      <c r="N548" s="25" t="s">
        <v>60</v>
      </c>
      <c r="O548" s="25" t="s">
        <v>27</v>
      </c>
      <c r="P548" s="25" t="s">
        <v>32</v>
      </c>
    </row>
    <row r="549" spans="1:16" x14ac:dyDescent="0.3">
      <c r="A549" s="25">
        <v>548</v>
      </c>
      <c r="B549" s="26">
        <v>45428</v>
      </c>
      <c r="C549" s="25" t="s">
        <v>59</v>
      </c>
      <c r="D549" s="25" t="s">
        <v>21</v>
      </c>
      <c r="E549" s="25" t="s">
        <v>88</v>
      </c>
      <c r="F549" s="25">
        <v>7</v>
      </c>
      <c r="G549" s="25" t="s">
        <v>89</v>
      </c>
      <c r="H549" s="25">
        <v>130</v>
      </c>
      <c r="I549" s="25">
        <v>100</v>
      </c>
      <c r="J549" s="25">
        <v>910</v>
      </c>
      <c r="K549" s="25">
        <v>700</v>
      </c>
      <c r="L549" s="25">
        <v>210</v>
      </c>
      <c r="M549" s="27">
        <v>30</v>
      </c>
      <c r="N549" s="25" t="s">
        <v>60</v>
      </c>
      <c r="O549" s="25" t="s">
        <v>27</v>
      </c>
      <c r="P549" s="25" t="s">
        <v>32</v>
      </c>
    </row>
    <row r="550" spans="1:16" x14ac:dyDescent="0.3">
      <c r="A550" s="25">
        <v>549</v>
      </c>
      <c r="B550" s="26">
        <v>45428</v>
      </c>
      <c r="C550" s="25" t="s">
        <v>59</v>
      </c>
      <c r="D550" s="25" t="s">
        <v>21</v>
      </c>
      <c r="E550" s="25" t="s">
        <v>95</v>
      </c>
      <c r="F550" s="25">
        <v>5</v>
      </c>
      <c r="G550" s="25" t="s">
        <v>89</v>
      </c>
      <c r="H550" s="25">
        <v>150</v>
      </c>
      <c r="I550" s="25">
        <v>100</v>
      </c>
      <c r="J550" s="25">
        <v>750</v>
      </c>
      <c r="K550" s="25">
        <v>500</v>
      </c>
      <c r="L550" s="25">
        <v>250</v>
      </c>
      <c r="M550" s="27">
        <v>50</v>
      </c>
      <c r="N550" s="25" t="s">
        <v>60</v>
      </c>
      <c r="O550" s="25" t="s">
        <v>28</v>
      </c>
      <c r="P550" s="25" t="s">
        <v>32</v>
      </c>
    </row>
    <row r="551" spans="1:16" x14ac:dyDescent="0.3">
      <c r="A551" s="25">
        <v>550</v>
      </c>
      <c r="B551" s="26">
        <v>45428</v>
      </c>
      <c r="C551" s="25" t="s">
        <v>59</v>
      </c>
      <c r="D551" s="25" t="s">
        <v>21</v>
      </c>
      <c r="E551" s="25" t="s">
        <v>93</v>
      </c>
      <c r="F551" s="25">
        <v>8</v>
      </c>
      <c r="G551" s="25" t="s">
        <v>89</v>
      </c>
      <c r="H551" s="25">
        <v>250</v>
      </c>
      <c r="I551" s="25">
        <v>180</v>
      </c>
      <c r="J551" s="25">
        <v>2000</v>
      </c>
      <c r="K551" s="25">
        <v>1440</v>
      </c>
      <c r="L551" s="25">
        <v>560</v>
      </c>
      <c r="M551" s="27">
        <v>38.8888888888889</v>
      </c>
      <c r="N551" s="25" t="s">
        <v>60</v>
      </c>
      <c r="O551" s="25" t="s">
        <v>27</v>
      </c>
      <c r="P551" s="25" t="s">
        <v>32</v>
      </c>
    </row>
    <row r="552" spans="1:16" x14ac:dyDescent="0.3">
      <c r="A552" s="25">
        <v>551</v>
      </c>
      <c r="B552" s="26">
        <v>45429</v>
      </c>
      <c r="C552" s="25" t="s">
        <v>59</v>
      </c>
      <c r="D552" s="25" t="s">
        <v>21</v>
      </c>
      <c r="E552" s="25" t="s">
        <v>88</v>
      </c>
      <c r="F552" s="25">
        <v>12</v>
      </c>
      <c r="G552" s="25" t="s">
        <v>89</v>
      </c>
      <c r="H552" s="25">
        <v>130</v>
      </c>
      <c r="I552" s="25">
        <v>100</v>
      </c>
      <c r="J552" s="25">
        <v>1560</v>
      </c>
      <c r="K552" s="25">
        <v>1200</v>
      </c>
      <c r="L552" s="25">
        <v>360</v>
      </c>
      <c r="M552" s="27">
        <v>30</v>
      </c>
      <c r="N552" s="25" t="s">
        <v>60</v>
      </c>
      <c r="O552" s="25" t="s">
        <v>27</v>
      </c>
      <c r="P552" s="25" t="s">
        <v>32</v>
      </c>
    </row>
    <row r="553" spans="1:16" x14ac:dyDescent="0.3">
      <c r="A553" s="25">
        <v>552</v>
      </c>
      <c r="B553" s="26">
        <v>45429</v>
      </c>
      <c r="C553" s="25" t="s">
        <v>59</v>
      </c>
      <c r="D553" s="25" t="s">
        <v>21</v>
      </c>
      <c r="E553" s="25" t="s">
        <v>88</v>
      </c>
      <c r="F553" s="25">
        <v>3</v>
      </c>
      <c r="G553" s="25" t="s">
        <v>89</v>
      </c>
      <c r="H553" s="25">
        <v>130</v>
      </c>
      <c r="I553" s="25">
        <v>100</v>
      </c>
      <c r="J553" s="25">
        <v>390</v>
      </c>
      <c r="K553" s="25">
        <v>300</v>
      </c>
      <c r="L553" s="25">
        <v>90</v>
      </c>
      <c r="M553" s="27">
        <v>30</v>
      </c>
      <c r="N553" s="25" t="s">
        <v>60</v>
      </c>
      <c r="O553" s="25" t="s">
        <v>27</v>
      </c>
      <c r="P553" s="25" t="s">
        <v>32</v>
      </c>
    </row>
    <row r="554" spans="1:16" x14ac:dyDescent="0.3">
      <c r="A554" s="25">
        <v>553</v>
      </c>
      <c r="B554" s="26">
        <v>45429</v>
      </c>
      <c r="C554" s="25" t="s">
        <v>59</v>
      </c>
      <c r="D554" s="25" t="s">
        <v>21</v>
      </c>
      <c r="E554" s="25" t="s">
        <v>88</v>
      </c>
      <c r="F554" s="25">
        <v>5</v>
      </c>
      <c r="G554" s="25" t="s">
        <v>89</v>
      </c>
      <c r="H554" s="25">
        <v>130</v>
      </c>
      <c r="I554" s="25">
        <v>100</v>
      </c>
      <c r="J554" s="25">
        <v>650</v>
      </c>
      <c r="K554" s="25">
        <v>500</v>
      </c>
      <c r="L554" s="25">
        <v>150</v>
      </c>
      <c r="M554" s="27">
        <v>30</v>
      </c>
      <c r="N554" s="25" t="s">
        <v>60</v>
      </c>
      <c r="O554" s="25" t="s">
        <v>27</v>
      </c>
      <c r="P554" s="25" t="s">
        <v>32</v>
      </c>
    </row>
    <row r="555" spans="1:16" x14ac:dyDescent="0.3">
      <c r="A555" s="25">
        <v>554</v>
      </c>
      <c r="B555" s="26">
        <v>45430</v>
      </c>
      <c r="C555" s="25" t="s">
        <v>59</v>
      </c>
      <c r="D555" s="25" t="s">
        <v>21</v>
      </c>
      <c r="E555" s="25" t="s">
        <v>95</v>
      </c>
      <c r="F555" s="25">
        <v>4</v>
      </c>
      <c r="G555" s="25" t="s">
        <v>89</v>
      </c>
      <c r="H555" s="25">
        <v>150</v>
      </c>
      <c r="I555" s="25">
        <v>100</v>
      </c>
      <c r="J555" s="25">
        <v>600</v>
      </c>
      <c r="K555" s="25">
        <v>400</v>
      </c>
      <c r="L555" s="25">
        <v>200</v>
      </c>
      <c r="M555" s="27">
        <v>50</v>
      </c>
      <c r="N555" s="25" t="s">
        <v>60</v>
      </c>
      <c r="O555" s="25" t="s">
        <v>28</v>
      </c>
      <c r="P555" s="25" t="s">
        <v>32</v>
      </c>
    </row>
    <row r="556" spans="1:16" x14ac:dyDescent="0.3">
      <c r="A556" s="25">
        <v>555</v>
      </c>
      <c r="B556" s="26">
        <v>45430</v>
      </c>
      <c r="C556" s="25" t="s">
        <v>59</v>
      </c>
      <c r="D556" s="25" t="s">
        <v>21</v>
      </c>
      <c r="E556" s="25" t="s">
        <v>88</v>
      </c>
      <c r="F556" s="25">
        <v>4</v>
      </c>
      <c r="G556" s="25" t="s">
        <v>89</v>
      </c>
      <c r="H556" s="25">
        <v>130</v>
      </c>
      <c r="I556" s="25">
        <v>100</v>
      </c>
      <c r="J556" s="25">
        <v>520</v>
      </c>
      <c r="K556" s="25">
        <v>400</v>
      </c>
      <c r="L556" s="25">
        <v>120</v>
      </c>
      <c r="M556" s="27">
        <v>30</v>
      </c>
      <c r="N556" s="25" t="s">
        <v>60</v>
      </c>
      <c r="O556" s="25" t="s">
        <v>27</v>
      </c>
      <c r="P556" s="25" t="s">
        <v>32</v>
      </c>
    </row>
    <row r="557" spans="1:16" x14ac:dyDescent="0.3">
      <c r="A557" s="25">
        <v>556</v>
      </c>
      <c r="B557" s="26">
        <v>45430</v>
      </c>
      <c r="C557" s="25" t="s">
        <v>59</v>
      </c>
      <c r="D557" s="25" t="s">
        <v>21</v>
      </c>
      <c r="E557" s="25" t="s">
        <v>88</v>
      </c>
      <c r="F557" s="25">
        <v>3</v>
      </c>
      <c r="G557" s="25" t="s">
        <v>89</v>
      </c>
      <c r="H557" s="25">
        <v>130</v>
      </c>
      <c r="I557" s="25">
        <v>100</v>
      </c>
      <c r="J557" s="25">
        <v>390</v>
      </c>
      <c r="K557" s="25">
        <v>300</v>
      </c>
      <c r="L557" s="25">
        <v>90</v>
      </c>
      <c r="M557" s="27">
        <v>30</v>
      </c>
      <c r="N557" s="25" t="s">
        <v>60</v>
      </c>
      <c r="O557" s="25" t="s">
        <v>27</v>
      </c>
      <c r="P557" s="25" t="s">
        <v>32</v>
      </c>
    </row>
    <row r="558" spans="1:16" x14ac:dyDescent="0.3">
      <c r="A558" s="25">
        <v>557</v>
      </c>
      <c r="B558" s="26">
        <v>45430</v>
      </c>
      <c r="C558" s="25" t="s">
        <v>59</v>
      </c>
      <c r="D558" s="25" t="s">
        <v>21</v>
      </c>
      <c r="E558" s="25" t="s">
        <v>88</v>
      </c>
      <c r="F558" s="25">
        <v>5</v>
      </c>
      <c r="G558" s="25" t="s">
        <v>89</v>
      </c>
      <c r="H558" s="25">
        <v>130</v>
      </c>
      <c r="I558" s="25">
        <v>100</v>
      </c>
      <c r="J558" s="25">
        <v>650</v>
      </c>
      <c r="K558" s="25">
        <v>500</v>
      </c>
      <c r="L558" s="25">
        <v>150</v>
      </c>
      <c r="M558" s="27">
        <v>30</v>
      </c>
      <c r="N558" s="25" t="s">
        <v>60</v>
      </c>
      <c r="O558" s="25" t="s">
        <v>27</v>
      </c>
      <c r="P558" s="25" t="s">
        <v>32</v>
      </c>
    </row>
    <row r="559" spans="1:16" x14ac:dyDescent="0.3">
      <c r="A559" s="25">
        <v>558</v>
      </c>
      <c r="B559" s="26">
        <v>45431</v>
      </c>
      <c r="C559" s="25" t="s">
        <v>59</v>
      </c>
      <c r="D559" s="25" t="s">
        <v>21</v>
      </c>
      <c r="E559" s="25" t="s">
        <v>88</v>
      </c>
      <c r="F559" s="25">
        <v>8</v>
      </c>
      <c r="G559" s="25" t="s">
        <v>89</v>
      </c>
      <c r="H559" s="25">
        <v>130</v>
      </c>
      <c r="I559" s="25">
        <v>100</v>
      </c>
      <c r="J559" s="25">
        <v>1040</v>
      </c>
      <c r="K559" s="25">
        <v>800</v>
      </c>
      <c r="L559" s="25">
        <v>240</v>
      </c>
      <c r="M559" s="27">
        <v>30</v>
      </c>
      <c r="N559" s="25" t="s">
        <v>60</v>
      </c>
      <c r="O559" s="25" t="s">
        <v>27</v>
      </c>
      <c r="P559" s="25" t="s">
        <v>32</v>
      </c>
    </row>
    <row r="560" spans="1:16" x14ac:dyDescent="0.3">
      <c r="A560" s="25">
        <v>559</v>
      </c>
      <c r="B560" s="26">
        <v>45431</v>
      </c>
      <c r="C560" s="25" t="s">
        <v>59</v>
      </c>
      <c r="D560" s="25" t="s">
        <v>21</v>
      </c>
      <c r="E560" s="25" t="s">
        <v>93</v>
      </c>
      <c r="F560" s="25">
        <v>2</v>
      </c>
      <c r="G560" s="25" t="s">
        <v>89</v>
      </c>
      <c r="H560" s="25">
        <v>250</v>
      </c>
      <c r="I560" s="25">
        <v>180</v>
      </c>
      <c r="J560" s="25">
        <v>500</v>
      </c>
      <c r="K560" s="25">
        <v>360</v>
      </c>
      <c r="L560" s="25">
        <v>140</v>
      </c>
      <c r="M560" s="27">
        <v>38.8888888888889</v>
      </c>
      <c r="N560" s="25" t="s">
        <v>60</v>
      </c>
      <c r="O560" s="25" t="s">
        <v>27</v>
      </c>
      <c r="P560" s="25" t="s">
        <v>32</v>
      </c>
    </row>
    <row r="561" spans="1:16" x14ac:dyDescent="0.3">
      <c r="A561" s="25">
        <v>560</v>
      </c>
      <c r="B561" s="26">
        <v>45431</v>
      </c>
      <c r="C561" s="25" t="s">
        <v>59</v>
      </c>
      <c r="D561" s="25" t="s">
        <v>21</v>
      </c>
      <c r="E561" s="25" t="s">
        <v>98</v>
      </c>
      <c r="F561" s="25">
        <v>2</v>
      </c>
      <c r="G561" s="25" t="s">
        <v>89</v>
      </c>
      <c r="H561" s="25">
        <v>95</v>
      </c>
      <c r="I561" s="25">
        <v>55</v>
      </c>
      <c r="J561" s="25">
        <v>190</v>
      </c>
      <c r="K561" s="25">
        <v>110</v>
      </c>
      <c r="L561" s="25">
        <v>80</v>
      </c>
      <c r="M561" s="27">
        <v>72.727272727272705</v>
      </c>
      <c r="N561" s="25" t="s">
        <v>60</v>
      </c>
      <c r="O561" s="25" t="s">
        <v>27</v>
      </c>
      <c r="P561" s="25" t="s">
        <v>32</v>
      </c>
    </row>
    <row r="562" spans="1:16" x14ac:dyDescent="0.3">
      <c r="A562" s="25">
        <v>561</v>
      </c>
      <c r="B562" s="26">
        <v>45431</v>
      </c>
      <c r="C562" s="25" t="s">
        <v>59</v>
      </c>
      <c r="D562" s="25" t="s">
        <v>21</v>
      </c>
      <c r="E562" s="25" t="s">
        <v>88</v>
      </c>
      <c r="F562" s="25">
        <v>4</v>
      </c>
      <c r="G562" s="25" t="s">
        <v>89</v>
      </c>
      <c r="H562" s="25">
        <v>130</v>
      </c>
      <c r="I562" s="25">
        <v>100</v>
      </c>
      <c r="J562" s="25">
        <v>520</v>
      </c>
      <c r="K562" s="25">
        <v>400</v>
      </c>
      <c r="L562" s="25">
        <v>120</v>
      </c>
      <c r="M562" s="27">
        <v>30</v>
      </c>
      <c r="N562" s="25" t="s">
        <v>60</v>
      </c>
      <c r="O562" s="25" t="s">
        <v>27</v>
      </c>
      <c r="P562" s="25" t="s">
        <v>32</v>
      </c>
    </row>
    <row r="563" spans="1:16" x14ac:dyDescent="0.3">
      <c r="A563" s="25">
        <v>562</v>
      </c>
      <c r="B563" s="26">
        <v>45432</v>
      </c>
      <c r="C563" s="25" t="s">
        <v>59</v>
      </c>
      <c r="D563" s="25" t="s">
        <v>21</v>
      </c>
      <c r="E563" s="25" t="s">
        <v>88</v>
      </c>
      <c r="F563" s="25">
        <v>7</v>
      </c>
      <c r="G563" s="25" t="s">
        <v>89</v>
      </c>
      <c r="H563" s="25">
        <v>130</v>
      </c>
      <c r="I563" s="25">
        <v>100</v>
      </c>
      <c r="J563" s="25">
        <v>910</v>
      </c>
      <c r="K563" s="25">
        <v>700</v>
      </c>
      <c r="L563" s="25">
        <v>210</v>
      </c>
      <c r="M563" s="27">
        <v>30</v>
      </c>
      <c r="N563" s="25" t="s">
        <v>60</v>
      </c>
      <c r="O563" s="25" t="s">
        <v>27</v>
      </c>
      <c r="P563" s="25" t="s">
        <v>32</v>
      </c>
    </row>
    <row r="564" spans="1:16" x14ac:dyDescent="0.3">
      <c r="A564" s="25">
        <v>563</v>
      </c>
      <c r="B564" s="26">
        <v>45432</v>
      </c>
      <c r="C564" s="25" t="s">
        <v>59</v>
      </c>
      <c r="D564" s="25" t="s">
        <v>21</v>
      </c>
      <c r="E564" s="25" t="s">
        <v>88</v>
      </c>
      <c r="F564" s="25">
        <v>12</v>
      </c>
      <c r="G564" s="25" t="s">
        <v>89</v>
      </c>
      <c r="H564" s="25">
        <v>130</v>
      </c>
      <c r="I564" s="25">
        <v>100</v>
      </c>
      <c r="J564" s="25">
        <v>1560</v>
      </c>
      <c r="K564" s="25">
        <v>1200</v>
      </c>
      <c r="L564" s="25">
        <v>360</v>
      </c>
      <c r="M564" s="27">
        <v>30</v>
      </c>
      <c r="N564" s="25" t="s">
        <v>60</v>
      </c>
      <c r="O564" s="25" t="s">
        <v>27</v>
      </c>
      <c r="P564" s="25" t="s">
        <v>32</v>
      </c>
    </row>
    <row r="565" spans="1:16" x14ac:dyDescent="0.3">
      <c r="A565" s="25">
        <v>564</v>
      </c>
      <c r="B565" s="26">
        <v>45432</v>
      </c>
      <c r="C565" s="25" t="s">
        <v>59</v>
      </c>
      <c r="D565" s="25" t="s">
        <v>21</v>
      </c>
      <c r="E565" s="25" t="s">
        <v>88</v>
      </c>
      <c r="F565" s="25">
        <v>9</v>
      </c>
      <c r="G565" s="25" t="s">
        <v>89</v>
      </c>
      <c r="H565" s="25">
        <v>130</v>
      </c>
      <c r="I565" s="25">
        <v>100</v>
      </c>
      <c r="J565" s="25">
        <v>1170</v>
      </c>
      <c r="K565" s="25">
        <v>900</v>
      </c>
      <c r="L565" s="25">
        <v>270</v>
      </c>
      <c r="M565" s="27">
        <v>30</v>
      </c>
      <c r="N565" s="25" t="s">
        <v>60</v>
      </c>
      <c r="O565" s="25" t="s">
        <v>27</v>
      </c>
      <c r="P565" s="25" t="s">
        <v>32</v>
      </c>
    </row>
    <row r="566" spans="1:16" x14ac:dyDescent="0.3">
      <c r="A566" s="25">
        <v>565</v>
      </c>
      <c r="B566" s="26">
        <v>45433</v>
      </c>
      <c r="C566" s="25" t="s">
        <v>59</v>
      </c>
      <c r="D566" s="25" t="s">
        <v>21</v>
      </c>
      <c r="E566" s="25" t="s">
        <v>88</v>
      </c>
      <c r="F566" s="25">
        <v>2</v>
      </c>
      <c r="G566" s="25" t="s">
        <v>89</v>
      </c>
      <c r="H566" s="25">
        <v>130</v>
      </c>
      <c r="I566" s="25">
        <v>100</v>
      </c>
      <c r="J566" s="25">
        <v>260</v>
      </c>
      <c r="K566" s="25">
        <v>200</v>
      </c>
      <c r="L566" s="25">
        <v>60</v>
      </c>
      <c r="M566" s="27">
        <v>30</v>
      </c>
      <c r="N566" s="25" t="s">
        <v>60</v>
      </c>
      <c r="O566" s="25" t="s">
        <v>27</v>
      </c>
      <c r="P566" s="25" t="s">
        <v>32</v>
      </c>
    </row>
    <row r="567" spans="1:16" x14ac:dyDescent="0.3">
      <c r="A567" s="25">
        <v>566</v>
      </c>
      <c r="B567" s="26">
        <v>45433</v>
      </c>
      <c r="C567" s="25" t="s">
        <v>59</v>
      </c>
      <c r="D567" s="25" t="s">
        <v>21</v>
      </c>
      <c r="E567" s="25" t="s">
        <v>94</v>
      </c>
      <c r="F567" s="25">
        <v>14</v>
      </c>
      <c r="G567" s="25" t="s">
        <v>89</v>
      </c>
      <c r="H567" s="25">
        <v>30</v>
      </c>
      <c r="I567" s="25">
        <v>26</v>
      </c>
      <c r="J567" s="25">
        <v>420</v>
      </c>
      <c r="K567" s="25">
        <v>364</v>
      </c>
      <c r="L567" s="25">
        <v>56</v>
      </c>
      <c r="M567" s="27">
        <v>15.384615384615399</v>
      </c>
      <c r="N567" s="25" t="s">
        <v>60</v>
      </c>
      <c r="O567" s="25" t="s">
        <v>27</v>
      </c>
      <c r="P567" s="25" t="s">
        <v>32</v>
      </c>
    </row>
    <row r="568" spans="1:16" x14ac:dyDescent="0.3">
      <c r="A568" s="25">
        <v>567</v>
      </c>
      <c r="B568" s="26">
        <v>45433</v>
      </c>
      <c r="C568" s="25" t="s">
        <v>59</v>
      </c>
      <c r="D568" s="25" t="s">
        <v>21</v>
      </c>
      <c r="E568" s="25" t="s">
        <v>88</v>
      </c>
      <c r="F568" s="25">
        <v>6</v>
      </c>
      <c r="G568" s="25" t="s">
        <v>89</v>
      </c>
      <c r="H568" s="25">
        <v>130</v>
      </c>
      <c r="I568" s="25">
        <v>100</v>
      </c>
      <c r="J568" s="25">
        <v>780</v>
      </c>
      <c r="K568" s="25">
        <v>600</v>
      </c>
      <c r="L568" s="25">
        <v>180</v>
      </c>
      <c r="M568" s="27">
        <v>30</v>
      </c>
      <c r="N568" s="25" t="s">
        <v>60</v>
      </c>
      <c r="O568" s="25" t="s">
        <v>27</v>
      </c>
      <c r="P568" s="25" t="s">
        <v>32</v>
      </c>
    </row>
    <row r="569" spans="1:16" x14ac:dyDescent="0.3">
      <c r="A569" s="25">
        <v>568</v>
      </c>
      <c r="B569" s="26">
        <v>45434</v>
      </c>
      <c r="C569" s="25" t="s">
        <v>59</v>
      </c>
      <c r="D569" s="25" t="s">
        <v>21</v>
      </c>
      <c r="E569" s="25" t="s">
        <v>88</v>
      </c>
      <c r="F569" s="25">
        <v>3</v>
      </c>
      <c r="G569" s="25" t="s">
        <v>89</v>
      </c>
      <c r="H569" s="25">
        <v>130</v>
      </c>
      <c r="I569" s="25">
        <v>100</v>
      </c>
      <c r="J569" s="25">
        <v>390</v>
      </c>
      <c r="K569" s="25">
        <v>300</v>
      </c>
      <c r="L569" s="25">
        <v>90</v>
      </c>
      <c r="M569" s="27">
        <v>30</v>
      </c>
      <c r="N569" s="25" t="s">
        <v>60</v>
      </c>
      <c r="O569" s="25" t="s">
        <v>27</v>
      </c>
      <c r="P569" s="25" t="s">
        <v>32</v>
      </c>
    </row>
    <row r="570" spans="1:16" x14ac:dyDescent="0.3">
      <c r="A570" s="25">
        <v>569</v>
      </c>
      <c r="B570" s="26">
        <v>45434</v>
      </c>
      <c r="C570" s="25" t="s">
        <v>59</v>
      </c>
      <c r="D570" s="25" t="s">
        <v>21</v>
      </c>
      <c r="E570" s="25" t="s">
        <v>95</v>
      </c>
      <c r="F570" s="25">
        <v>2</v>
      </c>
      <c r="G570" s="25" t="s">
        <v>89</v>
      </c>
      <c r="H570" s="25">
        <v>150</v>
      </c>
      <c r="I570" s="25">
        <v>100</v>
      </c>
      <c r="J570" s="25">
        <v>300</v>
      </c>
      <c r="K570" s="25">
        <v>200</v>
      </c>
      <c r="L570" s="25">
        <v>100</v>
      </c>
      <c r="M570" s="27">
        <v>50</v>
      </c>
      <c r="N570" s="25" t="s">
        <v>60</v>
      </c>
      <c r="O570" s="25" t="s">
        <v>28</v>
      </c>
      <c r="P570" s="25" t="s">
        <v>32</v>
      </c>
    </row>
    <row r="571" spans="1:16" x14ac:dyDescent="0.3">
      <c r="A571" s="25">
        <v>570</v>
      </c>
      <c r="B571" s="26">
        <v>45434</v>
      </c>
      <c r="C571" s="25" t="s">
        <v>59</v>
      </c>
      <c r="D571" s="25" t="s">
        <v>21</v>
      </c>
      <c r="E571" s="25" t="s">
        <v>94</v>
      </c>
      <c r="F571" s="25">
        <v>10</v>
      </c>
      <c r="G571" s="25" t="s">
        <v>89</v>
      </c>
      <c r="H571" s="25">
        <v>30</v>
      </c>
      <c r="I571" s="25">
        <v>26</v>
      </c>
      <c r="J571" s="25">
        <v>300</v>
      </c>
      <c r="K571" s="25">
        <v>260</v>
      </c>
      <c r="L571" s="25">
        <v>40</v>
      </c>
      <c r="M571" s="27">
        <v>15.384615384615399</v>
      </c>
      <c r="N571" s="25" t="s">
        <v>60</v>
      </c>
      <c r="O571" s="25" t="s">
        <v>27</v>
      </c>
      <c r="P571" s="25" t="s">
        <v>32</v>
      </c>
    </row>
    <row r="572" spans="1:16" x14ac:dyDescent="0.3">
      <c r="A572" s="25">
        <v>571</v>
      </c>
      <c r="B572" s="26">
        <v>45434</v>
      </c>
      <c r="C572" s="25" t="s">
        <v>59</v>
      </c>
      <c r="D572" s="25" t="s">
        <v>21</v>
      </c>
      <c r="E572" s="25" t="s">
        <v>98</v>
      </c>
      <c r="F572" s="25">
        <v>2</v>
      </c>
      <c r="G572" s="25" t="s">
        <v>89</v>
      </c>
      <c r="H572" s="25">
        <v>95</v>
      </c>
      <c r="I572" s="25">
        <v>55</v>
      </c>
      <c r="J572" s="25">
        <v>190</v>
      </c>
      <c r="K572" s="25">
        <v>110</v>
      </c>
      <c r="L572" s="25">
        <v>80</v>
      </c>
      <c r="M572" s="27">
        <v>72.727272727272705</v>
      </c>
      <c r="N572" s="25" t="s">
        <v>60</v>
      </c>
      <c r="O572" s="25" t="s">
        <v>27</v>
      </c>
      <c r="P572" s="25" t="s">
        <v>32</v>
      </c>
    </row>
    <row r="573" spans="1:16" x14ac:dyDescent="0.3">
      <c r="A573" s="25">
        <v>572</v>
      </c>
      <c r="B573" s="26">
        <v>45434</v>
      </c>
      <c r="C573" s="25" t="s">
        <v>59</v>
      </c>
      <c r="D573" s="25" t="s">
        <v>21</v>
      </c>
      <c r="E573" s="25" t="s">
        <v>88</v>
      </c>
      <c r="F573" s="25">
        <v>4</v>
      </c>
      <c r="G573" s="25" t="s">
        <v>89</v>
      </c>
      <c r="H573" s="25">
        <v>130</v>
      </c>
      <c r="I573" s="25">
        <v>100</v>
      </c>
      <c r="J573" s="25">
        <v>520</v>
      </c>
      <c r="K573" s="25">
        <v>400</v>
      </c>
      <c r="L573" s="25">
        <v>120</v>
      </c>
      <c r="M573" s="27">
        <v>30</v>
      </c>
      <c r="N573" s="25" t="s">
        <v>60</v>
      </c>
      <c r="O573" s="25" t="s">
        <v>27</v>
      </c>
      <c r="P573" s="25" t="s">
        <v>32</v>
      </c>
    </row>
    <row r="574" spans="1:16" x14ac:dyDescent="0.3">
      <c r="A574" s="25">
        <v>573</v>
      </c>
      <c r="B574" s="26">
        <v>45435</v>
      </c>
      <c r="C574" s="25" t="s">
        <v>59</v>
      </c>
      <c r="D574" s="25" t="s">
        <v>21</v>
      </c>
      <c r="E574" s="25" t="s">
        <v>88</v>
      </c>
      <c r="F574" s="25">
        <v>2</v>
      </c>
      <c r="G574" s="25" t="s">
        <v>89</v>
      </c>
      <c r="H574" s="25">
        <v>130</v>
      </c>
      <c r="I574" s="25">
        <v>100</v>
      </c>
      <c r="J574" s="25">
        <v>260</v>
      </c>
      <c r="K574" s="25">
        <v>200</v>
      </c>
      <c r="L574" s="25">
        <v>60</v>
      </c>
      <c r="M574" s="27">
        <v>30</v>
      </c>
      <c r="N574" s="25" t="s">
        <v>60</v>
      </c>
      <c r="O574" s="25" t="s">
        <v>27</v>
      </c>
      <c r="P574" s="25" t="s">
        <v>32</v>
      </c>
    </row>
    <row r="575" spans="1:16" x14ac:dyDescent="0.3">
      <c r="A575" s="25">
        <v>574</v>
      </c>
      <c r="B575" s="26">
        <v>45435</v>
      </c>
      <c r="C575" s="25" t="s">
        <v>59</v>
      </c>
      <c r="D575" s="25" t="s">
        <v>21</v>
      </c>
      <c r="E575" s="25" t="s">
        <v>88</v>
      </c>
      <c r="F575" s="25">
        <v>6</v>
      </c>
      <c r="G575" s="25" t="s">
        <v>89</v>
      </c>
      <c r="H575" s="25">
        <v>130</v>
      </c>
      <c r="I575" s="25">
        <v>100</v>
      </c>
      <c r="J575" s="25">
        <v>780</v>
      </c>
      <c r="K575" s="25">
        <v>600</v>
      </c>
      <c r="L575" s="25">
        <v>180</v>
      </c>
      <c r="M575" s="27">
        <v>30</v>
      </c>
      <c r="N575" s="25" t="s">
        <v>60</v>
      </c>
      <c r="O575" s="25" t="s">
        <v>27</v>
      </c>
      <c r="P575" s="25" t="s">
        <v>32</v>
      </c>
    </row>
    <row r="576" spans="1:16" x14ac:dyDescent="0.3">
      <c r="A576" s="25">
        <v>575</v>
      </c>
      <c r="B576" s="26">
        <v>45435</v>
      </c>
      <c r="C576" s="25" t="s">
        <v>59</v>
      </c>
      <c r="D576" s="25" t="s">
        <v>21</v>
      </c>
      <c r="E576" s="25" t="s">
        <v>88</v>
      </c>
      <c r="F576" s="25">
        <v>5</v>
      </c>
      <c r="G576" s="25" t="s">
        <v>89</v>
      </c>
      <c r="H576" s="25">
        <v>130</v>
      </c>
      <c r="I576" s="25">
        <v>100</v>
      </c>
      <c r="J576" s="25">
        <v>650</v>
      </c>
      <c r="K576" s="25">
        <v>500</v>
      </c>
      <c r="L576" s="25">
        <v>150</v>
      </c>
      <c r="M576" s="27">
        <v>30</v>
      </c>
      <c r="N576" s="25" t="s">
        <v>60</v>
      </c>
      <c r="O576" s="25" t="s">
        <v>27</v>
      </c>
      <c r="P576" s="25" t="s">
        <v>32</v>
      </c>
    </row>
    <row r="577" spans="1:16" x14ac:dyDescent="0.3">
      <c r="A577" s="25">
        <v>576</v>
      </c>
      <c r="B577" s="26">
        <v>45435</v>
      </c>
      <c r="C577" s="25" t="s">
        <v>59</v>
      </c>
      <c r="D577" s="25" t="s">
        <v>21</v>
      </c>
      <c r="E577" s="25" t="s">
        <v>88</v>
      </c>
      <c r="F577" s="25">
        <v>4</v>
      </c>
      <c r="G577" s="25" t="s">
        <v>89</v>
      </c>
      <c r="H577" s="25">
        <v>130</v>
      </c>
      <c r="I577" s="25">
        <v>100</v>
      </c>
      <c r="J577" s="25">
        <v>520</v>
      </c>
      <c r="K577" s="25">
        <v>400</v>
      </c>
      <c r="L577" s="25">
        <v>120</v>
      </c>
      <c r="M577" s="27">
        <v>30</v>
      </c>
      <c r="N577" s="25" t="s">
        <v>60</v>
      </c>
      <c r="O577" s="25" t="s">
        <v>27</v>
      </c>
      <c r="P577" s="25" t="s">
        <v>32</v>
      </c>
    </row>
    <row r="578" spans="1:16" x14ac:dyDescent="0.3">
      <c r="A578" s="25">
        <v>577</v>
      </c>
      <c r="B578" s="26">
        <v>45435</v>
      </c>
      <c r="C578" s="25" t="s">
        <v>59</v>
      </c>
      <c r="D578" s="25" t="s">
        <v>21</v>
      </c>
      <c r="E578" s="25" t="s">
        <v>88</v>
      </c>
      <c r="F578" s="25">
        <v>3</v>
      </c>
      <c r="G578" s="25" t="s">
        <v>89</v>
      </c>
      <c r="H578" s="25">
        <v>130</v>
      </c>
      <c r="I578" s="25">
        <v>100</v>
      </c>
      <c r="J578" s="25">
        <v>390</v>
      </c>
      <c r="K578" s="25">
        <v>300</v>
      </c>
      <c r="L578" s="25">
        <v>90</v>
      </c>
      <c r="M578" s="27">
        <v>30</v>
      </c>
      <c r="N578" s="25" t="s">
        <v>60</v>
      </c>
      <c r="O578" s="25" t="s">
        <v>27</v>
      </c>
      <c r="P578" s="25" t="s">
        <v>32</v>
      </c>
    </row>
    <row r="579" spans="1:16" x14ac:dyDescent="0.3">
      <c r="A579" s="25">
        <v>578</v>
      </c>
      <c r="B579" s="26">
        <v>45435</v>
      </c>
      <c r="C579" s="25" t="s">
        <v>59</v>
      </c>
      <c r="D579" s="25" t="s">
        <v>21</v>
      </c>
      <c r="E579" s="25" t="s">
        <v>88</v>
      </c>
      <c r="F579" s="25">
        <v>6</v>
      </c>
      <c r="G579" s="25" t="s">
        <v>89</v>
      </c>
      <c r="H579" s="25">
        <v>130</v>
      </c>
      <c r="I579" s="25">
        <v>100</v>
      </c>
      <c r="J579" s="25">
        <v>780</v>
      </c>
      <c r="K579" s="25">
        <v>600</v>
      </c>
      <c r="L579" s="25">
        <v>180</v>
      </c>
      <c r="M579" s="27">
        <v>30</v>
      </c>
      <c r="N579" s="25" t="s">
        <v>60</v>
      </c>
      <c r="O579" s="25" t="s">
        <v>27</v>
      </c>
      <c r="P579" s="25" t="s">
        <v>32</v>
      </c>
    </row>
    <row r="580" spans="1:16" x14ac:dyDescent="0.3">
      <c r="A580" s="25">
        <v>579</v>
      </c>
      <c r="B580" s="26">
        <v>45436</v>
      </c>
      <c r="C580" s="25" t="s">
        <v>59</v>
      </c>
      <c r="D580" s="25" t="s">
        <v>21</v>
      </c>
      <c r="E580" s="25" t="s">
        <v>88</v>
      </c>
      <c r="F580" s="25">
        <v>5</v>
      </c>
      <c r="G580" s="25" t="s">
        <v>89</v>
      </c>
      <c r="H580" s="25">
        <v>130</v>
      </c>
      <c r="I580" s="25">
        <v>100</v>
      </c>
      <c r="J580" s="25">
        <v>650</v>
      </c>
      <c r="K580" s="25">
        <v>500</v>
      </c>
      <c r="L580" s="25">
        <v>150</v>
      </c>
      <c r="M580" s="27">
        <v>30</v>
      </c>
      <c r="N580" s="25" t="s">
        <v>60</v>
      </c>
      <c r="O580" s="25" t="s">
        <v>27</v>
      </c>
      <c r="P580" s="25" t="s">
        <v>32</v>
      </c>
    </row>
    <row r="581" spans="1:16" x14ac:dyDescent="0.3">
      <c r="A581" s="25">
        <v>580</v>
      </c>
      <c r="B581" s="26">
        <v>45436</v>
      </c>
      <c r="C581" s="25" t="s">
        <v>59</v>
      </c>
      <c r="D581" s="25" t="s">
        <v>21</v>
      </c>
      <c r="E581" s="25" t="s">
        <v>88</v>
      </c>
      <c r="F581" s="25">
        <v>6</v>
      </c>
      <c r="G581" s="25" t="s">
        <v>89</v>
      </c>
      <c r="H581" s="25">
        <v>130</v>
      </c>
      <c r="I581" s="25">
        <v>100</v>
      </c>
      <c r="J581" s="25">
        <v>780</v>
      </c>
      <c r="K581" s="25">
        <v>600</v>
      </c>
      <c r="L581" s="25">
        <v>180</v>
      </c>
      <c r="M581" s="27">
        <v>30</v>
      </c>
      <c r="N581" s="25" t="s">
        <v>60</v>
      </c>
      <c r="O581" s="25" t="s">
        <v>27</v>
      </c>
      <c r="P581" s="25" t="s">
        <v>32</v>
      </c>
    </row>
    <row r="582" spans="1:16" x14ac:dyDescent="0.3">
      <c r="A582" s="25">
        <v>581</v>
      </c>
      <c r="B582" s="26">
        <v>45436</v>
      </c>
      <c r="C582" s="25" t="s">
        <v>59</v>
      </c>
      <c r="D582" s="25" t="s">
        <v>21</v>
      </c>
      <c r="E582" s="25" t="s">
        <v>94</v>
      </c>
      <c r="F582" s="25">
        <v>7</v>
      </c>
      <c r="G582" s="25" t="s">
        <v>89</v>
      </c>
      <c r="H582" s="25">
        <v>30</v>
      </c>
      <c r="I582" s="25">
        <v>26</v>
      </c>
      <c r="J582" s="25">
        <v>210</v>
      </c>
      <c r="K582" s="25">
        <v>182</v>
      </c>
      <c r="L582" s="25">
        <v>28</v>
      </c>
      <c r="M582" s="27">
        <v>15.384615384615399</v>
      </c>
      <c r="N582" s="25" t="s">
        <v>60</v>
      </c>
      <c r="O582" s="25" t="s">
        <v>27</v>
      </c>
      <c r="P582" s="25" t="s">
        <v>32</v>
      </c>
    </row>
    <row r="583" spans="1:16" x14ac:dyDescent="0.3">
      <c r="A583" s="25">
        <v>582</v>
      </c>
      <c r="B583" s="26">
        <v>45436</v>
      </c>
      <c r="C583" s="25" t="s">
        <v>59</v>
      </c>
      <c r="D583" s="25" t="s">
        <v>21</v>
      </c>
      <c r="E583" s="25" t="s">
        <v>95</v>
      </c>
      <c r="F583" s="25">
        <v>3</v>
      </c>
      <c r="G583" s="25" t="s">
        <v>89</v>
      </c>
      <c r="H583" s="25">
        <v>150</v>
      </c>
      <c r="I583" s="25">
        <v>100</v>
      </c>
      <c r="J583" s="25">
        <v>450</v>
      </c>
      <c r="K583" s="25">
        <v>300</v>
      </c>
      <c r="L583" s="25">
        <v>150</v>
      </c>
      <c r="M583" s="27">
        <v>50</v>
      </c>
      <c r="N583" s="25" t="s">
        <v>60</v>
      </c>
      <c r="O583" s="25" t="s">
        <v>28</v>
      </c>
      <c r="P583" s="25" t="s">
        <v>32</v>
      </c>
    </row>
    <row r="584" spans="1:16" x14ac:dyDescent="0.3">
      <c r="A584" s="25">
        <v>583</v>
      </c>
      <c r="B584" s="26">
        <v>45441</v>
      </c>
      <c r="C584" s="25" t="s">
        <v>59</v>
      </c>
      <c r="D584" s="25" t="s">
        <v>21</v>
      </c>
      <c r="E584" s="25" t="s">
        <v>88</v>
      </c>
      <c r="F584" s="25">
        <v>3</v>
      </c>
      <c r="G584" s="25" t="s">
        <v>89</v>
      </c>
      <c r="H584" s="25">
        <v>130</v>
      </c>
      <c r="I584" s="25">
        <v>100</v>
      </c>
      <c r="J584" s="25">
        <v>390</v>
      </c>
      <c r="K584" s="25">
        <v>300</v>
      </c>
      <c r="L584" s="25">
        <v>90</v>
      </c>
      <c r="M584" s="27">
        <v>30</v>
      </c>
      <c r="N584" s="25" t="s">
        <v>60</v>
      </c>
      <c r="O584" s="25" t="s">
        <v>27</v>
      </c>
      <c r="P584" s="25" t="s">
        <v>32</v>
      </c>
    </row>
    <row r="585" spans="1:16" x14ac:dyDescent="0.3">
      <c r="A585" s="25">
        <v>584</v>
      </c>
      <c r="B585" s="26">
        <v>45441</v>
      </c>
      <c r="C585" s="25" t="s">
        <v>59</v>
      </c>
      <c r="D585" s="25" t="s">
        <v>21</v>
      </c>
      <c r="E585" s="25" t="s">
        <v>88</v>
      </c>
      <c r="F585" s="25">
        <v>3</v>
      </c>
      <c r="G585" s="25" t="s">
        <v>89</v>
      </c>
      <c r="H585" s="25">
        <v>130</v>
      </c>
      <c r="I585" s="25">
        <v>100</v>
      </c>
      <c r="J585" s="25">
        <v>390</v>
      </c>
      <c r="K585" s="25">
        <v>300</v>
      </c>
      <c r="L585" s="25">
        <v>90</v>
      </c>
      <c r="M585" s="27">
        <v>30</v>
      </c>
      <c r="N585" s="25" t="s">
        <v>60</v>
      </c>
      <c r="O585" s="25" t="s">
        <v>27</v>
      </c>
      <c r="P585" s="25" t="s">
        <v>32</v>
      </c>
    </row>
    <row r="586" spans="1:16" x14ac:dyDescent="0.3">
      <c r="A586" s="25">
        <v>585</v>
      </c>
      <c r="B586" s="26">
        <v>45441</v>
      </c>
      <c r="C586" s="25" t="s">
        <v>59</v>
      </c>
      <c r="D586" s="25" t="s">
        <v>21</v>
      </c>
      <c r="E586" s="25" t="s">
        <v>88</v>
      </c>
      <c r="F586" s="25">
        <v>5</v>
      </c>
      <c r="G586" s="25" t="s">
        <v>89</v>
      </c>
      <c r="H586" s="25">
        <v>130</v>
      </c>
      <c r="I586" s="25">
        <v>100</v>
      </c>
      <c r="J586" s="25">
        <v>650</v>
      </c>
      <c r="K586" s="25">
        <v>500</v>
      </c>
      <c r="L586" s="25">
        <v>150</v>
      </c>
      <c r="M586" s="27">
        <v>30</v>
      </c>
      <c r="N586" s="25" t="s">
        <v>60</v>
      </c>
      <c r="O586" s="25" t="s">
        <v>27</v>
      </c>
      <c r="P586" s="25" t="s">
        <v>32</v>
      </c>
    </row>
    <row r="587" spans="1:16" x14ac:dyDescent="0.3">
      <c r="A587" s="25">
        <v>586</v>
      </c>
      <c r="B587" s="26">
        <v>45441</v>
      </c>
      <c r="C587" s="25" t="s">
        <v>59</v>
      </c>
      <c r="D587" s="25" t="s">
        <v>21</v>
      </c>
      <c r="E587" s="25" t="s">
        <v>88</v>
      </c>
      <c r="F587" s="25">
        <v>7</v>
      </c>
      <c r="G587" s="25" t="s">
        <v>89</v>
      </c>
      <c r="H587" s="25">
        <v>130</v>
      </c>
      <c r="I587" s="25">
        <v>100</v>
      </c>
      <c r="J587" s="25">
        <v>910</v>
      </c>
      <c r="K587" s="25">
        <v>700</v>
      </c>
      <c r="L587" s="25">
        <v>210</v>
      </c>
      <c r="M587" s="27">
        <v>30</v>
      </c>
      <c r="N587" s="25" t="s">
        <v>60</v>
      </c>
      <c r="O587" s="25" t="s">
        <v>27</v>
      </c>
      <c r="P587" s="25" t="s">
        <v>32</v>
      </c>
    </row>
    <row r="588" spans="1:16" x14ac:dyDescent="0.3">
      <c r="A588" s="25">
        <v>587</v>
      </c>
      <c r="B588" s="26">
        <v>45442</v>
      </c>
      <c r="C588" s="25" t="s">
        <v>59</v>
      </c>
      <c r="D588" s="25" t="s">
        <v>21</v>
      </c>
      <c r="E588" s="25" t="s">
        <v>94</v>
      </c>
      <c r="F588" s="25">
        <v>9</v>
      </c>
      <c r="G588" s="25" t="s">
        <v>89</v>
      </c>
      <c r="H588" s="25">
        <v>30</v>
      </c>
      <c r="I588" s="25">
        <v>26</v>
      </c>
      <c r="J588" s="25">
        <v>270</v>
      </c>
      <c r="K588" s="25">
        <v>234</v>
      </c>
      <c r="L588" s="25">
        <v>36</v>
      </c>
      <c r="M588" s="27">
        <v>15.384615384615399</v>
      </c>
      <c r="N588" s="25" t="s">
        <v>60</v>
      </c>
      <c r="O588" s="25" t="s">
        <v>27</v>
      </c>
      <c r="P588" s="25" t="s">
        <v>32</v>
      </c>
    </row>
    <row r="589" spans="1:16" x14ac:dyDescent="0.3">
      <c r="A589" s="25">
        <v>588</v>
      </c>
      <c r="B589" s="26">
        <v>45442</v>
      </c>
      <c r="C589" s="25" t="s">
        <v>59</v>
      </c>
      <c r="D589" s="25" t="s">
        <v>21</v>
      </c>
      <c r="E589" s="25" t="s">
        <v>98</v>
      </c>
      <c r="F589" s="25">
        <v>2</v>
      </c>
      <c r="G589" s="25" t="s">
        <v>89</v>
      </c>
      <c r="H589" s="25">
        <v>95</v>
      </c>
      <c r="I589" s="25">
        <v>55</v>
      </c>
      <c r="J589" s="25">
        <v>190</v>
      </c>
      <c r="K589" s="25">
        <v>110</v>
      </c>
      <c r="L589" s="25">
        <v>80</v>
      </c>
      <c r="M589" s="27">
        <v>72.727272727272705</v>
      </c>
      <c r="N589" s="25" t="s">
        <v>60</v>
      </c>
      <c r="O589" s="25" t="s">
        <v>27</v>
      </c>
      <c r="P589" s="25" t="s">
        <v>32</v>
      </c>
    </row>
    <row r="590" spans="1:16" x14ac:dyDescent="0.3">
      <c r="A590" s="25">
        <v>589</v>
      </c>
      <c r="B590" s="26">
        <v>45442</v>
      </c>
      <c r="C590" s="25" t="s">
        <v>59</v>
      </c>
      <c r="D590" s="25" t="s">
        <v>21</v>
      </c>
      <c r="E590" s="25" t="s">
        <v>88</v>
      </c>
      <c r="F590" s="25">
        <v>3</v>
      </c>
      <c r="G590" s="25" t="s">
        <v>89</v>
      </c>
      <c r="H590" s="25">
        <v>130</v>
      </c>
      <c r="I590" s="25">
        <v>100</v>
      </c>
      <c r="J590" s="25">
        <v>390</v>
      </c>
      <c r="K590" s="25">
        <v>300</v>
      </c>
      <c r="L590" s="25">
        <v>90</v>
      </c>
      <c r="M590" s="27">
        <v>30</v>
      </c>
      <c r="N590" s="25" t="s">
        <v>60</v>
      </c>
      <c r="O590" s="25" t="s">
        <v>27</v>
      </c>
      <c r="P590" s="25" t="s">
        <v>32</v>
      </c>
    </row>
    <row r="591" spans="1:16" x14ac:dyDescent="0.3">
      <c r="A591" s="25">
        <v>590</v>
      </c>
      <c r="B591" s="26">
        <v>45442</v>
      </c>
      <c r="C591" s="25" t="s">
        <v>59</v>
      </c>
      <c r="D591" s="25" t="s">
        <v>21</v>
      </c>
      <c r="E591" s="25" t="s">
        <v>88</v>
      </c>
      <c r="F591" s="25">
        <v>5</v>
      </c>
      <c r="G591" s="25" t="s">
        <v>89</v>
      </c>
      <c r="H591" s="25">
        <v>130</v>
      </c>
      <c r="I591" s="25">
        <v>100</v>
      </c>
      <c r="J591" s="25">
        <v>650</v>
      </c>
      <c r="K591" s="25">
        <v>500</v>
      </c>
      <c r="L591" s="25">
        <v>150</v>
      </c>
      <c r="M591" s="27">
        <v>30</v>
      </c>
      <c r="N591" s="25" t="s">
        <v>60</v>
      </c>
      <c r="O591" s="25" t="s">
        <v>27</v>
      </c>
      <c r="P591" s="25" t="s">
        <v>32</v>
      </c>
    </row>
    <row r="592" spans="1:16" x14ac:dyDescent="0.3">
      <c r="A592" s="25">
        <v>591</v>
      </c>
      <c r="B592" s="26">
        <v>45442</v>
      </c>
      <c r="C592" s="25" t="s">
        <v>59</v>
      </c>
      <c r="D592" s="25" t="s">
        <v>21</v>
      </c>
      <c r="E592" s="25" t="s">
        <v>88</v>
      </c>
      <c r="F592" s="25">
        <v>3</v>
      </c>
      <c r="G592" s="25" t="s">
        <v>89</v>
      </c>
      <c r="H592" s="25">
        <v>130</v>
      </c>
      <c r="I592" s="25">
        <v>100</v>
      </c>
      <c r="J592" s="25">
        <v>390</v>
      </c>
      <c r="K592" s="25">
        <v>300</v>
      </c>
      <c r="L592" s="25">
        <v>90</v>
      </c>
      <c r="M592" s="27">
        <v>30</v>
      </c>
      <c r="N592" s="25" t="s">
        <v>60</v>
      </c>
      <c r="O592" s="25" t="s">
        <v>27</v>
      </c>
      <c r="P592" s="25" t="s">
        <v>32</v>
      </c>
    </row>
    <row r="593" spans="1:16" x14ac:dyDescent="0.3">
      <c r="A593" s="25">
        <v>592</v>
      </c>
      <c r="B593" s="26">
        <v>45443</v>
      </c>
      <c r="C593" s="25" t="s">
        <v>59</v>
      </c>
      <c r="D593" s="25" t="s">
        <v>21</v>
      </c>
      <c r="E593" s="25" t="s">
        <v>88</v>
      </c>
      <c r="F593" s="25">
        <v>2</v>
      </c>
      <c r="G593" s="25" t="s">
        <v>89</v>
      </c>
      <c r="H593" s="25">
        <v>130</v>
      </c>
      <c r="I593" s="25">
        <v>100</v>
      </c>
      <c r="J593" s="25">
        <v>260</v>
      </c>
      <c r="K593" s="25">
        <v>200</v>
      </c>
      <c r="L593" s="25">
        <v>60</v>
      </c>
      <c r="M593" s="27">
        <v>30</v>
      </c>
      <c r="N593" s="25" t="s">
        <v>60</v>
      </c>
      <c r="O593" s="25" t="s">
        <v>27</v>
      </c>
      <c r="P593" s="25" t="s">
        <v>32</v>
      </c>
    </row>
    <row r="594" spans="1:16" x14ac:dyDescent="0.3">
      <c r="A594" s="25">
        <v>593</v>
      </c>
      <c r="B594" s="26">
        <v>45443</v>
      </c>
      <c r="C594" s="25" t="s">
        <v>59</v>
      </c>
      <c r="D594" s="25" t="s">
        <v>21</v>
      </c>
      <c r="E594" s="25" t="s">
        <v>93</v>
      </c>
      <c r="F594" s="25">
        <v>6</v>
      </c>
      <c r="G594" s="25" t="s">
        <v>89</v>
      </c>
      <c r="H594" s="25">
        <v>250</v>
      </c>
      <c r="I594" s="25">
        <v>180</v>
      </c>
      <c r="J594" s="25">
        <v>1500</v>
      </c>
      <c r="K594" s="25">
        <v>1080</v>
      </c>
      <c r="L594" s="25">
        <v>420</v>
      </c>
      <c r="M594" s="27">
        <v>38.8888888888889</v>
      </c>
      <c r="N594" s="25" t="s">
        <v>60</v>
      </c>
      <c r="O594" s="25" t="s">
        <v>27</v>
      </c>
      <c r="P594" s="25" t="s">
        <v>32</v>
      </c>
    </row>
    <row r="595" spans="1:16" x14ac:dyDescent="0.3">
      <c r="A595" s="25">
        <v>594</v>
      </c>
      <c r="B595" s="26">
        <v>45443</v>
      </c>
      <c r="C595" s="25" t="s">
        <v>59</v>
      </c>
      <c r="D595" s="25" t="s">
        <v>21</v>
      </c>
      <c r="E595" s="25" t="s">
        <v>95</v>
      </c>
      <c r="F595" s="25">
        <v>2</v>
      </c>
      <c r="G595" s="25" t="s">
        <v>89</v>
      </c>
      <c r="H595" s="25">
        <v>150</v>
      </c>
      <c r="I595" s="25">
        <v>100</v>
      </c>
      <c r="J595" s="25">
        <v>300</v>
      </c>
      <c r="K595" s="25">
        <v>200</v>
      </c>
      <c r="L595" s="25">
        <v>100</v>
      </c>
      <c r="M595" s="27">
        <v>50</v>
      </c>
      <c r="N595" s="25" t="s">
        <v>60</v>
      </c>
      <c r="O595" s="25" t="s">
        <v>28</v>
      </c>
      <c r="P595" s="25" t="s">
        <v>32</v>
      </c>
    </row>
    <row r="596" spans="1:16" x14ac:dyDescent="0.3">
      <c r="A596" s="25">
        <v>595</v>
      </c>
      <c r="B596" s="26">
        <v>45443</v>
      </c>
      <c r="C596" s="25" t="s">
        <v>59</v>
      </c>
      <c r="D596" s="25" t="s">
        <v>21</v>
      </c>
      <c r="E596" s="25" t="s">
        <v>88</v>
      </c>
      <c r="F596" s="25">
        <v>2</v>
      </c>
      <c r="G596" s="25" t="s">
        <v>89</v>
      </c>
      <c r="H596" s="25">
        <v>130</v>
      </c>
      <c r="I596" s="25">
        <v>100</v>
      </c>
      <c r="J596" s="25">
        <v>260</v>
      </c>
      <c r="K596" s="25">
        <v>200</v>
      </c>
      <c r="L596" s="25">
        <v>60</v>
      </c>
      <c r="M596" s="27">
        <v>30</v>
      </c>
      <c r="N596" s="25" t="s">
        <v>60</v>
      </c>
      <c r="O596" s="25" t="s">
        <v>27</v>
      </c>
      <c r="P596" s="25" t="s">
        <v>32</v>
      </c>
    </row>
    <row r="597" spans="1:16" x14ac:dyDescent="0.3">
      <c r="A597" s="25">
        <v>596</v>
      </c>
      <c r="B597" s="26">
        <v>45443</v>
      </c>
      <c r="C597" s="25" t="s">
        <v>59</v>
      </c>
      <c r="D597" s="25" t="s">
        <v>21</v>
      </c>
      <c r="E597" s="25" t="s">
        <v>94</v>
      </c>
      <c r="F597" s="25">
        <v>15</v>
      </c>
      <c r="G597" s="25" t="s">
        <v>89</v>
      </c>
      <c r="H597" s="25">
        <v>30</v>
      </c>
      <c r="I597" s="25">
        <v>26</v>
      </c>
      <c r="J597" s="25">
        <v>450</v>
      </c>
      <c r="K597" s="25">
        <v>390</v>
      </c>
      <c r="L597" s="25">
        <v>60</v>
      </c>
      <c r="M597" s="27">
        <v>15.384615384615399</v>
      </c>
      <c r="N597" s="25" t="s">
        <v>60</v>
      </c>
      <c r="O597" s="25" t="s">
        <v>27</v>
      </c>
      <c r="P597" s="25" t="s">
        <v>32</v>
      </c>
    </row>
    <row r="598" spans="1:16" x14ac:dyDescent="0.3">
      <c r="A598" s="25">
        <v>597</v>
      </c>
      <c r="B598" s="26">
        <v>45444</v>
      </c>
      <c r="C598" s="25" t="s">
        <v>61</v>
      </c>
      <c r="D598" s="25" t="s">
        <v>21</v>
      </c>
      <c r="E598" s="25" t="s">
        <v>98</v>
      </c>
      <c r="F598" s="25">
        <v>2</v>
      </c>
      <c r="G598" s="25" t="s">
        <v>89</v>
      </c>
      <c r="H598" s="25">
        <v>95</v>
      </c>
      <c r="I598" s="25">
        <v>55</v>
      </c>
      <c r="J598" s="25">
        <v>190</v>
      </c>
      <c r="K598" s="25">
        <v>110</v>
      </c>
      <c r="L598" s="25">
        <v>80</v>
      </c>
      <c r="M598" s="27">
        <v>72.727272727272705</v>
      </c>
      <c r="N598" s="25" t="s">
        <v>60</v>
      </c>
      <c r="O598" s="25" t="s">
        <v>27</v>
      </c>
      <c r="P598" s="25" t="s">
        <v>32</v>
      </c>
    </row>
    <row r="599" spans="1:16" x14ac:dyDescent="0.3">
      <c r="A599" s="25">
        <v>598</v>
      </c>
      <c r="B599" s="26">
        <v>45444</v>
      </c>
      <c r="C599" s="25" t="s">
        <v>61</v>
      </c>
      <c r="D599" s="25" t="s">
        <v>21</v>
      </c>
      <c r="E599" s="25" t="s">
        <v>88</v>
      </c>
      <c r="F599" s="25">
        <v>4</v>
      </c>
      <c r="G599" s="25" t="s">
        <v>89</v>
      </c>
      <c r="H599" s="25">
        <v>130</v>
      </c>
      <c r="I599" s="25">
        <v>100</v>
      </c>
      <c r="J599" s="25">
        <v>520</v>
      </c>
      <c r="K599" s="25">
        <v>400</v>
      </c>
      <c r="L599" s="25">
        <v>120</v>
      </c>
      <c r="M599" s="27">
        <v>30</v>
      </c>
      <c r="N599" s="25" t="s">
        <v>60</v>
      </c>
      <c r="O599" s="25" t="s">
        <v>27</v>
      </c>
      <c r="P599" s="25" t="s">
        <v>32</v>
      </c>
    </row>
    <row r="600" spans="1:16" x14ac:dyDescent="0.3">
      <c r="A600" s="25">
        <v>599</v>
      </c>
      <c r="B600" s="26">
        <v>45444</v>
      </c>
      <c r="C600" s="25" t="s">
        <v>61</v>
      </c>
      <c r="D600" s="25" t="s">
        <v>21</v>
      </c>
      <c r="E600" s="25" t="s">
        <v>88</v>
      </c>
      <c r="F600" s="25">
        <v>7</v>
      </c>
      <c r="G600" s="25" t="s">
        <v>89</v>
      </c>
      <c r="H600" s="25">
        <v>130</v>
      </c>
      <c r="I600" s="25">
        <v>100</v>
      </c>
      <c r="J600" s="25">
        <v>910</v>
      </c>
      <c r="K600" s="25">
        <v>700</v>
      </c>
      <c r="L600" s="25">
        <v>210</v>
      </c>
      <c r="M600" s="27">
        <v>30</v>
      </c>
      <c r="N600" s="25" t="s">
        <v>60</v>
      </c>
      <c r="O600" s="25" t="s">
        <v>27</v>
      </c>
      <c r="P600" s="25" t="s">
        <v>32</v>
      </c>
    </row>
    <row r="601" spans="1:16" x14ac:dyDescent="0.3">
      <c r="A601" s="25">
        <v>600</v>
      </c>
      <c r="B601" s="26">
        <v>45444</v>
      </c>
      <c r="C601" s="25" t="s">
        <v>61</v>
      </c>
      <c r="D601" s="25" t="s">
        <v>21</v>
      </c>
      <c r="E601" s="25" t="s">
        <v>88</v>
      </c>
      <c r="F601" s="25">
        <v>4</v>
      </c>
      <c r="G601" s="25" t="s">
        <v>89</v>
      </c>
      <c r="H601" s="25">
        <v>130</v>
      </c>
      <c r="I601" s="25">
        <v>100</v>
      </c>
      <c r="J601" s="25">
        <v>520</v>
      </c>
      <c r="K601" s="25">
        <v>400</v>
      </c>
      <c r="L601" s="25">
        <v>120</v>
      </c>
      <c r="M601" s="27">
        <v>30</v>
      </c>
      <c r="N601" s="25" t="s">
        <v>60</v>
      </c>
      <c r="O601" s="25" t="s">
        <v>27</v>
      </c>
      <c r="P601" s="25" t="s">
        <v>32</v>
      </c>
    </row>
    <row r="602" spans="1:16" x14ac:dyDescent="0.3">
      <c r="A602" s="25">
        <v>601</v>
      </c>
      <c r="B602" s="26">
        <v>45445</v>
      </c>
      <c r="C602" s="25" t="s">
        <v>61</v>
      </c>
      <c r="D602" s="25" t="s">
        <v>21</v>
      </c>
      <c r="E602" s="25" t="s">
        <v>88</v>
      </c>
      <c r="F602" s="25">
        <v>3</v>
      </c>
      <c r="G602" s="25" t="s">
        <v>89</v>
      </c>
      <c r="H602" s="25">
        <v>130</v>
      </c>
      <c r="I602" s="25">
        <v>100</v>
      </c>
      <c r="J602" s="25">
        <v>390</v>
      </c>
      <c r="K602" s="25">
        <v>300</v>
      </c>
      <c r="L602" s="25">
        <v>90</v>
      </c>
      <c r="M602" s="27">
        <v>30</v>
      </c>
      <c r="N602" s="25" t="s">
        <v>60</v>
      </c>
      <c r="O602" s="25" t="s">
        <v>27</v>
      </c>
      <c r="P602" s="25" t="s">
        <v>32</v>
      </c>
    </row>
    <row r="603" spans="1:16" x14ac:dyDescent="0.3">
      <c r="A603" s="25">
        <v>602</v>
      </c>
      <c r="B603" s="26">
        <v>45445</v>
      </c>
      <c r="C603" s="25" t="s">
        <v>61</v>
      </c>
      <c r="D603" s="25" t="s">
        <v>21</v>
      </c>
      <c r="E603" s="25" t="s">
        <v>95</v>
      </c>
      <c r="F603" s="25">
        <v>3</v>
      </c>
      <c r="G603" s="25" t="s">
        <v>89</v>
      </c>
      <c r="H603" s="25">
        <v>150</v>
      </c>
      <c r="I603" s="25">
        <v>100</v>
      </c>
      <c r="J603" s="25">
        <v>450</v>
      </c>
      <c r="K603" s="25">
        <v>300</v>
      </c>
      <c r="L603" s="25">
        <v>150</v>
      </c>
      <c r="M603" s="27">
        <v>50</v>
      </c>
      <c r="N603" s="25" t="s">
        <v>60</v>
      </c>
      <c r="O603" s="25" t="s">
        <v>28</v>
      </c>
      <c r="P603" s="25" t="s">
        <v>32</v>
      </c>
    </row>
    <row r="604" spans="1:16" x14ac:dyDescent="0.3">
      <c r="A604" s="25">
        <v>603</v>
      </c>
      <c r="B604" s="26">
        <v>45445</v>
      </c>
      <c r="C604" s="25" t="s">
        <v>61</v>
      </c>
      <c r="D604" s="25" t="s">
        <v>21</v>
      </c>
      <c r="E604" s="25" t="s">
        <v>88</v>
      </c>
      <c r="F604" s="25">
        <v>5</v>
      </c>
      <c r="G604" s="25" t="s">
        <v>89</v>
      </c>
      <c r="H604" s="25">
        <v>130</v>
      </c>
      <c r="I604" s="25">
        <v>100</v>
      </c>
      <c r="J604" s="25">
        <v>650</v>
      </c>
      <c r="K604" s="25">
        <v>500</v>
      </c>
      <c r="L604" s="25">
        <v>150</v>
      </c>
      <c r="M604" s="27">
        <v>30</v>
      </c>
      <c r="N604" s="25" t="s">
        <v>60</v>
      </c>
      <c r="O604" s="25" t="s">
        <v>27</v>
      </c>
      <c r="P604" s="25" t="s">
        <v>32</v>
      </c>
    </row>
    <row r="605" spans="1:16" x14ac:dyDescent="0.3">
      <c r="A605" s="25">
        <v>604</v>
      </c>
      <c r="B605" s="26">
        <v>45446</v>
      </c>
      <c r="C605" s="25" t="s">
        <v>61</v>
      </c>
      <c r="D605" s="25" t="s">
        <v>21</v>
      </c>
      <c r="E605" s="25" t="s">
        <v>88</v>
      </c>
      <c r="F605" s="25">
        <v>3</v>
      </c>
      <c r="G605" s="25" t="s">
        <v>89</v>
      </c>
      <c r="H605" s="25">
        <v>130</v>
      </c>
      <c r="I605" s="25">
        <v>100</v>
      </c>
      <c r="J605" s="25">
        <v>390</v>
      </c>
      <c r="K605" s="25">
        <v>300</v>
      </c>
      <c r="L605" s="25">
        <v>90</v>
      </c>
      <c r="M605" s="27">
        <v>30</v>
      </c>
      <c r="N605" s="25" t="s">
        <v>60</v>
      </c>
      <c r="O605" s="25" t="s">
        <v>27</v>
      </c>
      <c r="P605" s="25" t="s">
        <v>32</v>
      </c>
    </row>
    <row r="606" spans="1:16" x14ac:dyDescent="0.3">
      <c r="A606" s="25">
        <v>605</v>
      </c>
      <c r="B606" s="26">
        <v>45446</v>
      </c>
      <c r="C606" s="25" t="s">
        <v>61</v>
      </c>
      <c r="D606" s="25" t="s">
        <v>21</v>
      </c>
      <c r="E606" s="25" t="s">
        <v>88</v>
      </c>
      <c r="F606" s="25">
        <v>2</v>
      </c>
      <c r="G606" s="25" t="s">
        <v>89</v>
      </c>
      <c r="H606" s="25">
        <v>130</v>
      </c>
      <c r="I606" s="25">
        <v>100</v>
      </c>
      <c r="J606" s="25">
        <v>260</v>
      </c>
      <c r="K606" s="25">
        <v>200</v>
      </c>
      <c r="L606" s="25">
        <v>60</v>
      </c>
      <c r="M606" s="27">
        <v>30</v>
      </c>
      <c r="N606" s="25" t="s">
        <v>60</v>
      </c>
      <c r="O606" s="25" t="s">
        <v>27</v>
      </c>
      <c r="P606" s="25" t="s">
        <v>32</v>
      </c>
    </row>
    <row r="607" spans="1:16" x14ac:dyDescent="0.3">
      <c r="A607" s="25">
        <v>606</v>
      </c>
      <c r="B607" s="26">
        <v>45446</v>
      </c>
      <c r="C607" s="25" t="s">
        <v>61</v>
      </c>
      <c r="D607" s="25" t="s">
        <v>21</v>
      </c>
      <c r="E607" s="25" t="s">
        <v>88</v>
      </c>
      <c r="F607" s="25">
        <v>6</v>
      </c>
      <c r="G607" s="25" t="s">
        <v>89</v>
      </c>
      <c r="H607" s="25">
        <v>130</v>
      </c>
      <c r="I607" s="25">
        <v>100</v>
      </c>
      <c r="J607" s="25">
        <v>780</v>
      </c>
      <c r="K607" s="25">
        <v>600</v>
      </c>
      <c r="L607" s="25">
        <v>180</v>
      </c>
      <c r="M607" s="27">
        <v>30</v>
      </c>
      <c r="N607" s="25" t="s">
        <v>60</v>
      </c>
      <c r="O607" s="25" t="s">
        <v>27</v>
      </c>
      <c r="P607" s="25" t="s">
        <v>32</v>
      </c>
    </row>
    <row r="608" spans="1:16" x14ac:dyDescent="0.3">
      <c r="A608" s="25">
        <v>607</v>
      </c>
      <c r="B608" s="26">
        <v>45446</v>
      </c>
      <c r="C608" s="25" t="s">
        <v>61</v>
      </c>
      <c r="D608" s="25" t="s">
        <v>21</v>
      </c>
      <c r="E608" s="25" t="s">
        <v>88</v>
      </c>
      <c r="F608" s="25">
        <v>2</v>
      </c>
      <c r="G608" s="25" t="s">
        <v>89</v>
      </c>
      <c r="H608" s="25">
        <v>130</v>
      </c>
      <c r="I608" s="25">
        <v>100</v>
      </c>
      <c r="J608" s="25">
        <v>260</v>
      </c>
      <c r="K608" s="25">
        <v>200</v>
      </c>
      <c r="L608" s="25">
        <v>60</v>
      </c>
      <c r="M608" s="27">
        <v>30</v>
      </c>
      <c r="N608" s="25" t="s">
        <v>60</v>
      </c>
      <c r="O608" s="25" t="s">
        <v>27</v>
      </c>
      <c r="P608" s="25" t="s">
        <v>32</v>
      </c>
    </row>
    <row r="609" spans="1:16" x14ac:dyDescent="0.3">
      <c r="A609" s="25">
        <v>608</v>
      </c>
      <c r="B609" s="26">
        <v>45446</v>
      </c>
      <c r="C609" s="25" t="s">
        <v>61</v>
      </c>
      <c r="D609" s="25" t="s">
        <v>21</v>
      </c>
      <c r="E609" s="25" t="s">
        <v>88</v>
      </c>
      <c r="F609" s="25">
        <v>9</v>
      </c>
      <c r="G609" s="25" t="s">
        <v>89</v>
      </c>
      <c r="H609" s="25">
        <v>130</v>
      </c>
      <c r="I609" s="25">
        <v>100</v>
      </c>
      <c r="J609" s="25">
        <v>1170</v>
      </c>
      <c r="K609" s="25">
        <v>900</v>
      </c>
      <c r="L609" s="25">
        <v>270</v>
      </c>
      <c r="M609" s="27">
        <v>30</v>
      </c>
      <c r="N609" s="25" t="s">
        <v>60</v>
      </c>
      <c r="O609" s="25" t="s">
        <v>27</v>
      </c>
      <c r="P609" s="25" t="s">
        <v>32</v>
      </c>
    </row>
    <row r="610" spans="1:16" x14ac:dyDescent="0.3">
      <c r="A610" s="25">
        <v>609</v>
      </c>
      <c r="B610" s="26">
        <v>45447</v>
      </c>
      <c r="C610" s="25" t="s">
        <v>61</v>
      </c>
      <c r="D610" s="25" t="s">
        <v>21</v>
      </c>
      <c r="E610" s="25" t="s">
        <v>88</v>
      </c>
      <c r="F610" s="25">
        <v>4</v>
      </c>
      <c r="G610" s="25" t="s">
        <v>89</v>
      </c>
      <c r="H610" s="25">
        <v>130</v>
      </c>
      <c r="I610" s="25">
        <v>100</v>
      </c>
      <c r="J610" s="25">
        <v>520</v>
      </c>
      <c r="K610" s="25">
        <v>400</v>
      </c>
      <c r="L610" s="25">
        <v>120</v>
      </c>
      <c r="M610" s="27">
        <v>30</v>
      </c>
      <c r="N610" s="25" t="s">
        <v>60</v>
      </c>
      <c r="O610" s="25" t="s">
        <v>27</v>
      </c>
      <c r="P610" s="25" t="s">
        <v>32</v>
      </c>
    </row>
    <row r="611" spans="1:16" x14ac:dyDescent="0.3">
      <c r="A611" s="25">
        <v>610</v>
      </c>
      <c r="B611" s="26">
        <v>45447</v>
      </c>
      <c r="C611" s="25" t="s">
        <v>61</v>
      </c>
      <c r="D611" s="25" t="s">
        <v>21</v>
      </c>
      <c r="E611" s="25" t="s">
        <v>88</v>
      </c>
      <c r="F611" s="25">
        <v>2</v>
      </c>
      <c r="G611" s="25" t="s">
        <v>89</v>
      </c>
      <c r="H611" s="25">
        <v>130</v>
      </c>
      <c r="I611" s="25">
        <v>100</v>
      </c>
      <c r="J611" s="25">
        <v>260</v>
      </c>
      <c r="K611" s="25">
        <v>200</v>
      </c>
      <c r="L611" s="25">
        <v>60</v>
      </c>
      <c r="M611" s="27">
        <v>30</v>
      </c>
      <c r="N611" s="25" t="s">
        <v>60</v>
      </c>
      <c r="O611" s="25" t="s">
        <v>27</v>
      </c>
      <c r="P611" s="25" t="s">
        <v>32</v>
      </c>
    </row>
    <row r="612" spans="1:16" x14ac:dyDescent="0.3">
      <c r="A612" s="25">
        <v>611</v>
      </c>
      <c r="B612" s="26">
        <v>45447</v>
      </c>
      <c r="C612" s="25" t="s">
        <v>61</v>
      </c>
      <c r="D612" s="25" t="s">
        <v>21</v>
      </c>
      <c r="E612" s="25" t="s">
        <v>94</v>
      </c>
      <c r="F612" s="25">
        <v>5</v>
      </c>
      <c r="G612" s="25" t="s">
        <v>89</v>
      </c>
      <c r="H612" s="25">
        <v>30</v>
      </c>
      <c r="I612" s="25">
        <v>26</v>
      </c>
      <c r="J612" s="25">
        <v>150</v>
      </c>
      <c r="K612" s="25">
        <v>130</v>
      </c>
      <c r="L612" s="25">
        <v>20</v>
      </c>
      <c r="M612" s="27">
        <v>15.384615384615399</v>
      </c>
      <c r="N612" s="25" t="s">
        <v>60</v>
      </c>
      <c r="O612" s="25" t="s">
        <v>27</v>
      </c>
      <c r="P612" s="25" t="s">
        <v>32</v>
      </c>
    </row>
    <row r="613" spans="1:16" x14ac:dyDescent="0.3">
      <c r="A613" s="25">
        <v>612</v>
      </c>
      <c r="B613" s="26">
        <v>45448</v>
      </c>
      <c r="C613" s="25" t="s">
        <v>61</v>
      </c>
      <c r="D613" s="25" t="s">
        <v>21</v>
      </c>
      <c r="E613" s="25" t="s">
        <v>98</v>
      </c>
      <c r="F613" s="25">
        <v>2</v>
      </c>
      <c r="G613" s="25" t="s">
        <v>89</v>
      </c>
      <c r="H613" s="25">
        <v>95</v>
      </c>
      <c r="I613" s="25">
        <v>55</v>
      </c>
      <c r="J613" s="25">
        <v>190</v>
      </c>
      <c r="K613" s="25">
        <v>110</v>
      </c>
      <c r="L613" s="25">
        <v>80</v>
      </c>
      <c r="M613" s="27">
        <v>72.727272727272705</v>
      </c>
      <c r="N613" s="25" t="s">
        <v>60</v>
      </c>
      <c r="O613" s="25" t="s">
        <v>27</v>
      </c>
      <c r="P613" s="25" t="s">
        <v>32</v>
      </c>
    </row>
    <row r="614" spans="1:16" x14ac:dyDescent="0.3">
      <c r="A614" s="25">
        <v>613</v>
      </c>
      <c r="B614" s="26">
        <v>45448</v>
      </c>
      <c r="C614" s="25" t="s">
        <v>61</v>
      </c>
      <c r="D614" s="25" t="s">
        <v>21</v>
      </c>
      <c r="E614" s="25" t="s">
        <v>88</v>
      </c>
      <c r="F614" s="25">
        <v>3</v>
      </c>
      <c r="G614" s="25" t="s">
        <v>89</v>
      </c>
      <c r="H614" s="25">
        <v>130</v>
      </c>
      <c r="I614" s="25">
        <v>100</v>
      </c>
      <c r="J614" s="25">
        <v>390</v>
      </c>
      <c r="K614" s="25">
        <v>300</v>
      </c>
      <c r="L614" s="25">
        <v>90</v>
      </c>
      <c r="M614" s="27">
        <v>30</v>
      </c>
      <c r="N614" s="25" t="s">
        <v>60</v>
      </c>
      <c r="O614" s="25" t="s">
        <v>27</v>
      </c>
      <c r="P614" s="25" t="s">
        <v>32</v>
      </c>
    </row>
    <row r="615" spans="1:16" x14ac:dyDescent="0.3">
      <c r="A615" s="25">
        <v>614</v>
      </c>
      <c r="B615" s="26">
        <v>45448</v>
      </c>
      <c r="C615" s="25" t="s">
        <v>61</v>
      </c>
      <c r="D615" s="25" t="s">
        <v>21</v>
      </c>
      <c r="E615" s="25" t="s">
        <v>88</v>
      </c>
      <c r="F615" s="25">
        <v>5</v>
      </c>
      <c r="G615" s="25" t="s">
        <v>89</v>
      </c>
      <c r="H615" s="25">
        <v>130</v>
      </c>
      <c r="I615" s="25">
        <v>100</v>
      </c>
      <c r="J615" s="25">
        <v>650</v>
      </c>
      <c r="K615" s="25">
        <v>500</v>
      </c>
      <c r="L615" s="25">
        <v>150</v>
      </c>
      <c r="M615" s="27">
        <v>30</v>
      </c>
      <c r="N615" s="25" t="s">
        <v>60</v>
      </c>
      <c r="O615" s="25" t="s">
        <v>27</v>
      </c>
      <c r="P615" s="25" t="s">
        <v>32</v>
      </c>
    </row>
    <row r="616" spans="1:16" x14ac:dyDescent="0.3">
      <c r="A616" s="25">
        <v>615</v>
      </c>
      <c r="B616" s="26">
        <v>45449</v>
      </c>
      <c r="C616" s="25" t="s">
        <v>61</v>
      </c>
      <c r="D616" s="25" t="s">
        <v>21</v>
      </c>
      <c r="E616" s="25" t="s">
        <v>88</v>
      </c>
      <c r="F616" s="25">
        <v>2</v>
      </c>
      <c r="G616" s="25" t="s">
        <v>89</v>
      </c>
      <c r="H616" s="25">
        <v>130</v>
      </c>
      <c r="I616" s="25">
        <v>100</v>
      </c>
      <c r="J616" s="25">
        <v>260</v>
      </c>
      <c r="K616" s="25">
        <v>200</v>
      </c>
      <c r="L616" s="25">
        <v>60</v>
      </c>
      <c r="M616" s="27">
        <v>30</v>
      </c>
      <c r="N616" s="25" t="s">
        <v>60</v>
      </c>
      <c r="O616" s="25" t="s">
        <v>27</v>
      </c>
      <c r="P616" s="25" t="s">
        <v>32</v>
      </c>
    </row>
    <row r="617" spans="1:16" x14ac:dyDescent="0.3">
      <c r="A617" s="25">
        <v>616</v>
      </c>
      <c r="B617" s="26">
        <v>45449</v>
      </c>
      <c r="C617" s="25" t="s">
        <v>61</v>
      </c>
      <c r="D617" s="25" t="s">
        <v>21</v>
      </c>
      <c r="E617" s="25" t="s">
        <v>88</v>
      </c>
      <c r="F617" s="25">
        <v>2</v>
      </c>
      <c r="G617" s="25" t="s">
        <v>89</v>
      </c>
      <c r="H617" s="25">
        <v>130</v>
      </c>
      <c r="I617" s="25">
        <v>100</v>
      </c>
      <c r="J617" s="25">
        <v>260</v>
      </c>
      <c r="K617" s="25">
        <v>200</v>
      </c>
      <c r="L617" s="25">
        <v>60</v>
      </c>
      <c r="M617" s="27">
        <v>30</v>
      </c>
      <c r="N617" s="25" t="s">
        <v>60</v>
      </c>
      <c r="O617" s="25" t="s">
        <v>27</v>
      </c>
      <c r="P617" s="25" t="s">
        <v>32</v>
      </c>
    </row>
    <row r="618" spans="1:16" x14ac:dyDescent="0.3">
      <c r="A618" s="25">
        <v>617</v>
      </c>
      <c r="B618" s="26">
        <v>45449</v>
      </c>
      <c r="C618" s="25" t="s">
        <v>61</v>
      </c>
      <c r="D618" s="25" t="s">
        <v>21</v>
      </c>
      <c r="E618" s="25" t="s">
        <v>93</v>
      </c>
      <c r="F618" s="25">
        <v>2</v>
      </c>
      <c r="G618" s="25" t="s">
        <v>89</v>
      </c>
      <c r="H618" s="25">
        <v>250</v>
      </c>
      <c r="I618" s="25">
        <v>180</v>
      </c>
      <c r="J618" s="25">
        <v>500</v>
      </c>
      <c r="K618" s="25">
        <v>360</v>
      </c>
      <c r="L618" s="25">
        <v>140</v>
      </c>
      <c r="M618" s="27">
        <v>38.8888888888889</v>
      </c>
      <c r="N618" s="25" t="s">
        <v>60</v>
      </c>
      <c r="O618" s="25" t="s">
        <v>27</v>
      </c>
      <c r="P618" s="25" t="s">
        <v>32</v>
      </c>
    </row>
    <row r="619" spans="1:16" x14ac:dyDescent="0.3">
      <c r="A619" s="25">
        <v>618</v>
      </c>
      <c r="B619" s="26">
        <v>45449</v>
      </c>
      <c r="C619" s="25" t="s">
        <v>61</v>
      </c>
      <c r="D619" s="25" t="s">
        <v>21</v>
      </c>
      <c r="E619" s="25" t="s">
        <v>95</v>
      </c>
      <c r="F619" s="25">
        <v>2</v>
      </c>
      <c r="G619" s="25" t="s">
        <v>89</v>
      </c>
      <c r="H619" s="25">
        <v>150</v>
      </c>
      <c r="I619" s="25">
        <v>100</v>
      </c>
      <c r="J619" s="25">
        <v>300</v>
      </c>
      <c r="K619" s="25">
        <v>200</v>
      </c>
      <c r="L619" s="25">
        <v>100</v>
      </c>
      <c r="M619" s="27">
        <v>50</v>
      </c>
      <c r="N619" s="25" t="s">
        <v>60</v>
      </c>
      <c r="O619" s="25" t="s">
        <v>28</v>
      </c>
      <c r="P619" s="25" t="s">
        <v>32</v>
      </c>
    </row>
    <row r="620" spans="1:16" x14ac:dyDescent="0.3">
      <c r="A620" s="25">
        <v>619</v>
      </c>
      <c r="B620" s="26">
        <v>45450</v>
      </c>
      <c r="C620" s="25" t="s">
        <v>61</v>
      </c>
      <c r="D620" s="25" t="s">
        <v>21</v>
      </c>
      <c r="E620" s="25" t="s">
        <v>88</v>
      </c>
      <c r="F620" s="25">
        <v>4</v>
      </c>
      <c r="G620" s="25" t="s">
        <v>89</v>
      </c>
      <c r="H620" s="25">
        <v>130</v>
      </c>
      <c r="I620" s="25">
        <v>100</v>
      </c>
      <c r="J620" s="25">
        <v>520</v>
      </c>
      <c r="K620" s="25">
        <v>400</v>
      </c>
      <c r="L620" s="25">
        <v>120</v>
      </c>
      <c r="M620" s="27">
        <v>30</v>
      </c>
      <c r="N620" s="25" t="s">
        <v>60</v>
      </c>
      <c r="O620" s="25" t="s">
        <v>27</v>
      </c>
      <c r="P620" s="25" t="s">
        <v>32</v>
      </c>
    </row>
    <row r="621" spans="1:16" x14ac:dyDescent="0.3">
      <c r="A621" s="25">
        <v>620</v>
      </c>
      <c r="B621" s="26">
        <v>45450</v>
      </c>
      <c r="C621" s="25" t="s">
        <v>61</v>
      </c>
      <c r="D621" s="25" t="s">
        <v>21</v>
      </c>
      <c r="E621" s="25" t="s">
        <v>88</v>
      </c>
      <c r="F621" s="25">
        <v>3</v>
      </c>
      <c r="G621" s="25" t="s">
        <v>89</v>
      </c>
      <c r="H621" s="25">
        <v>130</v>
      </c>
      <c r="I621" s="25">
        <v>100</v>
      </c>
      <c r="J621" s="25">
        <v>390</v>
      </c>
      <c r="K621" s="25">
        <v>300</v>
      </c>
      <c r="L621" s="25">
        <v>90</v>
      </c>
      <c r="M621" s="27">
        <v>30</v>
      </c>
      <c r="N621" s="25" t="s">
        <v>60</v>
      </c>
      <c r="O621" s="25" t="s">
        <v>27</v>
      </c>
      <c r="P621" s="25" t="s">
        <v>32</v>
      </c>
    </row>
    <row r="622" spans="1:16" x14ac:dyDescent="0.3">
      <c r="A622" s="25">
        <v>621</v>
      </c>
      <c r="B622" s="26">
        <v>45450</v>
      </c>
      <c r="C622" s="25" t="s">
        <v>61</v>
      </c>
      <c r="D622" s="25" t="s">
        <v>21</v>
      </c>
      <c r="E622" s="25" t="s">
        <v>88</v>
      </c>
      <c r="F622" s="25">
        <v>6</v>
      </c>
      <c r="G622" s="25" t="s">
        <v>89</v>
      </c>
      <c r="H622" s="25">
        <v>130</v>
      </c>
      <c r="I622" s="25">
        <v>100</v>
      </c>
      <c r="J622" s="25">
        <v>780</v>
      </c>
      <c r="K622" s="25">
        <v>600</v>
      </c>
      <c r="L622" s="25">
        <v>180</v>
      </c>
      <c r="M622" s="27">
        <v>30</v>
      </c>
      <c r="N622" s="25" t="s">
        <v>60</v>
      </c>
      <c r="O622" s="25" t="s">
        <v>27</v>
      </c>
      <c r="P622" s="25" t="s">
        <v>32</v>
      </c>
    </row>
    <row r="623" spans="1:16" x14ac:dyDescent="0.3">
      <c r="A623" s="25">
        <v>622</v>
      </c>
      <c r="B623" s="26">
        <v>45450</v>
      </c>
      <c r="C623" s="25" t="s">
        <v>61</v>
      </c>
      <c r="D623" s="25" t="s">
        <v>21</v>
      </c>
      <c r="E623" s="25" t="s">
        <v>88</v>
      </c>
      <c r="F623" s="25">
        <v>4</v>
      </c>
      <c r="G623" s="25" t="s">
        <v>89</v>
      </c>
      <c r="H623" s="25">
        <v>130</v>
      </c>
      <c r="I623" s="25">
        <v>100</v>
      </c>
      <c r="J623" s="25">
        <v>520</v>
      </c>
      <c r="K623" s="25">
        <v>400</v>
      </c>
      <c r="L623" s="25">
        <v>120</v>
      </c>
      <c r="M623" s="27">
        <v>30</v>
      </c>
      <c r="N623" s="25" t="s">
        <v>60</v>
      </c>
      <c r="O623" s="25" t="s">
        <v>27</v>
      </c>
      <c r="P623" s="25" t="s">
        <v>32</v>
      </c>
    </row>
    <row r="624" spans="1:16" x14ac:dyDescent="0.3">
      <c r="A624" s="25">
        <v>623</v>
      </c>
      <c r="B624" s="26">
        <v>45451</v>
      </c>
      <c r="C624" s="25" t="s">
        <v>61</v>
      </c>
      <c r="D624" s="25" t="s">
        <v>21</v>
      </c>
      <c r="E624" s="25" t="s">
        <v>95</v>
      </c>
      <c r="F624" s="25">
        <v>4</v>
      </c>
      <c r="G624" s="25" t="s">
        <v>89</v>
      </c>
      <c r="H624" s="25">
        <v>150</v>
      </c>
      <c r="I624" s="25">
        <v>100</v>
      </c>
      <c r="J624" s="25">
        <v>600</v>
      </c>
      <c r="K624" s="25">
        <v>400</v>
      </c>
      <c r="L624" s="25">
        <v>200</v>
      </c>
      <c r="M624" s="27">
        <v>50</v>
      </c>
      <c r="N624" s="25" t="s">
        <v>60</v>
      </c>
      <c r="O624" s="25" t="s">
        <v>28</v>
      </c>
      <c r="P624" s="25" t="s">
        <v>32</v>
      </c>
    </row>
    <row r="625" spans="1:16" x14ac:dyDescent="0.3">
      <c r="A625" s="25">
        <v>624</v>
      </c>
      <c r="B625" s="26">
        <v>45451</v>
      </c>
      <c r="C625" s="25" t="s">
        <v>61</v>
      </c>
      <c r="D625" s="25" t="s">
        <v>21</v>
      </c>
      <c r="E625" s="25" t="s">
        <v>88</v>
      </c>
      <c r="F625" s="25">
        <v>2</v>
      </c>
      <c r="G625" s="25" t="s">
        <v>89</v>
      </c>
      <c r="H625" s="25">
        <v>130</v>
      </c>
      <c r="I625" s="25">
        <v>100</v>
      </c>
      <c r="J625" s="25">
        <v>260</v>
      </c>
      <c r="K625" s="25">
        <v>200</v>
      </c>
      <c r="L625" s="25">
        <v>60</v>
      </c>
      <c r="M625" s="27">
        <v>30</v>
      </c>
      <c r="N625" s="25" t="s">
        <v>60</v>
      </c>
      <c r="O625" s="25" t="s">
        <v>27</v>
      </c>
      <c r="P625" s="25" t="s">
        <v>32</v>
      </c>
    </row>
    <row r="626" spans="1:16" x14ac:dyDescent="0.3">
      <c r="A626" s="25">
        <v>625</v>
      </c>
      <c r="B626" s="26">
        <v>45451</v>
      </c>
      <c r="C626" s="25" t="s">
        <v>61</v>
      </c>
      <c r="D626" s="25" t="s">
        <v>21</v>
      </c>
      <c r="E626" s="25" t="s">
        <v>88</v>
      </c>
      <c r="F626" s="25">
        <v>2</v>
      </c>
      <c r="G626" s="25" t="s">
        <v>89</v>
      </c>
      <c r="H626" s="25">
        <v>130</v>
      </c>
      <c r="I626" s="25">
        <v>100</v>
      </c>
      <c r="J626" s="25">
        <v>260</v>
      </c>
      <c r="K626" s="25">
        <v>200</v>
      </c>
      <c r="L626" s="25">
        <v>60</v>
      </c>
      <c r="M626" s="27">
        <v>30</v>
      </c>
      <c r="N626" s="25" t="s">
        <v>60</v>
      </c>
      <c r="O626" s="25" t="s">
        <v>27</v>
      </c>
      <c r="P626" s="25" t="s">
        <v>32</v>
      </c>
    </row>
    <row r="627" spans="1:16" x14ac:dyDescent="0.3">
      <c r="A627" s="25">
        <v>626</v>
      </c>
      <c r="B627" s="26">
        <v>45451</v>
      </c>
      <c r="C627" s="25" t="s">
        <v>61</v>
      </c>
      <c r="D627" s="25" t="s">
        <v>21</v>
      </c>
      <c r="E627" s="25" t="s">
        <v>94</v>
      </c>
      <c r="F627" s="25">
        <v>15</v>
      </c>
      <c r="G627" s="25" t="s">
        <v>89</v>
      </c>
      <c r="H627" s="25">
        <v>30</v>
      </c>
      <c r="I627" s="25">
        <v>26</v>
      </c>
      <c r="J627" s="25">
        <v>450</v>
      </c>
      <c r="K627" s="25">
        <v>390</v>
      </c>
      <c r="L627" s="25">
        <v>60</v>
      </c>
      <c r="M627" s="27">
        <v>15.384615384615399</v>
      </c>
      <c r="N627" s="25" t="s">
        <v>60</v>
      </c>
      <c r="O627" s="25" t="s">
        <v>27</v>
      </c>
      <c r="P627" s="25" t="s">
        <v>32</v>
      </c>
    </row>
    <row r="628" spans="1:16" x14ac:dyDescent="0.3">
      <c r="A628" s="25">
        <v>627</v>
      </c>
      <c r="B628" s="26">
        <v>45451</v>
      </c>
      <c r="C628" s="25" t="s">
        <v>61</v>
      </c>
      <c r="D628" s="25" t="s">
        <v>21</v>
      </c>
      <c r="E628" s="25" t="s">
        <v>98</v>
      </c>
      <c r="F628" s="25">
        <v>2</v>
      </c>
      <c r="G628" s="25" t="s">
        <v>89</v>
      </c>
      <c r="H628" s="25">
        <v>95</v>
      </c>
      <c r="I628" s="25">
        <v>55</v>
      </c>
      <c r="J628" s="25">
        <v>190</v>
      </c>
      <c r="K628" s="25">
        <v>110</v>
      </c>
      <c r="L628" s="25">
        <v>80</v>
      </c>
      <c r="M628" s="27">
        <v>72.727272727272705</v>
      </c>
      <c r="N628" s="25" t="s">
        <v>60</v>
      </c>
      <c r="O628" s="25" t="s">
        <v>27</v>
      </c>
      <c r="P628" s="25" t="s">
        <v>32</v>
      </c>
    </row>
    <row r="629" spans="1:16" x14ac:dyDescent="0.3">
      <c r="A629" s="25">
        <v>628</v>
      </c>
      <c r="B629" s="26">
        <v>45453</v>
      </c>
      <c r="C629" s="25" t="s">
        <v>61</v>
      </c>
      <c r="D629" s="25" t="s">
        <v>21</v>
      </c>
      <c r="E629" s="25" t="s">
        <v>88</v>
      </c>
      <c r="F629" s="25">
        <v>5</v>
      </c>
      <c r="G629" s="25" t="s">
        <v>89</v>
      </c>
      <c r="H629" s="25">
        <v>130</v>
      </c>
      <c r="I629" s="25">
        <v>100</v>
      </c>
      <c r="J629" s="25">
        <v>650</v>
      </c>
      <c r="K629" s="25">
        <v>500</v>
      </c>
      <c r="L629" s="25">
        <v>150</v>
      </c>
      <c r="M629" s="27">
        <v>30</v>
      </c>
      <c r="N629" s="25" t="s">
        <v>60</v>
      </c>
      <c r="O629" s="25" t="s">
        <v>27</v>
      </c>
      <c r="P629" s="25" t="s">
        <v>32</v>
      </c>
    </row>
    <row r="630" spans="1:16" x14ac:dyDescent="0.3">
      <c r="A630" s="25">
        <v>629</v>
      </c>
      <c r="B630" s="26">
        <v>45453</v>
      </c>
      <c r="C630" s="25" t="s">
        <v>61</v>
      </c>
      <c r="D630" s="25" t="s">
        <v>21</v>
      </c>
      <c r="E630" s="25" t="s">
        <v>88</v>
      </c>
      <c r="F630" s="25">
        <v>6</v>
      </c>
      <c r="G630" s="25" t="s">
        <v>89</v>
      </c>
      <c r="H630" s="25">
        <v>130</v>
      </c>
      <c r="I630" s="25">
        <v>100</v>
      </c>
      <c r="J630" s="25">
        <v>780</v>
      </c>
      <c r="K630" s="25">
        <v>600</v>
      </c>
      <c r="L630" s="25">
        <v>180</v>
      </c>
      <c r="M630" s="27">
        <v>30</v>
      </c>
      <c r="N630" s="25" t="s">
        <v>60</v>
      </c>
      <c r="O630" s="25" t="s">
        <v>27</v>
      </c>
      <c r="P630" s="25" t="s">
        <v>32</v>
      </c>
    </row>
    <row r="631" spans="1:16" x14ac:dyDescent="0.3">
      <c r="A631" s="25">
        <v>630</v>
      </c>
      <c r="B631" s="26">
        <v>45453</v>
      </c>
      <c r="C631" s="25" t="s">
        <v>61</v>
      </c>
      <c r="D631" s="25" t="s">
        <v>21</v>
      </c>
      <c r="E631" s="25" t="s">
        <v>95</v>
      </c>
      <c r="F631" s="25">
        <v>3</v>
      </c>
      <c r="G631" s="25" t="s">
        <v>89</v>
      </c>
      <c r="H631" s="25">
        <v>150</v>
      </c>
      <c r="I631" s="25">
        <v>100</v>
      </c>
      <c r="J631" s="25">
        <v>450</v>
      </c>
      <c r="K631" s="25">
        <v>300</v>
      </c>
      <c r="L631" s="25">
        <v>150</v>
      </c>
      <c r="M631" s="27">
        <v>50</v>
      </c>
      <c r="N631" s="25" t="s">
        <v>60</v>
      </c>
      <c r="O631" s="25" t="s">
        <v>28</v>
      </c>
      <c r="P631" s="25" t="s">
        <v>32</v>
      </c>
    </row>
    <row r="632" spans="1:16" x14ac:dyDescent="0.3">
      <c r="A632" s="25">
        <v>631</v>
      </c>
      <c r="B632" s="26">
        <v>45453</v>
      </c>
      <c r="C632" s="25" t="s">
        <v>61</v>
      </c>
      <c r="D632" s="25" t="s">
        <v>21</v>
      </c>
      <c r="E632" s="25" t="s">
        <v>98</v>
      </c>
      <c r="F632" s="25">
        <v>2</v>
      </c>
      <c r="G632" s="25" t="s">
        <v>89</v>
      </c>
      <c r="H632" s="25">
        <v>95</v>
      </c>
      <c r="I632" s="25">
        <v>55</v>
      </c>
      <c r="J632" s="25">
        <v>190</v>
      </c>
      <c r="K632" s="25">
        <v>110</v>
      </c>
      <c r="L632" s="25">
        <v>80</v>
      </c>
      <c r="M632" s="27">
        <v>72.727272727272705</v>
      </c>
      <c r="N632" s="25" t="s">
        <v>60</v>
      </c>
      <c r="O632" s="25" t="s">
        <v>27</v>
      </c>
      <c r="P632" s="25" t="s">
        <v>32</v>
      </c>
    </row>
    <row r="633" spans="1:16" x14ac:dyDescent="0.3">
      <c r="A633" s="25">
        <v>632</v>
      </c>
      <c r="B633" s="26">
        <v>45454</v>
      </c>
      <c r="C633" s="25" t="s">
        <v>61</v>
      </c>
      <c r="D633" s="25" t="s">
        <v>21</v>
      </c>
      <c r="E633" s="25" t="s">
        <v>88</v>
      </c>
      <c r="F633" s="25">
        <v>5</v>
      </c>
      <c r="G633" s="25" t="s">
        <v>89</v>
      </c>
      <c r="H633" s="25">
        <v>130</v>
      </c>
      <c r="I633" s="25">
        <v>100</v>
      </c>
      <c r="J633" s="25">
        <v>650</v>
      </c>
      <c r="K633" s="25">
        <v>500</v>
      </c>
      <c r="L633" s="25">
        <v>150</v>
      </c>
      <c r="M633" s="27">
        <v>30</v>
      </c>
      <c r="N633" s="25" t="s">
        <v>60</v>
      </c>
      <c r="O633" s="25" t="s">
        <v>27</v>
      </c>
      <c r="P633" s="25" t="s">
        <v>32</v>
      </c>
    </row>
    <row r="634" spans="1:16" x14ac:dyDescent="0.3">
      <c r="A634" s="25">
        <v>633</v>
      </c>
      <c r="B634" s="26">
        <v>45454</v>
      </c>
      <c r="C634" s="25" t="s">
        <v>61</v>
      </c>
      <c r="D634" s="25" t="s">
        <v>21</v>
      </c>
      <c r="E634" s="25" t="s">
        <v>93</v>
      </c>
      <c r="F634" s="25">
        <v>9</v>
      </c>
      <c r="G634" s="25" t="s">
        <v>89</v>
      </c>
      <c r="H634" s="25">
        <v>250</v>
      </c>
      <c r="I634" s="25">
        <v>180</v>
      </c>
      <c r="J634" s="25">
        <v>2250</v>
      </c>
      <c r="K634" s="25">
        <v>1620</v>
      </c>
      <c r="L634" s="25">
        <v>630</v>
      </c>
      <c r="M634" s="27">
        <v>38.8888888888889</v>
      </c>
      <c r="N634" s="25" t="s">
        <v>60</v>
      </c>
      <c r="O634" s="25" t="s">
        <v>27</v>
      </c>
      <c r="P634" s="25" t="s">
        <v>32</v>
      </c>
    </row>
    <row r="635" spans="1:16" x14ac:dyDescent="0.3">
      <c r="A635" s="25">
        <v>634</v>
      </c>
      <c r="B635" s="26">
        <v>45454</v>
      </c>
      <c r="C635" s="25" t="s">
        <v>61</v>
      </c>
      <c r="D635" s="25" t="s">
        <v>21</v>
      </c>
      <c r="E635" s="25" t="s">
        <v>94</v>
      </c>
      <c r="F635" s="25">
        <v>10</v>
      </c>
      <c r="G635" s="25" t="s">
        <v>89</v>
      </c>
      <c r="H635" s="25">
        <v>30</v>
      </c>
      <c r="I635" s="25">
        <v>26</v>
      </c>
      <c r="J635" s="25">
        <v>300</v>
      </c>
      <c r="K635" s="25">
        <v>260</v>
      </c>
      <c r="L635" s="25">
        <v>40</v>
      </c>
      <c r="M635" s="27">
        <v>15.384615384615399</v>
      </c>
      <c r="N635" s="25" t="s">
        <v>60</v>
      </c>
      <c r="O635" s="25" t="s">
        <v>27</v>
      </c>
      <c r="P635" s="25" t="s">
        <v>32</v>
      </c>
    </row>
    <row r="636" spans="1:16" x14ac:dyDescent="0.3">
      <c r="A636" s="25">
        <v>635</v>
      </c>
      <c r="B636" s="26">
        <v>45454</v>
      </c>
      <c r="C636" s="25" t="s">
        <v>61</v>
      </c>
      <c r="D636" s="25" t="s">
        <v>21</v>
      </c>
      <c r="E636" s="25" t="s">
        <v>88</v>
      </c>
      <c r="F636" s="25">
        <v>2</v>
      </c>
      <c r="G636" s="25" t="s">
        <v>89</v>
      </c>
      <c r="H636" s="25">
        <v>130</v>
      </c>
      <c r="I636" s="25">
        <v>100</v>
      </c>
      <c r="J636" s="25">
        <v>260</v>
      </c>
      <c r="K636" s="25">
        <v>200</v>
      </c>
      <c r="L636" s="25">
        <v>60</v>
      </c>
      <c r="M636" s="27">
        <v>30</v>
      </c>
      <c r="N636" s="25" t="s">
        <v>60</v>
      </c>
      <c r="O636" s="25" t="s">
        <v>27</v>
      </c>
      <c r="P636" s="25" t="s">
        <v>32</v>
      </c>
    </row>
    <row r="637" spans="1:16" x14ac:dyDescent="0.3">
      <c r="A637" s="25">
        <v>636</v>
      </c>
      <c r="B637" s="26">
        <v>45455</v>
      </c>
      <c r="C637" s="25" t="s">
        <v>61</v>
      </c>
      <c r="D637" s="25" t="s">
        <v>21</v>
      </c>
      <c r="E637" s="25" t="s">
        <v>88</v>
      </c>
      <c r="F637" s="25">
        <v>4</v>
      </c>
      <c r="G637" s="25" t="s">
        <v>89</v>
      </c>
      <c r="H637" s="25">
        <v>130</v>
      </c>
      <c r="I637" s="25">
        <v>100</v>
      </c>
      <c r="J637" s="25">
        <v>520</v>
      </c>
      <c r="K637" s="25">
        <v>400</v>
      </c>
      <c r="L637" s="25">
        <v>120</v>
      </c>
      <c r="M637" s="27">
        <v>30</v>
      </c>
      <c r="N637" s="25" t="s">
        <v>60</v>
      </c>
      <c r="O637" s="25" t="s">
        <v>27</v>
      </c>
      <c r="P637" s="25" t="s">
        <v>32</v>
      </c>
    </row>
    <row r="638" spans="1:16" x14ac:dyDescent="0.3">
      <c r="A638" s="25">
        <v>637</v>
      </c>
      <c r="B638" s="26">
        <v>45455</v>
      </c>
      <c r="C638" s="25" t="s">
        <v>61</v>
      </c>
      <c r="D638" s="25" t="s">
        <v>21</v>
      </c>
      <c r="E638" s="25" t="s">
        <v>88</v>
      </c>
      <c r="F638" s="25">
        <v>6</v>
      </c>
      <c r="G638" s="25" t="s">
        <v>89</v>
      </c>
      <c r="H638" s="25">
        <v>130</v>
      </c>
      <c r="I638" s="25">
        <v>100</v>
      </c>
      <c r="J638" s="25">
        <v>780</v>
      </c>
      <c r="K638" s="25">
        <v>600</v>
      </c>
      <c r="L638" s="25">
        <v>180</v>
      </c>
      <c r="M638" s="27">
        <v>30</v>
      </c>
      <c r="N638" s="25" t="s">
        <v>60</v>
      </c>
      <c r="O638" s="25" t="s">
        <v>27</v>
      </c>
      <c r="P638" s="25" t="s">
        <v>32</v>
      </c>
    </row>
    <row r="639" spans="1:16" x14ac:dyDescent="0.3">
      <c r="A639" s="25">
        <v>638</v>
      </c>
      <c r="B639" s="26">
        <v>45455</v>
      </c>
      <c r="C639" s="25" t="s">
        <v>61</v>
      </c>
      <c r="D639" s="25" t="s">
        <v>21</v>
      </c>
      <c r="E639" s="25" t="s">
        <v>88</v>
      </c>
      <c r="F639" s="25">
        <v>2</v>
      </c>
      <c r="G639" s="25" t="s">
        <v>89</v>
      </c>
      <c r="H639" s="25">
        <v>130</v>
      </c>
      <c r="I639" s="25">
        <v>100</v>
      </c>
      <c r="J639" s="25">
        <v>260</v>
      </c>
      <c r="K639" s="25">
        <v>200</v>
      </c>
      <c r="L639" s="25">
        <v>60</v>
      </c>
      <c r="M639" s="27">
        <v>30</v>
      </c>
      <c r="N639" s="25" t="s">
        <v>60</v>
      </c>
      <c r="O639" s="25" t="s">
        <v>27</v>
      </c>
      <c r="P639" s="25" t="s">
        <v>32</v>
      </c>
    </row>
    <row r="640" spans="1:16" x14ac:dyDescent="0.3">
      <c r="A640" s="25">
        <v>639</v>
      </c>
      <c r="B640" s="26">
        <v>45455</v>
      </c>
      <c r="C640" s="25" t="s">
        <v>61</v>
      </c>
      <c r="D640" s="25" t="s">
        <v>21</v>
      </c>
      <c r="E640" s="25" t="s">
        <v>95</v>
      </c>
      <c r="F640" s="25">
        <v>5</v>
      </c>
      <c r="G640" s="25" t="s">
        <v>89</v>
      </c>
      <c r="H640" s="25">
        <v>150</v>
      </c>
      <c r="I640" s="25">
        <v>100</v>
      </c>
      <c r="J640" s="25">
        <v>750</v>
      </c>
      <c r="K640" s="25">
        <v>500</v>
      </c>
      <c r="L640" s="25">
        <v>250</v>
      </c>
      <c r="M640" s="27">
        <v>50</v>
      </c>
      <c r="N640" s="25" t="s">
        <v>60</v>
      </c>
      <c r="O640" s="25" t="s">
        <v>28</v>
      </c>
      <c r="P640" s="25" t="s">
        <v>32</v>
      </c>
    </row>
    <row r="641" spans="1:16" x14ac:dyDescent="0.3">
      <c r="A641" s="25">
        <v>640</v>
      </c>
      <c r="B641" s="26">
        <v>45455</v>
      </c>
      <c r="C641" s="25" t="s">
        <v>61</v>
      </c>
      <c r="D641" s="25" t="s">
        <v>21</v>
      </c>
      <c r="E641" s="25" t="s">
        <v>88</v>
      </c>
      <c r="F641" s="25">
        <v>6</v>
      </c>
      <c r="G641" s="25" t="s">
        <v>89</v>
      </c>
      <c r="H641" s="25">
        <v>130</v>
      </c>
      <c r="I641" s="25">
        <v>100</v>
      </c>
      <c r="J641" s="25">
        <v>780</v>
      </c>
      <c r="K641" s="25">
        <v>600</v>
      </c>
      <c r="L641" s="25">
        <v>180</v>
      </c>
      <c r="M641" s="27">
        <v>30</v>
      </c>
      <c r="N641" s="25" t="s">
        <v>60</v>
      </c>
      <c r="O641" s="25" t="s">
        <v>27</v>
      </c>
      <c r="P641" s="25" t="s">
        <v>32</v>
      </c>
    </row>
    <row r="642" spans="1:16" x14ac:dyDescent="0.3">
      <c r="A642" s="25">
        <v>641</v>
      </c>
      <c r="B642" s="26">
        <v>45456</v>
      </c>
      <c r="C642" s="25" t="s">
        <v>61</v>
      </c>
      <c r="D642" s="25" t="s">
        <v>21</v>
      </c>
      <c r="E642" s="25" t="s">
        <v>88</v>
      </c>
      <c r="F642" s="25">
        <v>13</v>
      </c>
      <c r="G642" s="25" t="s">
        <v>89</v>
      </c>
      <c r="H642" s="25">
        <v>130</v>
      </c>
      <c r="I642" s="25">
        <v>100</v>
      </c>
      <c r="J642" s="25">
        <v>1690</v>
      </c>
      <c r="K642" s="25">
        <v>1300</v>
      </c>
      <c r="L642" s="25">
        <v>390</v>
      </c>
      <c r="M642" s="27">
        <v>30</v>
      </c>
      <c r="N642" s="25" t="s">
        <v>60</v>
      </c>
      <c r="O642" s="25" t="s">
        <v>27</v>
      </c>
      <c r="P642" s="25" t="s">
        <v>32</v>
      </c>
    </row>
    <row r="643" spans="1:16" x14ac:dyDescent="0.3">
      <c r="A643" s="25">
        <v>642</v>
      </c>
      <c r="B643" s="26">
        <v>45456</v>
      </c>
      <c r="C643" s="25" t="s">
        <v>61</v>
      </c>
      <c r="D643" s="25" t="s">
        <v>21</v>
      </c>
      <c r="E643" s="25" t="s">
        <v>88</v>
      </c>
      <c r="F643" s="25">
        <v>2</v>
      </c>
      <c r="G643" s="25" t="s">
        <v>89</v>
      </c>
      <c r="H643" s="25">
        <v>130</v>
      </c>
      <c r="I643" s="25">
        <v>100</v>
      </c>
      <c r="J643" s="25">
        <v>260</v>
      </c>
      <c r="K643" s="25">
        <v>200</v>
      </c>
      <c r="L643" s="25">
        <v>60</v>
      </c>
      <c r="M643" s="27">
        <v>30</v>
      </c>
      <c r="N643" s="25" t="s">
        <v>60</v>
      </c>
      <c r="O643" s="25" t="s">
        <v>27</v>
      </c>
      <c r="P643" s="25" t="s">
        <v>32</v>
      </c>
    </row>
    <row r="644" spans="1:16" x14ac:dyDescent="0.3">
      <c r="A644" s="25">
        <v>643</v>
      </c>
      <c r="B644" s="26">
        <v>45456</v>
      </c>
      <c r="C644" s="25" t="s">
        <v>61</v>
      </c>
      <c r="D644" s="25" t="s">
        <v>21</v>
      </c>
      <c r="E644" s="25" t="s">
        <v>88</v>
      </c>
      <c r="F644" s="25">
        <v>5</v>
      </c>
      <c r="G644" s="25" t="s">
        <v>89</v>
      </c>
      <c r="H644" s="25">
        <v>130</v>
      </c>
      <c r="I644" s="25">
        <v>100</v>
      </c>
      <c r="J644" s="25">
        <v>650</v>
      </c>
      <c r="K644" s="25">
        <v>500</v>
      </c>
      <c r="L644" s="25">
        <v>150</v>
      </c>
      <c r="M644" s="27">
        <v>30</v>
      </c>
      <c r="N644" s="25" t="s">
        <v>60</v>
      </c>
      <c r="O644" s="25" t="s">
        <v>27</v>
      </c>
      <c r="P644" s="25" t="s">
        <v>32</v>
      </c>
    </row>
    <row r="645" spans="1:16" x14ac:dyDescent="0.3">
      <c r="A645" s="25">
        <v>644</v>
      </c>
      <c r="B645" s="26">
        <v>45457</v>
      </c>
      <c r="C645" s="25" t="s">
        <v>61</v>
      </c>
      <c r="D645" s="25" t="s">
        <v>21</v>
      </c>
      <c r="E645" s="25" t="s">
        <v>88</v>
      </c>
      <c r="F645" s="25">
        <v>6</v>
      </c>
      <c r="G645" s="25" t="s">
        <v>89</v>
      </c>
      <c r="H645" s="25">
        <v>130</v>
      </c>
      <c r="I645" s="25">
        <v>100</v>
      </c>
      <c r="J645" s="25">
        <v>780</v>
      </c>
      <c r="K645" s="25">
        <v>600</v>
      </c>
      <c r="L645" s="25">
        <v>180</v>
      </c>
      <c r="M645" s="27">
        <v>30</v>
      </c>
      <c r="N645" s="25" t="s">
        <v>60</v>
      </c>
      <c r="O645" s="25" t="s">
        <v>27</v>
      </c>
      <c r="P645" s="25" t="s">
        <v>32</v>
      </c>
    </row>
    <row r="646" spans="1:16" x14ac:dyDescent="0.3">
      <c r="A646" s="25">
        <v>645</v>
      </c>
      <c r="B646" s="26">
        <v>45457</v>
      </c>
      <c r="C646" s="25" t="s">
        <v>61</v>
      </c>
      <c r="D646" s="25" t="s">
        <v>21</v>
      </c>
      <c r="E646" s="25" t="s">
        <v>88</v>
      </c>
      <c r="F646" s="25">
        <v>9</v>
      </c>
      <c r="G646" s="25" t="s">
        <v>89</v>
      </c>
      <c r="H646" s="25">
        <v>130</v>
      </c>
      <c r="I646" s="25">
        <v>100</v>
      </c>
      <c r="J646" s="25">
        <v>1170</v>
      </c>
      <c r="K646" s="25">
        <v>900</v>
      </c>
      <c r="L646" s="25">
        <v>270</v>
      </c>
      <c r="M646" s="27">
        <v>30</v>
      </c>
      <c r="N646" s="25" t="s">
        <v>60</v>
      </c>
      <c r="O646" s="25" t="s">
        <v>27</v>
      </c>
      <c r="P646" s="25" t="s">
        <v>32</v>
      </c>
    </row>
    <row r="647" spans="1:16" x14ac:dyDescent="0.3">
      <c r="A647" s="25">
        <v>646</v>
      </c>
      <c r="B647" s="26">
        <v>45457</v>
      </c>
      <c r="C647" s="25" t="s">
        <v>61</v>
      </c>
      <c r="D647" s="25" t="s">
        <v>21</v>
      </c>
      <c r="E647" s="25" t="s">
        <v>88</v>
      </c>
      <c r="F647" s="25">
        <v>11</v>
      </c>
      <c r="G647" s="25" t="s">
        <v>89</v>
      </c>
      <c r="H647" s="25">
        <v>130</v>
      </c>
      <c r="I647" s="25">
        <v>100</v>
      </c>
      <c r="J647" s="25">
        <v>1430</v>
      </c>
      <c r="K647" s="25">
        <v>1100</v>
      </c>
      <c r="L647" s="25">
        <v>330</v>
      </c>
      <c r="M647" s="27">
        <v>30</v>
      </c>
      <c r="N647" s="25" t="s">
        <v>60</v>
      </c>
      <c r="O647" s="25" t="s">
        <v>27</v>
      </c>
      <c r="P647" s="25" t="s">
        <v>32</v>
      </c>
    </row>
    <row r="648" spans="1:16" x14ac:dyDescent="0.3">
      <c r="A648" s="25">
        <v>647</v>
      </c>
      <c r="B648" s="26">
        <v>45457</v>
      </c>
      <c r="C648" s="25" t="s">
        <v>61</v>
      </c>
      <c r="D648" s="25" t="s">
        <v>21</v>
      </c>
      <c r="E648" s="25" t="s">
        <v>88</v>
      </c>
      <c r="F648" s="25">
        <v>6</v>
      </c>
      <c r="G648" s="25" t="s">
        <v>89</v>
      </c>
      <c r="H648" s="25">
        <v>130</v>
      </c>
      <c r="I648" s="25">
        <v>100</v>
      </c>
      <c r="J648" s="25">
        <v>780</v>
      </c>
      <c r="K648" s="25">
        <v>600</v>
      </c>
      <c r="L648" s="25">
        <v>180</v>
      </c>
      <c r="M648" s="27">
        <v>30</v>
      </c>
      <c r="N648" s="25" t="s">
        <v>60</v>
      </c>
      <c r="O648" s="25" t="s">
        <v>27</v>
      </c>
      <c r="P648" s="25" t="s">
        <v>32</v>
      </c>
    </row>
    <row r="649" spans="1:16" x14ac:dyDescent="0.3">
      <c r="A649" s="25">
        <v>648</v>
      </c>
      <c r="B649" s="26">
        <v>45457</v>
      </c>
      <c r="C649" s="25" t="s">
        <v>61</v>
      </c>
      <c r="D649" s="25" t="s">
        <v>21</v>
      </c>
      <c r="E649" s="25" t="s">
        <v>88</v>
      </c>
      <c r="F649" s="25">
        <v>3</v>
      </c>
      <c r="G649" s="25" t="s">
        <v>89</v>
      </c>
      <c r="H649" s="25">
        <v>130</v>
      </c>
      <c r="I649" s="25">
        <v>100</v>
      </c>
      <c r="J649" s="25">
        <v>390</v>
      </c>
      <c r="K649" s="25">
        <v>300</v>
      </c>
      <c r="L649" s="25">
        <v>90</v>
      </c>
      <c r="M649" s="27">
        <v>30</v>
      </c>
      <c r="N649" s="25" t="s">
        <v>60</v>
      </c>
      <c r="O649" s="25" t="s">
        <v>27</v>
      </c>
      <c r="P649" s="25" t="s">
        <v>32</v>
      </c>
    </row>
    <row r="650" spans="1:16" x14ac:dyDescent="0.3">
      <c r="A650" s="25">
        <v>649</v>
      </c>
      <c r="B650" s="26">
        <v>45458</v>
      </c>
      <c r="C650" s="25" t="s">
        <v>61</v>
      </c>
      <c r="D650" s="25" t="s">
        <v>21</v>
      </c>
      <c r="E650" s="25" t="s">
        <v>95</v>
      </c>
      <c r="F650" s="25">
        <v>3</v>
      </c>
      <c r="G650" s="25" t="s">
        <v>89</v>
      </c>
      <c r="H650" s="25">
        <v>150</v>
      </c>
      <c r="I650" s="25">
        <v>100</v>
      </c>
      <c r="J650" s="25">
        <v>450</v>
      </c>
      <c r="K650" s="25">
        <v>300</v>
      </c>
      <c r="L650" s="25">
        <v>150</v>
      </c>
      <c r="M650" s="27">
        <v>50</v>
      </c>
      <c r="N650" s="25" t="s">
        <v>60</v>
      </c>
      <c r="O650" s="25" t="s">
        <v>28</v>
      </c>
      <c r="P650" s="25" t="s">
        <v>32</v>
      </c>
    </row>
    <row r="651" spans="1:16" x14ac:dyDescent="0.3">
      <c r="A651" s="25">
        <v>650</v>
      </c>
      <c r="B651" s="26">
        <v>45458</v>
      </c>
      <c r="C651" s="25" t="s">
        <v>61</v>
      </c>
      <c r="D651" s="25" t="s">
        <v>21</v>
      </c>
      <c r="E651" s="25" t="s">
        <v>88</v>
      </c>
      <c r="F651" s="25">
        <v>2</v>
      </c>
      <c r="G651" s="25" t="s">
        <v>89</v>
      </c>
      <c r="H651" s="25">
        <v>130</v>
      </c>
      <c r="I651" s="25">
        <v>100</v>
      </c>
      <c r="J651" s="25">
        <v>260</v>
      </c>
      <c r="K651" s="25">
        <v>200</v>
      </c>
      <c r="L651" s="25">
        <v>60</v>
      </c>
      <c r="M651" s="27">
        <v>30</v>
      </c>
      <c r="N651" s="25" t="s">
        <v>60</v>
      </c>
      <c r="O651" s="25" t="s">
        <v>27</v>
      </c>
      <c r="P651" s="25" t="s">
        <v>32</v>
      </c>
    </row>
    <row r="652" spans="1:16" x14ac:dyDescent="0.3">
      <c r="A652" s="25">
        <v>651</v>
      </c>
      <c r="B652" s="26">
        <v>45458</v>
      </c>
      <c r="C652" s="25" t="s">
        <v>61</v>
      </c>
      <c r="D652" s="25" t="s">
        <v>21</v>
      </c>
      <c r="E652" s="25" t="s">
        <v>95</v>
      </c>
      <c r="F652" s="25">
        <v>4</v>
      </c>
      <c r="G652" s="25" t="s">
        <v>89</v>
      </c>
      <c r="H652" s="25">
        <v>150</v>
      </c>
      <c r="I652" s="25">
        <v>100</v>
      </c>
      <c r="J652" s="25">
        <v>600</v>
      </c>
      <c r="K652" s="25">
        <v>400</v>
      </c>
      <c r="L652" s="25">
        <v>200</v>
      </c>
      <c r="M652" s="27">
        <v>50</v>
      </c>
      <c r="N652" s="25" t="s">
        <v>60</v>
      </c>
      <c r="O652" s="25" t="s">
        <v>28</v>
      </c>
      <c r="P652" s="25" t="s">
        <v>32</v>
      </c>
    </row>
    <row r="653" spans="1:16" x14ac:dyDescent="0.3">
      <c r="A653" s="25">
        <v>652</v>
      </c>
      <c r="B653" s="26">
        <v>45458</v>
      </c>
      <c r="C653" s="25" t="s">
        <v>61</v>
      </c>
      <c r="D653" s="25" t="s">
        <v>21</v>
      </c>
      <c r="E653" s="25" t="s">
        <v>88</v>
      </c>
      <c r="F653" s="25">
        <v>7</v>
      </c>
      <c r="G653" s="25" t="s">
        <v>89</v>
      </c>
      <c r="H653" s="25">
        <v>130</v>
      </c>
      <c r="I653" s="25">
        <v>100</v>
      </c>
      <c r="J653" s="25">
        <v>910</v>
      </c>
      <c r="K653" s="25">
        <v>700</v>
      </c>
      <c r="L653" s="25">
        <v>210</v>
      </c>
      <c r="M653" s="27">
        <v>30</v>
      </c>
      <c r="N653" s="25" t="s">
        <v>60</v>
      </c>
      <c r="O653" s="25" t="s">
        <v>27</v>
      </c>
      <c r="P653" s="25" t="s">
        <v>32</v>
      </c>
    </row>
    <row r="654" spans="1:16" x14ac:dyDescent="0.3">
      <c r="A654" s="25">
        <v>653</v>
      </c>
      <c r="B654" s="26">
        <v>45459</v>
      </c>
      <c r="C654" s="25" t="s">
        <v>61</v>
      </c>
      <c r="D654" s="25" t="s">
        <v>21</v>
      </c>
      <c r="E654" s="25" t="s">
        <v>88</v>
      </c>
      <c r="F654" s="25">
        <v>8</v>
      </c>
      <c r="G654" s="25" t="s">
        <v>89</v>
      </c>
      <c r="H654" s="25">
        <v>130</v>
      </c>
      <c r="I654" s="25">
        <v>100</v>
      </c>
      <c r="J654" s="25">
        <v>1040</v>
      </c>
      <c r="K654" s="25">
        <v>800</v>
      </c>
      <c r="L654" s="25">
        <v>240</v>
      </c>
      <c r="M654" s="27">
        <v>30</v>
      </c>
      <c r="N654" s="25" t="s">
        <v>60</v>
      </c>
      <c r="O654" s="25" t="s">
        <v>27</v>
      </c>
      <c r="P654" s="25" t="s">
        <v>32</v>
      </c>
    </row>
    <row r="655" spans="1:16" x14ac:dyDescent="0.3">
      <c r="A655" s="25">
        <v>654</v>
      </c>
      <c r="B655" s="26">
        <v>45459</v>
      </c>
      <c r="C655" s="25" t="s">
        <v>61</v>
      </c>
      <c r="D655" s="25" t="s">
        <v>21</v>
      </c>
      <c r="E655" s="25" t="s">
        <v>88</v>
      </c>
      <c r="F655" s="25">
        <v>5</v>
      </c>
      <c r="G655" s="25" t="s">
        <v>89</v>
      </c>
      <c r="H655" s="25">
        <v>130</v>
      </c>
      <c r="I655" s="25">
        <v>100</v>
      </c>
      <c r="J655" s="25">
        <v>650</v>
      </c>
      <c r="K655" s="25">
        <v>500</v>
      </c>
      <c r="L655" s="25">
        <v>150</v>
      </c>
      <c r="M655" s="27">
        <v>30</v>
      </c>
      <c r="N655" s="25" t="s">
        <v>60</v>
      </c>
      <c r="O655" s="25" t="s">
        <v>27</v>
      </c>
      <c r="P655" s="25" t="s">
        <v>32</v>
      </c>
    </row>
    <row r="656" spans="1:16" x14ac:dyDescent="0.3">
      <c r="A656" s="25">
        <v>655</v>
      </c>
      <c r="B656" s="26">
        <v>45459</v>
      </c>
      <c r="C656" s="25" t="s">
        <v>61</v>
      </c>
      <c r="D656" s="25" t="s">
        <v>21</v>
      </c>
      <c r="E656" s="25" t="s">
        <v>88</v>
      </c>
      <c r="F656" s="25">
        <v>3</v>
      </c>
      <c r="G656" s="25" t="s">
        <v>89</v>
      </c>
      <c r="H656" s="25">
        <v>130</v>
      </c>
      <c r="I656" s="25">
        <v>100</v>
      </c>
      <c r="J656" s="25">
        <v>390</v>
      </c>
      <c r="K656" s="25">
        <v>300</v>
      </c>
      <c r="L656" s="25">
        <v>90</v>
      </c>
      <c r="M656" s="27">
        <v>30</v>
      </c>
      <c r="N656" s="25" t="s">
        <v>60</v>
      </c>
      <c r="O656" s="25" t="s">
        <v>27</v>
      </c>
      <c r="P656" s="25" t="s">
        <v>32</v>
      </c>
    </row>
    <row r="657" spans="1:16" x14ac:dyDescent="0.3">
      <c r="A657" s="25">
        <v>656</v>
      </c>
      <c r="B657" s="26">
        <v>45459</v>
      </c>
      <c r="C657" s="25" t="s">
        <v>61</v>
      </c>
      <c r="D657" s="25" t="s">
        <v>22</v>
      </c>
      <c r="E657" s="25" t="s">
        <v>96</v>
      </c>
      <c r="F657" s="25">
        <v>2</v>
      </c>
      <c r="G657" s="25" t="s">
        <v>97</v>
      </c>
      <c r="H657" s="25">
        <v>300</v>
      </c>
      <c r="I657" s="25">
        <v>265</v>
      </c>
      <c r="J657" s="25">
        <v>600</v>
      </c>
      <c r="K657" s="25">
        <v>530</v>
      </c>
      <c r="L657" s="25">
        <v>70</v>
      </c>
      <c r="M657" s="27">
        <v>13.207547169811299</v>
      </c>
      <c r="N657" s="25" t="s">
        <v>60</v>
      </c>
      <c r="O657" s="25" t="s">
        <v>28</v>
      </c>
      <c r="P657" s="25" t="s">
        <v>32</v>
      </c>
    </row>
    <row r="658" spans="1:16" x14ac:dyDescent="0.3">
      <c r="A658" s="25">
        <v>657</v>
      </c>
      <c r="B658" s="26">
        <v>45459</v>
      </c>
      <c r="C658" s="25" t="s">
        <v>61</v>
      </c>
      <c r="D658" s="25" t="s">
        <v>22</v>
      </c>
      <c r="E658" s="25" t="s">
        <v>99</v>
      </c>
      <c r="F658" s="25">
        <v>2</v>
      </c>
      <c r="G658" s="25" t="s">
        <v>100</v>
      </c>
      <c r="H658" s="25">
        <v>200</v>
      </c>
      <c r="I658" s="25">
        <v>160</v>
      </c>
      <c r="J658" s="25">
        <v>400</v>
      </c>
      <c r="K658" s="25">
        <v>320</v>
      </c>
      <c r="L658" s="25">
        <v>80</v>
      </c>
      <c r="M658" s="27">
        <v>25</v>
      </c>
      <c r="N658" s="25" t="s">
        <v>60</v>
      </c>
      <c r="O658" s="25" t="s">
        <v>28</v>
      </c>
      <c r="P658" s="25" t="s">
        <v>32</v>
      </c>
    </row>
    <row r="659" spans="1:16" x14ac:dyDescent="0.3">
      <c r="A659" s="25">
        <v>658</v>
      </c>
      <c r="B659" s="26">
        <v>45459</v>
      </c>
      <c r="C659" s="25" t="s">
        <v>61</v>
      </c>
      <c r="D659" s="25" t="s">
        <v>21</v>
      </c>
      <c r="E659" s="25" t="s">
        <v>88</v>
      </c>
      <c r="F659" s="25">
        <v>5</v>
      </c>
      <c r="G659" s="25" t="s">
        <v>89</v>
      </c>
      <c r="H659" s="25">
        <v>130</v>
      </c>
      <c r="I659" s="25">
        <v>100</v>
      </c>
      <c r="J659" s="25">
        <v>650</v>
      </c>
      <c r="K659" s="25">
        <v>500</v>
      </c>
      <c r="L659" s="25">
        <v>150</v>
      </c>
      <c r="M659" s="27">
        <v>30</v>
      </c>
      <c r="N659" s="25" t="s">
        <v>60</v>
      </c>
      <c r="O659" s="25" t="s">
        <v>27</v>
      </c>
      <c r="P659" s="25" t="s">
        <v>32</v>
      </c>
    </row>
    <row r="660" spans="1:16" x14ac:dyDescent="0.3">
      <c r="A660" s="25">
        <v>659</v>
      </c>
      <c r="B660" s="26">
        <v>45459</v>
      </c>
      <c r="C660" s="25" t="s">
        <v>61</v>
      </c>
      <c r="D660" s="25" t="s">
        <v>21</v>
      </c>
      <c r="E660" s="25" t="s">
        <v>88</v>
      </c>
      <c r="F660" s="25">
        <v>5</v>
      </c>
      <c r="G660" s="25" t="s">
        <v>89</v>
      </c>
      <c r="H660" s="25">
        <v>130</v>
      </c>
      <c r="I660" s="25">
        <v>100</v>
      </c>
      <c r="J660" s="25">
        <v>650</v>
      </c>
      <c r="K660" s="25">
        <v>500</v>
      </c>
      <c r="L660" s="25">
        <v>150</v>
      </c>
      <c r="M660" s="27">
        <v>30</v>
      </c>
      <c r="N660" s="25" t="s">
        <v>60</v>
      </c>
      <c r="O660" s="25" t="s">
        <v>27</v>
      </c>
      <c r="P660" s="25" t="s">
        <v>32</v>
      </c>
    </row>
    <row r="661" spans="1:16" x14ac:dyDescent="0.3">
      <c r="A661" s="25">
        <v>660</v>
      </c>
      <c r="B661" s="26">
        <v>45460</v>
      </c>
      <c r="C661" s="25" t="s">
        <v>61</v>
      </c>
      <c r="D661" s="25" t="s">
        <v>21</v>
      </c>
      <c r="E661" s="25" t="s">
        <v>88</v>
      </c>
      <c r="F661" s="25">
        <v>5</v>
      </c>
      <c r="G661" s="25" t="s">
        <v>89</v>
      </c>
      <c r="H661" s="25">
        <v>130</v>
      </c>
      <c r="I661" s="25">
        <v>100</v>
      </c>
      <c r="J661" s="25">
        <v>650</v>
      </c>
      <c r="K661" s="25">
        <v>500</v>
      </c>
      <c r="L661" s="25">
        <v>150</v>
      </c>
      <c r="M661" s="27">
        <v>30</v>
      </c>
      <c r="N661" s="25" t="s">
        <v>60</v>
      </c>
      <c r="O661" s="25" t="s">
        <v>27</v>
      </c>
      <c r="P661" s="25" t="s">
        <v>32</v>
      </c>
    </row>
    <row r="662" spans="1:16" x14ac:dyDescent="0.3">
      <c r="A662" s="25">
        <v>661</v>
      </c>
      <c r="B662" s="26">
        <v>45460</v>
      </c>
      <c r="C662" s="25" t="s">
        <v>61</v>
      </c>
      <c r="D662" s="25" t="s">
        <v>21</v>
      </c>
      <c r="E662" s="25" t="s">
        <v>98</v>
      </c>
      <c r="F662" s="25">
        <v>5</v>
      </c>
      <c r="G662" s="25" t="s">
        <v>89</v>
      </c>
      <c r="H662" s="25">
        <v>95</v>
      </c>
      <c r="I662" s="25">
        <v>55</v>
      </c>
      <c r="J662" s="25">
        <v>475</v>
      </c>
      <c r="K662" s="25">
        <v>275</v>
      </c>
      <c r="L662" s="25">
        <v>200</v>
      </c>
      <c r="M662" s="27">
        <v>72.727272727272705</v>
      </c>
      <c r="N662" s="25" t="s">
        <v>60</v>
      </c>
      <c r="O662" s="25" t="s">
        <v>27</v>
      </c>
      <c r="P662" s="25" t="s">
        <v>32</v>
      </c>
    </row>
    <row r="663" spans="1:16" x14ac:dyDescent="0.3">
      <c r="A663" s="25">
        <v>662</v>
      </c>
      <c r="B663" s="26">
        <v>45460</v>
      </c>
      <c r="C663" s="25" t="s">
        <v>61</v>
      </c>
      <c r="D663" s="25" t="s">
        <v>21</v>
      </c>
      <c r="E663" s="25" t="s">
        <v>88</v>
      </c>
      <c r="F663" s="25">
        <v>3</v>
      </c>
      <c r="G663" s="25" t="s">
        <v>89</v>
      </c>
      <c r="H663" s="25">
        <v>130</v>
      </c>
      <c r="I663" s="25">
        <v>100</v>
      </c>
      <c r="J663" s="25">
        <v>390</v>
      </c>
      <c r="K663" s="25">
        <v>300</v>
      </c>
      <c r="L663" s="25">
        <v>90</v>
      </c>
      <c r="M663" s="27">
        <v>30</v>
      </c>
      <c r="N663" s="25" t="s">
        <v>60</v>
      </c>
      <c r="O663" s="25" t="s">
        <v>27</v>
      </c>
      <c r="P663" s="25" t="s">
        <v>32</v>
      </c>
    </row>
    <row r="664" spans="1:16" x14ac:dyDescent="0.3">
      <c r="A664" s="25">
        <v>663</v>
      </c>
      <c r="B664" s="26">
        <v>45460</v>
      </c>
      <c r="C664" s="25" t="s">
        <v>61</v>
      </c>
      <c r="D664" s="25" t="s">
        <v>21</v>
      </c>
      <c r="E664" s="25" t="s">
        <v>88</v>
      </c>
      <c r="F664" s="25">
        <v>7</v>
      </c>
      <c r="G664" s="25" t="s">
        <v>89</v>
      </c>
      <c r="H664" s="25">
        <v>130</v>
      </c>
      <c r="I664" s="25">
        <v>100</v>
      </c>
      <c r="J664" s="25">
        <v>910</v>
      </c>
      <c r="K664" s="25">
        <v>700</v>
      </c>
      <c r="L664" s="25">
        <v>210</v>
      </c>
      <c r="M664" s="27">
        <v>30</v>
      </c>
      <c r="N664" s="25" t="s">
        <v>60</v>
      </c>
      <c r="O664" s="25" t="s">
        <v>27</v>
      </c>
      <c r="P664" s="25" t="s">
        <v>32</v>
      </c>
    </row>
    <row r="665" spans="1:16" x14ac:dyDescent="0.3">
      <c r="A665" s="25">
        <v>664</v>
      </c>
      <c r="B665" s="26">
        <v>45461</v>
      </c>
      <c r="C665" s="25" t="s">
        <v>61</v>
      </c>
      <c r="D665" s="25" t="s">
        <v>21</v>
      </c>
      <c r="E665" s="25" t="s">
        <v>88</v>
      </c>
      <c r="F665" s="25">
        <v>12</v>
      </c>
      <c r="G665" s="25" t="s">
        <v>89</v>
      </c>
      <c r="H665" s="25">
        <v>130</v>
      </c>
      <c r="I665" s="25">
        <v>100</v>
      </c>
      <c r="J665" s="25">
        <v>1560</v>
      </c>
      <c r="K665" s="25">
        <v>1200</v>
      </c>
      <c r="L665" s="25">
        <v>360</v>
      </c>
      <c r="M665" s="27">
        <v>30</v>
      </c>
      <c r="N665" s="25" t="s">
        <v>60</v>
      </c>
      <c r="O665" s="25" t="s">
        <v>27</v>
      </c>
      <c r="P665" s="25" t="s">
        <v>32</v>
      </c>
    </row>
    <row r="666" spans="1:16" x14ac:dyDescent="0.3">
      <c r="A666" s="25">
        <v>665</v>
      </c>
      <c r="B666" s="26">
        <v>45461</v>
      </c>
      <c r="C666" s="25" t="s">
        <v>61</v>
      </c>
      <c r="D666" s="25" t="s">
        <v>21</v>
      </c>
      <c r="E666" s="25" t="s">
        <v>95</v>
      </c>
      <c r="F666" s="25">
        <v>4</v>
      </c>
      <c r="G666" s="25" t="s">
        <v>89</v>
      </c>
      <c r="H666" s="25">
        <v>150</v>
      </c>
      <c r="I666" s="25">
        <v>100</v>
      </c>
      <c r="J666" s="25">
        <v>600</v>
      </c>
      <c r="K666" s="25">
        <v>400</v>
      </c>
      <c r="L666" s="25">
        <v>200</v>
      </c>
      <c r="M666" s="27">
        <v>50</v>
      </c>
      <c r="N666" s="25" t="s">
        <v>60</v>
      </c>
      <c r="O666" s="25" t="s">
        <v>28</v>
      </c>
      <c r="P666" s="25" t="s">
        <v>32</v>
      </c>
    </row>
    <row r="667" spans="1:16" x14ac:dyDescent="0.3">
      <c r="A667" s="25">
        <v>666</v>
      </c>
      <c r="B667" s="26">
        <v>45461</v>
      </c>
      <c r="C667" s="25" t="s">
        <v>61</v>
      </c>
      <c r="D667" s="25" t="s">
        <v>21</v>
      </c>
      <c r="E667" s="25" t="s">
        <v>98</v>
      </c>
      <c r="F667" s="25">
        <v>5</v>
      </c>
      <c r="G667" s="25" t="s">
        <v>89</v>
      </c>
      <c r="H667" s="25">
        <v>95</v>
      </c>
      <c r="I667" s="25">
        <v>55</v>
      </c>
      <c r="J667" s="25">
        <v>475</v>
      </c>
      <c r="K667" s="25">
        <v>275</v>
      </c>
      <c r="L667" s="25">
        <v>200</v>
      </c>
      <c r="M667" s="27">
        <v>72.727272727272705</v>
      </c>
      <c r="N667" s="25" t="s">
        <v>60</v>
      </c>
      <c r="O667" s="25" t="s">
        <v>27</v>
      </c>
      <c r="P667" s="25" t="s">
        <v>32</v>
      </c>
    </row>
    <row r="668" spans="1:16" x14ac:dyDescent="0.3">
      <c r="A668" s="25">
        <v>667</v>
      </c>
      <c r="B668" s="26">
        <v>45461</v>
      </c>
      <c r="C668" s="25" t="s">
        <v>61</v>
      </c>
      <c r="D668" s="25" t="s">
        <v>21</v>
      </c>
      <c r="E668" s="25" t="s">
        <v>88</v>
      </c>
      <c r="F668" s="25">
        <v>3</v>
      </c>
      <c r="G668" s="25" t="s">
        <v>89</v>
      </c>
      <c r="H668" s="25">
        <v>130</v>
      </c>
      <c r="I668" s="25">
        <v>100</v>
      </c>
      <c r="J668" s="25">
        <v>390</v>
      </c>
      <c r="K668" s="25">
        <v>300</v>
      </c>
      <c r="L668" s="25">
        <v>90</v>
      </c>
      <c r="M668" s="27">
        <v>30</v>
      </c>
      <c r="N668" s="25" t="s">
        <v>60</v>
      </c>
      <c r="O668" s="25" t="s">
        <v>27</v>
      </c>
      <c r="P668" s="25" t="s">
        <v>32</v>
      </c>
    </row>
    <row r="669" spans="1:16" x14ac:dyDescent="0.3">
      <c r="A669" s="25">
        <v>668</v>
      </c>
      <c r="B669" s="26">
        <v>45463</v>
      </c>
      <c r="C669" s="25" t="s">
        <v>61</v>
      </c>
      <c r="D669" s="25" t="s">
        <v>21</v>
      </c>
      <c r="E669" s="25" t="s">
        <v>95</v>
      </c>
      <c r="F669" s="25">
        <v>3</v>
      </c>
      <c r="G669" s="25" t="s">
        <v>89</v>
      </c>
      <c r="H669" s="25">
        <v>150</v>
      </c>
      <c r="I669" s="25">
        <v>100</v>
      </c>
      <c r="J669" s="25">
        <v>450</v>
      </c>
      <c r="K669" s="25">
        <v>300</v>
      </c>
      <c r="L669" s="25">
        <v>150</v>
      </c>
      <c r="M669" s="27">
        <v>50</v>
      </c>
      <c r="N669" s="25" t="s">
        <v>60</v>
      </c>
      <c r="O669" s="25" t="s">
        <v>28</v>
      </c>
      <c r="P669" s="25" t="s">
        <v>32</v>
      </c>
    </row>
    <row r="670" spans="1:16" x14ac:dyDescent="0.3">
      <c r="A670" s="25">
        <v>669</v>
      </c>
      <c r="B670" s="26">
        <v>45463</v>
      </c>
      <c r="C670" s="25" t="s">
        <v>61</v>
      </c>
      <c r="D670" s="25" t="s">
        <v>21</v>
      </c>
      <c r="E670" s="25" t="s">
        <v>93</v>
      </c>
      <c r="F670" s="25">
        <v>2</v>
      </c>
      <c r="G670" s="25" t="s">
        <v>89</v>
      </c>
      <c r="H670" s="25">
        <v>250</v>
      </c>
      <c r="I670" s="25">
        <v>180</v>
      </c>
      <c r="J670" s="25">
        <v>500</v>
      </c>
      <c r="K670" s="25">
        <v>360</v>
      </c>
      <c r="L670" s="25">
        <v>140</v>
      </c>
      <c r="M670" s="27">
        <v>38.8888888888889</v>
      </c>
      <c r="N670" s="25" t="s">
        <v>60</v>
      </c>
      <c r="O670" s="25" t="s">
        <v>27</v>
      </c>
      <c r="P670" s="25" t="s">
        <v>32</v>
      </c>
    </row>
    <row r="671" spans="1:16" x14ac:dyDescent="0.3">
      <c r="A671" s="25">
        <v>670</v>
      </c>
      <c r="B671" s="26">
        <v>45463</v>
      </c>
      <c r="C671" s="25" t="s">
        <v>61</v>
      </c>
      <c r="D671" s="25" t="s">
        <v>21</v>
      </c>
      <c r="E671" s="25" t="s">
        <v>88</v>
      </c>
      <c r="F671" s="25">
        <v>5</v>
      </c>
      <c r="G671" s="25" t="s">
        <v>89</v>
      </c>
      <c r="H671" s="25">
        <v>130</v>
      </c>
      <c r="I671" s="25">
        <v>100</v>
      </c>
      <c r="J671" s="25">
        <v>650</v>
      </c>
      <c r="K671" s="25">
        <v>500</v>
      </c>
      <c r="L671" s="25">
        <v>150</v>
      </c>
      <c r="M671" s="27">
        <v>30</v>
      </c>
      <c r="N671" s="25" t="s">
        <v>60</v>
      </c>
      <c r="O671" s="25" t="s">
        <v>27</v>
      </c>
      <c r="P671" s="25" t="s">
        <v>32</v>
      </c>
    </row>
    <row r="672" spans="1:16" x14ac:dyDescent="0.3">
      <c r="A672" s="25">
        <v>671</v>
      </c>
      <c r="B672" s="26">
        <v>45465</v>
      </c>
      <c r="C672" s="25" t="s">
        <v>61</v>
      </c>
      <c r="D672" s="25" t="s">
        <v>21</v>
      </c>
      <c r="E672" s="25" t="s">
        <v>88</v>
      </c>
      <c r="F672" s="25">
        <v>6</v>
      </c>
      <c r="G672" s="25" t="s">
        <v>89</v>
      </c>
      <c r="H672" s="25">
        <v>130</v>
      </c>
      <c r="I672" s="25">
        <v>100</v>
      </c>
      <c r="J672" s="25">
        <v>780</v>
      </c>
      <c r="K672" s="25">
        <v>600</v>
      </c>
      <c r="L672" s="25">
        <v>180</v>
      </c>
      <c r="M672" s="27">
        <v>30</v>
      </c>
      <c r="N672" s="25" t="s">
        <v>60</v>
      </c>
      <c r="O672" s="25" t="s">
        <v>27</v>
      </c>
      <c r="P672" s="25" t="s">
        <v>32</v>
      </c>
    </row>
    <row r="673" spans="1:16" x14ac:dyDescent="0.3">
      <c r="A673" s="25">
        <v>672</v>
      </c>
      <c r="B673" s="26">
        <v>45465</v>
      </c>
      <c r="C673" s="25" t="s">
        <v>61</v>
      </c>
      <c r="D673" s="25" t="s">
        <v>21</v>
      </c>
      <c r="E673" s="25" t="s">
        <v>88</v>
      </c>
      <c r="F673" s="25">
        <v>8</v>
      </c>
      <c r="G673" s="25" t="s">
        <v>89</v>
      </c>
      <c r="H673" s="25">
        <v>130</v>
      </c>
      <c r="I673" s="25">
        <v>100</v>
      </c>
      <c r="J673" s="25">
        <v>1040</v>
      </c>
      <c r="K673" s="25">
        <v>800</v>
      </c>
      <c r="L673" s="25">
        <v>240</v>
      </c>
      <c r="M673" s="27">
        <v>30</v>
      </c>
      <c r="N673" s="25" t="s">
        <v>60</v>
      </c>
      <c r="O673" s="25" t="s">
        <v>27</v>
      </c>
      <c r="P673" s="25" t="s">
        <v>32</v>
      </c>
    </row>
    <row r="674" spans="1:16" x14ac:dyDescent="0.3">
      <c r="A674" s="25">
        <v>673</v>
      </c>
      <c r="B674" s="26">
        <v>45465</v>
      </c>
      <c r="C674" s="25" t="s">
        <v>61</v>
      </c>
      <c r="D674" s="25" t="s">
        <v>21</v>
      </c>
      <c r="E674" s="25" t="s">
        <v>88</v>
      </c>
      <c r="F674" s="25">
        <v>4</v>
      </c>
      <c r="G674" s="25" t="s">
        <v>89</v>
      </c>
      <c r="H674" s="25">
        <v>130</v>
      </c>
      <c r="I674" s="25">
        <v>100</v>
      </c>
      <c r="J674" s="25">
        <v>520</v>
      </c>
      <c r="K674" s="25">
        <v>400</v>
      </c>
      <c r="L674" s="25">
        <v>120</v>
      </c>
      <c r="M674" s="27">
        <v>30</v>
      </c>
      <c r="N674" s="25" t="s">
        <v>60</v>
      </c>
      <c r="O674" s="25" t="s">
        <v>27</v>
      </c>
      <c r="P674" s="25" t="s">
        <v>32</v>
      </c>
    </row>
    <row r="675" spans="1:16" x14ac:dyDescent="0.3">
      <c r="A675" s="25">
        <v>674</v>
      </c>
      <c r="B675" s="26">
        <v>45465</v>
      </c>
      <c r="C675" s="25" t="s">
        <v>61</v>
      </c>
      <c r="D675" s="25" t="s">
        <v>21</v>
      </c>
      <c r="E675" s="25" t="s">
        <v>94</v>
      </c>
      <c r="F675" s="25">
        <v>6</v>
      </c>
      <c r="G675" s="25" t="s">
        <v>89</v>
      </c>
      <c r="H675" s="25">
        <v>30</v>
      </c>
      <c r="I675" s="25">
        <v>26</v>
      </c>
      <c r="J675" s="25">
        <v>180</v>
      </c>
      <c r="K675" s="25">
        <v>156</v>
      </c>
      <c r="L675" s="25">
        <v>24</v>
      </c>
      <c r="M675" s="27">
        <v>15.384615384615399</v>
      </c>
      <c r="N675" s="25" t="s">
        <v>60</v>
      </c>
      <c r="O675" s="25" t="s">
        <v>27</v>
      </c>
      <c r="P675" s="25" t="s">
        <v>32</v>
      </c>
    </row>
    <row r="676" spans="1:16" x14ac:dyDescent="0.3">
      <c r="A676" s="25">
        <v>675</v>
      </c>
      <c r="B676" s="26">
        <v>45465</v>
      </c>
      <c r="C676" s="25" t="s">
        <v>61</v>
      </c>
      <c r="D676" s="25" t="s">
        <v>21</v>
      </c>
      <c r="E676" s="25" t="s">
        <v>98</v>
      </c>
      <c r="F676" s="25">
        <v>2</v>
      </c>
      <c r="G676" s="25" t="s">
        <v>89</v>
      </c>
      <c r="H676" s="25">
        <v>95</v>
      </c>
      <c r="I676" s="25">
        <v>55</v>
      </c>
      <c r="J676" s="25">
        <v>190</v>
      </c>
      <c r="K676" s="25">
        <v>110</v>
      </c>
      <c r="L676" s="25">
        <v>80</v>
      </c>
      <c r="M676" s="27">
        <v>72.727272727272705</v>
      </c>
      <c r="N676" s="25" t="s">
        <v>60</v>
      </c>
      <c r="O676" s="25" t="s">
        <v>27</v>
      </c>
      <c r="P676" s="25" t="s">
        <v>32</v>
      </c>
    </row>
    <row r="677" spans="1:16" x14ac:dyDescent="0.3">
      <c r="A677" s="25">
        <v>676</v>
      </c>
      <c r="B677" s="26">
        <v>45465</v>
      </c>
      <c r="C677" s="25" t="s">
        <v>61</v>
      </c>
      <c r="D677" s="25" t="s">
        <v>21</v>
      </c>
      <c r="E677" s="25" t="s">
        <v>88</v>
      </c>
      <c r="F677" s="25">
        <v>2</v>
      </c>
      <c r="G677" s="25" t="s">
        <v>89</v>
      </c>
      <c r="H677" s="25">
        <v>130</v>
      </c>
      <c r="I677" s="25">
        <v>100</v>
      </c>
      <c r="J677" s="25">
        <v>260</v>
      </c>
      <c r="K677" s="25">
        <v>200</v>
      </c>
      <c r="L677" s="25">
        <v>60</v>
      </c>
      <c r="M677" s="27">
        <v>30</v>
      </c>
      <c r="N677" s="25" t="s">
        <v>60</v>
      </c>
      <c r="O677" s="25" t="s">
        <v>27</v>
      </c>
      <c r="P677" s="25" t="s">
        <v>32</v>
      </c>
    </row>
    <row r="678" spans="1:16" x14ac:dyDescent="0.3">
      <c r="A678" s="25">
        <v>677</v>
      </c>
      <c r="B678" s="26">
        <v>45466</v>
      </c>
      <c r="C678" s="25" t="s">
        <v>61</v>
      </c>
      <c r="D678" s="25" t="s">
        <v>21</v>
      </c>
      <c r="E678" s="25" t="s">
        <v>88</v>
      </c>
      <c r="F678" s="25">
        <v>5</v>
      </c>
      <c r="G678" s="25" t="s">
        <v>89</v>
      </c>
      <c r="H678" s="25">
        <v>130</v>
      </c>
      <c r="I678" s="25">
        <v>100</v>
      </c>
      <c r="J678" s="25">
        <v>650</v>
      </c>
      <c r="K678" s="25">
        <v>500</v>
      </c>
      <c r="L678" s="25">
        <v>150</v>
      </c>
      <c r="M678" s="27">
        <v>30</v>
      </c>
      <c r="N678" s="25" t="s">
        <v>60</v>
      </c>
      <c r="O678" s="25" t="s">
        <v>27</v>
      </c>
      <c r="P678" s="25" t="s">
        <v>32</v>
      </c>
    </row>
    <row r="679" spans="1:16" x14ac:dyDescent="0.3">
      <c r="A679" s="25">
        <v>678</v>
      </c>
      <c r="B679" s="26">
        <v>45466</v>
      </c>
      <c r="C679" s="25" t="s">
        <v>61</v>
      </c>
      <c r="D679" s="25" t="s">
        <v>21</v>
      </c>
      <c r="E679" s="25" t="s">
        <v>95</v>
      </c>
      <c r="F679" s="25">
        <v>5</v>
      </c>
      <c r="G679" s="25" t="s">
        <v>89</v>
      </c>
      <c r="H679" s="25">
        <v>150</v>
      </c>
      <c r="I679" s="25">
        <v>100</v>
      </c>
      <c r="J679" s="25">
        <v>750</v>
      </c>
      <c r="K679" s="25">
        <v>500</v>
      </c>
      <c r="L679" s="25">
        <v>250</v>
      </c>
      <c r="M679" s="27">
        <v>50</v>
      </c>
      <c r="N679" s="25" t="s">
        <v>60</v>
      </c>
      <c r="O679" s="25" t="s">
        <v>28</v>
      </c>
      <c r="P679" s="25" t="s">
        <v>32</v>
      </c>
    </row>
    <row r="680" spans="1:16" x14ac:dyDescent="0.3">
      <c r="A680" s="25">
        <v>679</v>
      </c>
      <c r="B680" s="26">
        <v>45466</v>
      </c>
      <c r="C680" s="25" t="s">
        <v>61</v>
      </c>
      <c r="D680" s="25" t="s">
        <v>21</v>
      </c>
      <c r="E680" s="25" t="s">
        <v>98</v>
      </c>
      <c r="F680" s="25">
        <v>2</v>
      </c>
      <c r="G680" s="25" t="s">
        <v>89</v>
      </c>
      <c r="H680" s="25">
        <v>95</v>
      </c>
      <c r="I680" s="25">
        <v>55</v>
      </c>
      <c r="J680" s="25">
        <v>190</v>
      </c>
      <c r="K680" s="25">
        <v>110</v>
      </c>
      <c r="L680" s="25">
        <v>80</v>
      </c>
      <c r="M680" s="27">
        <v>72.727272727272705</v>
      </c>
      <c r="N680" s="25" t="s">
        <v>60</v>
      </c>
      <c r="O680" s="25" t="s">
        <v>27</v>
      </c>
      <c r="P680" s="25" t="s">
        <v>32</v>
      </c>
    </row>
    <row r="681" spans="1:16" x14ac:dyDescent="0.3">
      <c r="A681" s="25">
        <v>680</v>
      </c>
      <c r="B681" s="26">
        <v>45466</v>
      </c>
      <c r="C681" s="25" t="s">
        <v>61</v>
      </c>
      <c r="D681" s="25" t="s">
        <v>21</v>
      </c>
      <c r="E681" s="25" t="s">
        <v>88</v>
      </c>
      <c r="F681" s="25">
        <v>2</v>
      </c>
      <c r="G681" s="25" t="s">
        <v>89</v>
      </c>
      <c r="H681" s="25">
        <v>130</v>
      </c>
      <c r="I681" s="25">
        <v>100</v>
      </c>
      <c r="J681" s="25">
        <v>260</v>
      </c>
      <c r="K681" s="25">
        <v>200</v>
      </c>
      <c r="L681" s="25">
        <v>60</v>
      </c>
      <c r="M681" s="27">
        <v>30</v>
      </c>
      <c r="N681" s="25" t="s">
        <v>60</v>
      </c>
      <c r="O681" s="25" t="s">
        <v>27</v>
      </c>
      <c r="P681" s="25" t="s">
        <v>32</v>
      </c>
    </row>
    <row r="682" spans="1:16" x14ac:dyDescent="0.3">
      <c r="A682" s="25">
        <v>681</v>
      </c>
      <c r="B682" s="26">
        <v>45466</v>
      </c>
      <c r="C682" s="25" t="s">
        <v>61</v>
      </c>
      <c r="D682" s="25" t="s">
        <v>21</v>
      </c>
      <c r="E682" s="25" t="s">
        <v>88</v>
      </c>
      <c r="F682" s="25">
        <v>5</v>
      </c>
      <c r="G682" s="25" t="s">
        <v>89</v>
      </c>
      <c r="H682" s="25">
        <v>130</v>
      </c>
      <c r="I682" s="25">
        <v>100</v>
      </c>
      <c r="J682" s="25">
        <v>650</v>
      </c>
      <c r="K682" s="25">
        <v>500</v>
      </c>
      <c r="L682" s="25">
        <v>150</v>
      </c>
      <c r="M682" s="27">
        <v>30</v>
      </c>
      <c r="N682" s="25" t="s">
        <v>60</v>
      </c>
      <c r="O682" s="25" t="s">
        <v>27</v>
      </c>
      <c r="P682" s="25" t="s">
        <v>32</v>
      </c>
    </row>
    <row r="683" spans="1:16" x14ac:dyDescent="0.3">
      <c r="A683" s="25">
        <v>682</v>
      </c>
      <c r="B683" s="26">
        <v>45467</v>
      </c>
      <c r="C683" s="25" t="s">
        <v>61</v>
      </c>
      <c r="D683" s="25" t="s">
        <v>21</v>
      </c>
      <c r="E683" s="25" t="s">
        <v>88</v>
      </c>
      <c r="F683" s="25">
        <v>4</v>
      </c>
      <c r="G683" s="25" t="s">
        <v>89</v>
      </c>
      <c r="H683" s="25">
        <v>130</v>
      </c>
      <c r="I683" s="25">
        <v>100</v>
      </c>
      <c r="J683" s="25">
        <v>520</v>
      </c>
      <c r="K683" s="25">
        <v>400</v>
      </c>
      <c r="L683" s="25">
        <v>120</v>
      </c>
      <c r="M683" s="27">
        <v>30</v>
      </c>
      <c r="N683" s="25" t="s">
        <v>60</v>
      </c>
      <c r="O683" s="25" t="s">
        <v>27</v>
      </c>
      <c r="P683" s="25" t="s">
        <v>32</v>
      </c>
    </row>
    <row r="684" spans="1:16" x14ac:dyDescent="0.3">
      <c r="A684" s="25">
        <v>683</v>
      </c>
      <c r="B684" s="26">
        <v>45467</v>
      </c>
      <c r="C684" s="25" t="s">
        <v>61</v>
      </c>
      <c r="D684" s="25" t="s">
        <v>21</v>
      </c>
      <c r="E684" s="25" t="s">
        <v>88</v>
      </c>
      <c r="F684" s="25">
        <v>7</v>
      </c>
      <c r="G684" s="25" t="s">
        <v>89</v>
      </c>
      <c r="H684" s="25">
        <v>130</v>
      </c>
      <c r="I684" s="25">
        <v>100</v>
      </c>
      <c r="J684" s="25">
        <v>910</v>
      </c>
      <c r="K684" s="25">
        <v>700</v>
      </c>
      <c r="L684" s="25">
        <v>210</v>
      </c>
      <c r="M684" s="27">
        <v>30</v>
      </c>
      <c r="N684" s="25" t="s">
        <v>60</v>
      </c>
      <c r="O684" s="25" t="s">
        <v>27</v>
      </c>
      <c r="P684" s="25" t="s">
        <v>32</v>
      </c>
    </row>
    <row r="685" spans="1:16" x14ac:dyDescent="0.3">
      <c r="A685" s="25">
        <v>684</v>
      </c>
      <c r="B685" s="26">
        <v>45467</v>
      </c>
      <c r="C685" s="25" t="s">
        <v>61</v>
      </c>
      <c r="D685" s="25" t="s">
        <v>21</v>
      </c>
      <c r="E685" s="25" t="s">
        <v>94</v>
      </c>
      <c r="F685" s="25">
        <v>14</v>
      </c>
      <c r="G685" s="25" t="s">
        <v>89</v>
      </c>
      <c r="H685" s="25">
        <v>30</v>
      </c>
      <c r="I685" s="25">
        <v>26</v>
      </c>
      <c r="J685" s="25">
        <v>420</v>
      </c>
      <c r="K685" s="25">
        <v>364</v>
      </c>
      <c r="L685" s="25">
        <v>56</v>
      </c>
      <c r="M685" s="27">
        <v>15.384615384615399</v>
      </c>
      <c r="N685" s="25" t="s">
        <v>60</v>
      </c>
      <c r="O685" s="25" t="s">
        <v>27</v>
      </c>
      <c r="P685" s="25" t="s">
        <v>32</v>
      </c>
    </row>
    <row r="686" spans="1:16" x14ac:dyDescent="0.3">
      <c r="A686" s="25">
        <v>685</v>
      </c>
      <c r="B686" s="26">
        <v>45467</v>
      </c>
      <c r="C686" s="25" t="s">
        <v>61</v>
      </c>
      <c r="D686" s="25" t="s">
        <v>21</v>
      </c>
      <c r="E686" s="25" t="s">
        <v>88</v>
      </c>
      <c r="F686" s="25">
        <v>3</v>
      </c>
      <c r="G686" s="25" t="s">
        <v>89</v>
      </c>
      <c r="H686" s="25">
        <v>130</v>
      </c>
      <c r="I686" s="25">
        <v>100</v>
      </c>
      <c r="J686" s="25">
        <v>390</v>
      </c>
      <c r="K686" s="25">
        <v>300</v>
      </c>
      <c r="L686" s="25">
        <v>90</v>
      </c>
      <c r="M686" s="27">
        <v>30</v>
      </c>
      <c r="N686" s="25" t="s">
        <v>60</v>
      </c>
      <c r="O686" s="25" t="s">
        <v>27</v>
      </c>
      <c r="P686" s="25" t="s">
        <v>32</v>
      </c>
    </row>
    <row r="687" spans="1:16" x14ac:dyDescent="0.3">
      <c r="A687" s="25">
        <v>686</v>
      </c>
      <c r="B687" s="26">
        <v>45467</v>
      </c>
      <c r="C687" s="25" t="s">
        <v>61</v>
      </c>
      <c r="D687" s="25" t="s">
        <v>21</v>
      </c>
      <c r="E687" s="25" t="s">
        <v>88</v>
      </c>
      <c r="F687" s="25">
        <v>7</v>
      </c>
      <c r="G687" s="25" t="s">
        <v>89</v>
      </c>
      <c r="H687" s="25">
        <v>130</v>
      </c>
      <c r="I687" s="25">
        <v>100</v>
      </c>
      <c r="J687" s="25">
        <v>910</v>
      </c>
      <c r="K687" s="25">
        <v>700</v>
      </c>
      <c r="L687" s="25">
        <v>210</v>
      </c>
      <c r="M687" s="27">
        <v>30</v>
      </c>
      <c r="N687" s="25" t="s">
        <v>60</v>
      </c>
      <c r="O687" s="25" t="s">
        <v>27</v>
      </c>
      <c r="P687" s="25" t="s">
        <v>32</v>
      </c>
    </row>
    <row r="688" spans="1:16" x14ac:dyDescent="0.3">
      <c r="A688" s="25">
        <v>687</v>
      </c>
      <c r="B688" s="26">
        <v>45468</v>
      </c>
      <c r="C688" s="25" t="s">
        <v>61</v>
      </c>
      <c r="D688" s="25" t="s">
        <v>21</v>
      </c>
      <c r="E688" s="25" t="s">
        <v>88</v>
      </c>
      <c r="F688" s="25">
        <v>3</v>
      </c>
      <c r="G688" s="25" t="s">
        <v>89</v>
      </c>
      <c r="H688" s="25">
        <v>130</v>
      </c>
      <c r="I688" s="25">
        <v>100</v>
      </c>
      <c r="J688" s="25">
        <v>390</v>
      </c>
      <c r="K688" s="25">
        <v>300</v>
      </c>
      <c r="L688" s="25">
        <v>90</v>
      </c>
      <c r="M688" s="27">
        <v>30</v>
      </c>
      <c r="N688" s="25" t="s">
        <v>60</v>
      </c>
      <c r="O688" s="25" t="s">
        <v>27</v>
      </c>
      <c r="P688" s="25" t="s">
        <v>32</v>
      </c>
    </row>
    <row r="689" spans="1:16" x14ac:dyDescent="0.3">
      <c r="A689" s="25">
        <v>688</v>
      </c>
      <c r="B689" s="26">
        <v>45468</v>
      </c>
      <c r="C689" s="25" t="s">
        <v>61</v>
      </c>
      <c r="D689" s="25" t="s">
        <v>21</v>
      </c>
      <c r="E689" s="25" t="s">
        <v>88</v>
      </c>
      <c r="F689" s="25">
        <v>6</v>
      </c>
      <c r="G689" s="25" t="s">
        <v>89</v>
      </c>
      <c r="H689" s="25">
        <v>130</v>
      </c>
      <c r="I689" s="25">
        <v>100</v>
      </c>
      <c r="J689" s="25">
        <v>780</v>
      </c>
      <c r="K689" s="25">
        <v>600</v>
      </c>
      <c r="L689" s="25">
        <v>180</v>
      </c>
      <c r="M689" s="27">
        <v>30</v>
      </c>
      <c r="N689" s="25" t="s">
        <v>60</v>
      </c>
      <c r="O689" s="25" t="s">
        <v>27</v>
      </c>
      <c r="P689" s="25" t="s">
        <v>32</v>
      </c>
    </row>
    <row r="690" spans="1:16" x14ac:dyDescent="0.3">
      <c r="A690" s="25">
        <v>689</v>
      </c>
      <c r="B690" s="26">
        <v>45468</v>
      </c>
      <c r="C690" s="25" t="s">
        <v>61</v>
      </c>
      <c r="D690" s="25" t="s">
        <v>21</v>
      </c>
      <c r="E690" s="25" t="s">
        <v>88</v>
      </c>
      <c r="F690" s="25">
        <v>4</v>
      </c>
      <c r="G690" s="25" t="s">
        <v>89</v>
      </c>
      <c r="H690" s="25">
        <v>130</v>
      </c>
      <c r="I690" s="25">
        <v>100</v>
      </c>
      <c r="J690" s="25">
        <v>520</v>
      </c>
      <c r="K690" s="25">
        <v>400</v>
      </c>
      <c r="L690" s="25">
        <v>120</v>
      </c>
      <c r="M690" s="27">
        <v>30</v>
      </c>
      <c r="N690" s="25" t="s">
        <v>60</v>
      </c>
      <c r="O690" s="25" t="s">
        <v>27</v>
      </c>
      <c r="P690" s="25" t="s">
        <v>32</v>
      </c>
    </row>
    <row r="691" spans="1:16" x14ac:dyDescent="0.3">
      <c r="A691" s="25">
        <v>690</v>
      </c>
      <c r="B691" s="26">
        <v>45468</v>
      </c>
      <c r="C691" s="25" t="s">
        <v>61</v>
      </c>
      <c r="D691" s="25" t="s">
        <v>21</v>
      </c>
      <c r="E691" s="25" t="s">
        <v>88</v>
      </c>
      <c r="F691" s="25">
        <v>3</v>
      </c>
      <c r="G691" s="25" t="s">
        <v>89</v>
      </c>
      <c r="H691" s="25">
        <v>130</v>
      </c>
      <c r="I691" s="25">
        <v>100</v>
      </c>
      <c r="J691" s="25">
        <v>390</v>
      </c>
      <c r="K691" s="25">
        <v>300</v>
      </c>
      <c r="L691" s="25">
        <v>90</v>
      </c>
      <c r="M691" s="27">
        <v>30</v>
      </c>
      <c r="N691" s="25" t="s">
        <v>60</v>
      </c>
      <c r="O691" s="25" t="s">
        <v>27</v>
      </c>
      <c r="P691" s="25" t="s">
        <v>32</v>
      </c>
    </row>
    <row r="692" spans="1:16" x14ac:dyDescent="0.3">
      <c r="A692" s="25">
        <v>691</v>
      </c>
      <c r="B692" s="26">
        <v>45468</v>
      </c>
      <c r="C692" s="25" t="s">
        <v>61</v>
      </c>
      <c r="D692" s="25" t="s">
        <v>21</v>
      </c>
      <c r="E692" s="25" t="s">
        <v>88</v>
      </c>
      <c r="F692" s="25">
        <v>6</v>
      </c>
      <c r="G692" s="25" t="s">
        <v>89</v>
      </c>
      <c r="H692" s="25">
        <v>130</v>
      </c>
      <c r="I692" s="25">
        <v>100</v>
      </c>
      <c r="J692" s="25">
        <v>780</v>
      </c>
      <c r="K692" s="25">
        <v>600</v>
      </c>
      <c r="L692" s="25">
        <v>180</v>
      </c>
      <c r="M692" s="27">
        <v>30</v>
      </c>
      <c r="N692" s="25" t="s">
        <v>60</v>
      </c>
      <c r="O692" s="25" t="s">
        <v>27</v>
      </c>
      <c r="P692" s="25" t="s">
        <v>32</v>
      </c>
    </row>
    <row r="693" spans="1:16" x14ac:dyDescent="0.3">
      <c r="A693" s="25">
        <v>692</v>
      </c>
      <c r="B693" s="26">
        <v>45469</v>
      </c>
      <c r="C693" s="25" t="s">
        <v>61</v>
      </c>
      <c r="D693" s="25" t="s">
        <v>21</v>
      </c>
      <c r="E693" s="25" t="s">
        <v>88</v>
      </c>
      <c r="F693" s="25">
        <v>3</v>
      </c>
      <c r="G693" s="25" t="s">
        <v>89</v>
      </c>
      <c r="H693" s="25">
        <v>130</v>
      </c>
      <c r="I693" s="25">
        <v>100</v>
      </c>
      <c r="J693" s="25">
        <v>390</v>
      </c>
      <c r="K693" s="25">
        <v>300</v>
      </c>
      <c r="L693" s="25">
        <v>90</v>
      </c>
      <c r="M693" s="27">
        <v>30</v>
      </c>
      <c r="N693" s="25" t="s">
        <v>60</v>
      </c>
      <c r="O693" s="25" t="s">
        <v>27</v>
      </c>
      <c r="P693" s="25" t="s">
        <v>32</v>
      </c>
    </row>
    <row r="694" spans="1:16" x14ac:dyDescent="0.3">
      <c r="A694" s="25">
        <v>693</v>
      </c>
      <c r="B694" s="26">
        <v>45469</v>
      </c>
      <c r="C694" s="25" t="s">
        <v>61</v>
      </c>
      <c r="D694" s="25" t="s">
        <v>21</v>
      </c>
      <c r="E694" s="25" t="s">
        <v>95</v>
      </c>
      <c r="F694" s="25">
        <v>2</v>
      </c>
      <c r="G694" s="25" t="s">
        <v>89</v>
      </c>
      <c r="H694" s="25">
        <v>150</v>
      </c>
      <c r="I694" s="25">
        <v>100</v>
      </c>
      <c r="J694" s="25">
        <v>300</v>
      </c>
      <c r="K694" s="25">
        <v>200</v>
      </c>
      <c r="L694" s="25">
        <v>100</v>
      </c>
      <c r="M694" s="27">
        <v>50</v>
      </c>
      <c r="N694" s="25" t="s">
        <v>60</v>
      </c>
      <c r="O694" s="25" t="s">
        <v>28</v>
      </c>
      <c r="P694" s="25" t="s">
        <v>32</v>
      </c>
    </row>
    <row r="695" spans="1:16" x14ac:dyDescent="0.3">
      <c r="A695" s="25">
        <v>694</v>
      </c>
      <c r="B695" s="26">
        <v>45469</v>
      </c>
      <c r="C695" s="25" t="s">
        <v>61</v>
      </c>
      <c r="D695" s="25" t="s">
        <v>21</v>
      </c>
      <c r="E695" s="25" t="s">
        <v>98</v>
      </c>
      <c r="F695" s="25">
        <v>3</v>
      </c>
      <c r="G695" s="25" t="s">
        <v>89</v>
      </c>
      <c r="H695" s="25">
        <v>95</v>
      </c>
      <c r="I695" s="25">
        <v>55</v>
      </c>
      <c r="J695" s="25">
        <v>285</v>
      </c>
      <c r="K695" s="25">
        <v>165</v>
      </c>
      <c r="L695" s="25">
        <v>120</v>
      </c>
      <c r="M695" s="27">
        <v>72.727272727272705</v>
      </c>
      <c r="N695" s="25" t="s">
        <v>60</v>
      </c>
      <c r="O695" s="25" t="s">
        <v>27</v>
      </c>
      <c r="P695" s="25" t="s">
        <v>32</v>
      </c>
    </row>
    <row r="696" spans="1:16" x14ac:dyDescent="0.3">
      <c r="A696" s="25">
        <v>695</v>
      </c>
      <c r="B696" s="26">
        <v>45470</v>
      </c>
      <c r="C696" s="25" t="s">
        <v>61</v>
      </c>
      <c r="D696" s="25" t="s">
        <v>21</v>
      </c>
      <c r="E696" s="25" t="s">
        <v>88</v>
      </c>
      <c r="F696" s="25">
        <v>4</v>
      </c>
      <c r="G696" s="25" t="s">
        <v>89</v>
      </c>
      <c r="H696" s="25">
        <v>130</v>
      </c>
      <c r="I696" s="25">
        <v>100</v>
      </c>
      <c r="J696" s="25">
        <v>520</v>
      </c>
      <c r="K696" s="25">
        <v>400</v>
      </c>
      <c r="L696" s="25">
        <v>120</v>
      </c>
      <c r="M696" s="27">
        <v>30</v>
      </c>
      <c r="N696" s="25" t="s">
        <v>60</v>
      </c>
      <c r="O696" s="25" t="s">
        <v>27</v>
      </c>
      <c r="P696" s="25" t="s">
        <v>32</v>
      </c>
    </row>
    <row r="697" spans="1:16" x14ac:dyDescent="0.3">
      <c r="A697" s="25">
        <v>696</v>
      </c>
      <c r="B697" s="26">
        <v>45470</v>
      </c>
      <c r="C697" s="25" t="s">
        <v>61</v>
      </c>
      <c r="D697" s="25" t="s">
        <v>21</v>
      </c>
      <c r="E697" s="25" t="s">
        <v>93</v>
      </c>
      <c r="F697" s="25">
        <v>2</v>
      </c>
      <c r="G697" s="25" t="s">
        <v>89</v>
      </c>
      <c r="H697" s="25">
        <v>250</v>
      </c>
      <c r="I697" s="25">
        <v>180</v>
      </c>
      <c r="J697" s="25">
        <v>500</v>
      </c>
      <c r="K697" s="25">
        <v>360</v>
      </c>
      <c r="L697" s="25">
        <v>140</v>
      </c>
      <c r="M697" s="27">
        <v>38.8888888888889</v>
      </c>
      <c r="N697" s="25" t="s">
        <v>60</v>
      </c>
      <c r="O697" s="25" t="s">
        <v>27</v>
      </c>
      <c r="P697" s="25" t="s">
        <v>32</v>
      </c>
    </row>
    <row r="698" spans="1:16" x14ac:dyDescent="0.3">
      <c r="A698" s="25">
        <v>697</v>
      </c>
      <c r="B698" s="26">
        <v>45470</v>
      </c>
      <c r="C698" s="25" t="s">
        <v>61</v>
      </c>
      <c r="D698" s="25" t="s">
        <v>21</v>
      </c>
      <c r="E698" s="25" t="s">
        <v>88</v>
      </c>
      <c r="F698" s="25">
        <v>6</v>
      </c>
      <c r="G698" s="25" t="s">
        <v>89</v>
      </c>
      <c r="H698" s="25">
        <v>130</v>
      </c>
      <c r="I698" s="25">
        <v>100</v>
      </c>
      <c r="J698" s="25">
        <v>780</v>
      </c>
      <c r="K698" s="25">
        <v>600</v>
      </c>
      <c r="L698" s="25">
        <v>180</v>
      </c>
      <c r="M698" s="27">
        <v>30</v>
      </c>
      <c r="N698" s="25" t="s">
        <v>60</v>
      </c>
      <c r="O698" s="25" t="s">
        <v>27</v>
      </c>
      <c r="P698" s="25" t="s">
        <v>32</v>
      </c>
    </row>
    <row r="699" spans="1:16" x14ac:dyDescent="0.3">
      <c r="A699" s="25">
        <v>698</v>
      </c>
      <c r="B699" s="26">
        <v>45470</v>
      </c>
      <c r="C699" s="25" t="s">
        <v>61</v>
      </c>
      <c r="D699" s="25" t="s">
        <v>21</v>
      </c>
      <c r="E699" s="25" t="s">
        <v>95</v>
      </c>
      <c r="F699" s="25">
        <v>4</v>
      </c>
      <c r="G699" s="25" t="s">
        <v>89</v>
      </c>
      <c r="H699" s="25">
        <v>150</v>
      </c>
      <c r="I699" s="25">
        <v>100</v>
      </c>
      <c r="J699" s="25">
        <v>600</v>
      </c>
      <c r="K699" s="25">
        <v>400</v>
      </c>
      <c r="L699" s="25">
        <v>200</v>
      </c>
      <c r="M699" s="27">
        <v>50</v>
      </c>
      <c r="N699" s="25" t="s">
        <v>60</v>
      </c>
      <c r="O699" s="25" t="s">
        <v>28</v>
      </c>
      <c r="P699" s="25" t="s">
        <v>32</v>
      </c>
    </row>
    <row r="700" spans="1:16" x14ac:dyDescent="0.3">
      <c r="A700" s="25">
        <v>699</v>
      </c>
      <c r="B700" s="26">
        <v>45471</v>
      </c>
      <c r="C700" s="25" t="s">
        <v>61</v>
      </c>
      <c r="D700" s="25" t="s">
        <v>21</v>
      </c>
      <c r="E700" s="25" t="s">
        <v>94</v>
      </c>
      <c r="F700" s="25">
        <v>8</v>
      </c>
      <c r="G700" s="25" t="s">
        <v>89</v>
      </c>
      <c r="H700" s="25">
        <v>30</v>
      </c>
      <c r="I700" s="25">
        <v>26</v>
      </c>
      <c r="J700" s="25">
        <v>240</v>
      </c>
      <c r="K700" s="25">
        <v>208</v>
      </c>
      <c r="L700" s="25">
        <v>32</v>
      </c>
      <c r="M700" s="27">
        <v>15.384615384615399</v>
      </c>
      <c r="N700" s="25" t="s">
        <v>60</v>
      </c>
      <c r="O700" s="25" t="s">
        <v>27</v>
      </c>
      <c r="P700" s="25" t="s">
        <v>32</v>
      </c>
    </row>
    <row r="701" spans="1:16" x14ac:dyDescent="0.3">
      <c r="A701" s="25">
        <v>700</v>
      </c>
      <c r="B701" s="26">
        <v>45471</v>
      </c>
      <c r="C701" s="25" t="s">
        <v>61</v>
      </c>
      <c r="D701" s="25" t="s">
        <v>21</v>
      </c>
      <c r="E701" s="25" t="s">
        <v>88</v>
      </c>
      <c r="F701" s="25">
        <v>6</v>
      </c>
      <c r="G701" s="25" t="s">
        <v>89</v>
      </c>
      <c r="H701" s="25">
        <v>130</v>
      </c>
      <c r="I701" s="25">
        <v>100</v>
      </c>
      <c r="J701" s="25">
        <v>780</v>
      </c>
      <c r="K701" s="25">
        <v>600</v>
      </c>
      <c r="L701" s="25">
        <v>180</v>
      </c>
      <c r="M701" s="27">
        <v>30</v>
      </c>
      <c r="N701" s="25" t="s">
        <v>60</v>
      </c>
      <c r="O701" s="25" t="s">
        <v>27</v>
      </c>
      <c r="P701" s="25" t="s">
        <v>32</v>
      </c>
    </row>
    <row r="702" spans="1:16" x14ac:dyDescent="0.3">
      <c r="A702" s="25">
        <v>701</v>
      </c>
      <c r="B702" s="26">
        <v>45471</v>
      </c>
      <c r="C702" s="25" t="s">
        <v>61</v>
      </c>
      <c r="D702" s="25" t="s">
        <v>21</v>
      </c>
      <c r="E702" s="25" t="s">
        <v>98</v>
      </c>
      <c r="F702" s="25">
        <v>2</v>
      </c>
      <c r="G702" s="25" t="s">
        <v>89</v>
      </c>
      <c r="H702" s="25">
        <v>95</v>
      </c>
      <c r="I702" s="25">
        <v>55</v>
      </c>
      <c r="J702" s="25">
        <v>190</v>
      </c>
      <c r="K702" s="25">
        <v>110</v>
      </c>
      <c r="L702" s="25">
        <v>80</v>
      </c>
      <c r="M702" s="27">
        <v>72.727272727272705</v>
      </c>
      <c r="N702" s="25" t="s">
        <v>60</v>
      </c>
      <c r="O702" s="25" t="s">
        <v>27</v>
      </c>
      <c r="P702" s="25" t="s">
        <v>32</v>
      </c>
    </row>
    <row r="703" spans="1:16" x14ac:dyDescent="0.3">
      <c r="A703" s="25">
        <v>702</v>
      </c>
      <c r="B703" s="26">
        <v>45471</v>
      </c>
      <c r="C703" s="25" t="s">
        <v>61</v>
      </c>
      <c r="D703" s="25" t="s">
        <v>21</v>
      </c>
      <c r="E703" s="25" t="s">
        <v>88</v>
      </c>
      <c r="F703" s="25">
        <v>6</v>
      </c>
      <c r="G703" s="25" t="s">
        <v>89</v>
      </c>
      <c r="H703" s="25">
        <v>130</v>
      </c>
      <c r="I703" s="25">
        <v>100</v>
      </c>
      <c r="J703" s="25">
        <v>780</v>
      </c>
      <c r="K703" s="25">
        <v>600</v>
      </c>
      <c r="L703" s="25">
        <v>180</v>
      </c>
      <c r="M703" s="27">
        <v>30</v>
      </c>
      <c r="N703" s="25" t="s">
        <v>60</v>
      </c>
      <c r="O703" s="25" t="s">
        <v>27</v>
      </c>
      <c r="P703" s="25" t="s">
        <v>32</v>
      </c>
    </row>
    <row r="704" spans="1:16" x14ac:dyDescent="0.3">
      <c r="A704" s="25">
        <v>703</v>
      </c>
      <c r="B704" s="26">
        <v>45473</v>
      </c>
      <c r="C704" s="25" t="s">
        <v>61</v>
      </c>
      <c r="D704" s="25" t="s">
        <v>21</v>
      </c>
      <c r="E704" s="25" t="s">
        <v>88</v>
      </c>
      <c r="F704" s="25">
        <v>3</v>
      </c>
      <c r="G704" s="25" t="s">
        <v>89</v>
      </c>
      <c r="H704" s="25">
        <v>130</v>
      </c>
      <c r="I704" s="25">
        <v>100</v>
      </c>
      <c r="J704" s="25">
        <v>390</v>
      </c>
      <c r="K704" s="25">
        <v>300</v>
      </c>
      <c r="L704" s="25">
        <v>90</v>
      </c>
      <c r="M704" s="27">
        <v>30</v>
      </c>
      <c r="N704" s="25" t="s">
        <v>60</v>
      </c>
      <c r="O704" s="25" t="s">
        <v>27</v>
      </c>
      <c r="P704" s="25" t="s">
        <v>32</v>
      </c>
    </row>
    <row r="705" spans="1:16" x14ac:dyDescent="0.3">
      <c r="A705" s="25">
        <v>704</v>
      </c>
      <c r="B705" s="26">
        <v>45473</v>
      </c>
      <c r="C705" s="25" t="s">
        <v>61</v>
      </c>
      <c r="D705" s="25" t="s">
        <v>21</v>
      </c>
      <c r="E705" s="25" t="s">
        <v>88</v>
      </c>
      <c r="F705" s="25">
        <v>5</v>
      </c>
      <c r="G705" s="25" t="s">
        <v>89</v>
      </c>
      <c r="H705" s="25">
        <v>130</v>
      </c>
      <c r="I705" s="25">
        <v>100</v>
      </c>
      <c r="J705" s="25">
        <v>650</v>
      </c>
      <c r="K705" s="25">
        <v>500</v>
      </c>
      <c r="L705" s="25">
        <v>150</v>
      </c>
      <c r="M705" s="27">
        <v>30</v>
      </c>
      <c r="N705" s="25" t="s">
        <v>60</v>
      </c>
      <c r="O705" s="25" t="s">
        <v>27</v>
      </c>
      <c r="P705" s="25" t="s">
        <v>32</v>
      </c>
    </row>
    <row r="706" spans="1:16" x14ac:dyDescent="0.3">
      <c r="A706" s="25">
        <v>705</v>
      </c>
      <c r="B706" s="26">
        <v>45473</v>
      </c>
      <c r="C706" s="25" t="s">
        <v>61</v>
      </c>
      <c r="D706" s="25" t="s">
        <v>21</v>
      </c>
      <c r="E706" s="25" t="s">
        <v>88</v>
      </c>
      <c r="F706" s="25">
        <v>6</v>
      </c>
      <c r="G706" s="25" t="s">
        <v>89</v>
      </c>
      <c r="H706" s="25">
        <v>130</v>
      </c>
      <c r="I706" s="25">
        <v>100</v>
      </c>
      <c r="J706" s="25">
        <v>780</v>
      </c>
      <c r="K706" s="25">
        <v>600</v>
      </c>
      <c r="L706" s="25">
        <v>180</v>
      </c>
      <c r="M706" s="27">
        <v>30</v>
      </c>
      <c r="N706" s="25" t="s">
        <v>60</v>
      </c>
      <c r="O706" s="25" t="s">
        <v>27</v>
      </c>
      <c r="P706" s="25" t="s">
        <v>32</v>
      </c>
    </row>
    <row r="707" spans="1:16" x14ac:dyDescent="0.3">
      <c r="A707" s="25">
        <v>706</v>
      </c>
      <c r="B707" s="26">
        <v>45473</v>
      </c>
      <c r="C707" s="25" t="s">
        <v>61</v>
      </c>
      <c r="D707" s="25" t="s">
        <v>21</v>
      </c>
      <c r="E707" s="25" t="s">
        <v>88</v>
      </c>
      <c r="F707" s="25">
        <v>3</v>
      </c>
      <c r="G707" s="25" t="s">
        <v>89</v>
      </c>
      <c r="H707" s="25">
        <v>130</v>
      </c>
      <c r="I707" s="25">
        <v>100</v>
      </c>
      <c r="J707" s="25">
        <v>390</v>
      </c>
      <c r="K707" s="25">
        <v>300</v>
      </c>
      <c r="L707" s="25">
        <v>90</v>
      </c>
      <c r="M707" s="27">
        <v>30</v>
      </c>
      <c r="N707" s="25" t="s">
        <v>60</v>
      </c>
      <c r="O707" s="25" t="s">
        <v>27</v>
      </c>
      <c r="P707" s="25" t="s">
        <v>32</v>
      </c>
    </row>
    <row r="708" spans="1:16" x14ac:dyDescent="0.3">
      <c r="A708" s="25">
        <v>707</v>
      </c>
      <c r="B708" s="26">
        <v>45477</v>
      </c>
      <c r="C708" s="25" t="s">
        <v>62</v>
      </c>
      <c r="D708" s="25" t="s">
        <v>21</v>
      </c>
      <c r="E708" s="25" t="s">
        <v>88</v>
      </c>
      <c r="F708" s="25">
        <v>3</v>
      </c>
      <c r="G708" s="25" t="s">
        <v>89</v>
      </c>
      <c r="H708" s="25">
        <v>130</v>
      </c>
      <c r="I708" s="25">
        <v>100</v>
      </c>
      <c r="J708" s="25">
        <v>390</v>
      </c>
      <c r="K708" s="25">
        <v>300</v>
      </c>
      <c r="L708" s="25">
        <v>90</v>
      </c>
      <c r="M708" s="27">
        <v>30</v>
      </c>
      <c r="N708" s="25" t="s">
        <v>63</v>
      </c>
      <c r="O708" s="25" t="s">
        <v>27</v>
      </c>
      <c r="P708" s="25" t="s">
        <v>32</v>
      </c>
    </row>
    <row r="709" spans="1:16" x14ac:dyDescent="0.3">
      <c r="A709" s="25">
        <v>708</v>
      </c>
      <c r="B709" s="26">
        <v>45477</v>
      </c>
      <c r="C709" s="25" t="s">
        <v>62</v>
      </c>
      <c r="D709" s="25" t="s">
        <v>22</v>
      </c>
      <c r="E709" s="25" t="s">
        <v>90</v>
      </c>
      <c r="F709" s="25">
        <v>2</v>
      </c>
      <c r="G709" s="25" t="s">
        <v>91</v>
      </c>
      <c r="H709" s="25">
        <v>280</v>
      </c>
      <c r="I709" s="25">
        <v>240</v>
      </c>
      <c r="J709" s="25">
        <v>560</v>
      </c>
      <c r="K709" s="25">
        <v>480</v>
      </c>
      <c r="L709" s="25">
        <v>80</v>
      </c>
      <c r="M709" s="27">
        <v>16.6666666666667</v>
      </c>
      <c r="N709" s="25" t="s">
        <v>63</v>
      </c>
      <c r="O709" s="25" t="s">
        <v>28</v>
      </c>
      <c r="P709" s="25" t="s">
        <v>32</v>
      </c>
    </row>
    <row r="710" spans="1:16" x14ac:dyDescent="0.3">
      <c r="A710" s="25">
        <v>709</v>
      </c>
      <c r="B710" s="26">
        <v>45477</v>
      </c>
      <c r="C710" s="25" t="s">
        <v>62</v>
      </c>
      <c r="D710" s="25" t="s">
        <v>21</v>
      </c>
      <c r="E710" s="25" t="s">
        <v>88</v>
      </c>
      <c r="F710" s="25">
        <v>5</v>
      </c>
      <c r="G710" s="25" t="s">
        <v>89</v>
      </c>
      <c r="H710" s="25">
        <v>130</v>
      </c>
      <c r="I710" s="25">
        <v>100</v>
      </c>
      <c r="J710" s="25">
        <v>650</v>
      </c>
      <c r="K710" s="25">
        <v>500</v>
      </c>
      <c r="L710" s="25">
        <v>150</v>
      </c>
      <c r="M710" s="27">
        <v>30</v>
      </c>
      <c r="N710" s="25" t="s">
        <v>63</v>
      </c>
      <c r="O710" s="25" t="s">
        <v>27</v>
      </c>
      <c r="P710" s="25" t="s">
        <v>32</v>
      </c>
    </row>
    <row r="711" spans="1:16" x14ac:dyDescent="0.3">
      <c r="A711" s="25">
        <v>710</v>
      </c>
      <c r="B711" s="26">
        <v>45477</v>
      </c>
      <c r="C711" s="25" t="s">
        <v>62</v>
      </c>
      <c r="D711" s="25" t="s">
        <v>21</v>
      </c>
      <c r="E711" s="25" t="s">
        <v>88</v>
      </c>
      <c r="F711" s="25">
        <v>3</v>
      </c>
      <c r="G711" s="25" t="s">
        <v>89</v>
      </c>
      <c r="H711" s="25">
        <v>130</v>
      </c>
      <c r="I711" s="25">
        <v>100</v>
      </c>
      <c r="J711" s="25">
        <v>390</v>
      </c>
      <c r="K711" s="25">
        <v>300</v>
      </c>
      <c r="L711" s="25">
        <v>90</v>
      </c>
      <c r="M711" s="27">
        <v>30</v>
      </c>
      <c r="N711" s="25" t="s">
        <v>63</v>
      </c>
      <c r="O711" s="25" t="s">
        <v>27</v>
      </c>
      <c r="P711" s="25" t="s">
        <v>32</v>
      </c>
    </row>
    <row r="712" spans="1:16" x14ac:dyDescent="0.3">
      <c r="A712" s="25">
        <v>711</v>
      </c>
      <c r="B712" s="26">
        <v>45478</v>
      </c>
      <c r="C712" s="25" t="s">
        <v>62</v>
      </c>
      <c r="D712" s="25" t="s">
        <v>22</v>
      </c>
      <c r="E712" s="25" t="s">
        <v>92</v>
      </c>
      <c r="F712" s="25">
        <v>2.5</v>
      </c>
      <c r="G712" s="25" t="s">
        <v>91</v>
      </c>
      <c r="H712" s="25">
        <v>260</v>
      </c>
      <c r="I712" s="25">
        <v>220</v>
      </c>
      <c r="J712" s="25">
        <v>650</v>
      </c>
      <c r="K712" s="25">
        <v>550</v>
      </c>
      <c r="L712" s="25">
        <v>100</v>
      </c>
      <c r="M712" s="27">
        <v>18.181818181818201</v>
      </c>
      <c r="N712" s="25" t="s">
        <v>63</v>
      </c>
      <c r="O712" s="25" t="s">
        <v>28</v>
      </c>
      <c r="P712" s="25" t="s">
        <v>32</v>
      </c>
    </row>
    <row r="713" spans="1:16" x14ac:dyDescent="0.3">
      <c r="A713" s="25">
        <v>712</v>
      </c>
      <c r="B713" s="26">
        <v>45478</v>
      </c>
      <c r="C713" s="25" t="s">
        <v>62</v>
      </c>
      <c r="D713" s="25" t="s">
        <v>21</v>
      </c>
      <c r="E713" s="25" t="s">
        <v>95</v>
      </c>
      <c r="F713" s="25">
        <v>5</v>
      </c>
      <c r="G713" s="25" t="s">
        <v>89</v>
      </c>
      <c r="H713" s="25">
        <v>150</v>
      </c>
      <c r="I713" s="25">
        <v>100</v>
      </c>
      <c r="J713" s="25">
        <v>750</v>
      </c>
      <c r="K713" s="25">
        <v>500</v>
      </c>
      <c r="L713" s="25">
        <v>250</v>
      </c>
      <c r="M713" s="27">
        <v>50</v>
      </c>
      <c r="N713" s="25" t="s">
        <v>63</v>
      </c>
      <c r="O713" s="25" t="s">
        <v>28</v>
      </c>
      <c r="P713" s="25" t="s">
        <v>32</v>
      </c>
    </row>
    <row r="714" spans="1:16" x14ac:dyDescent="0.3">
      <c r="A714" s="25">
        <v>713</v>
      </c>
      <c r="B714" s="26">
        <v>45478</v>
      </c>
      <c r="C714" s="25" t="s">
        <v>62</v>
      </c>
      <c r="D714" s="25" t="s">
        <v>21</v>
      </c>
      <c r="E714" s="25" t="s">
        <v>88</v>
      </c>
      <c r="F714" s="25">
        <v>4</v>
      </c>
      <c r="G714" s="25" t="s">
        <v>89</v>
      </c>
      <c r="H714" s="25">
        <v>130</v>
      </c>
      <c r="I714" s="25">
        <v>100</v>
      </c>
      <c r="J714" s="25">
        <v>520</v>
      </c>
      <c r="K714" s="25">
        <v>400</v>
      </c>
      <c r="L714" s="25">
        <v>120</v>
      </c>
      <c r="M714" s="27">
        <v>30</v>
      </c>
      <c r="N714" s="25" t="s">
        <v>63</v>
      </c>
      <c r="O714" s="25" t="s">
        <v>27</v>
      </c>
      <c r="P714" s="25" t="s">
        <v>32</v>
      </c>
    </row>
    <row r="715" spans="1:16" x14ac:dyDescent="0.3">
      <c r="A715" s="25">
        <v>714</v>
      </c>
      <c r="B715" s="26">
        <v>45478</v>
      </c>
      <c r="C715" s="25" t="s">
        <v>62</v>
      </c>
      <c r="D715" s="25" t="s">
        <v>21</v>
      </c>
      <c r="E715" s="25" t="s">
        <v>93</v>
      </c>
      <c r="F715" s="25">
        <v>4</v>
      </c>
      <c r="G715" s="25" t="s">
        <v>89</v>
      </c>
      <c r="H715" s="25">
        <v>250</v>
      </c>
      <c r="I715" s="25">
        <v>180</v>
      </c>
      <c r="J715" s="25">
        <v>1000</v>
      </c>
      <c r="K715" s="25">
        <v>720</v>
      </c>
      <c r="L715" s="25">
        <v>280</v>
      </c>
      <c r="M715" s="27">
        <v>38.8888888888889</v>
      </c>
      <c r="N715" s="25" t="s">
        <v>63</v>
      </c>
      <c r="O715" s="25" t="s">
        <v>27</v>
      </c>
      <c r="P715" s="25" t="s">
        <v>32</v>
      </c>
    </row>
    <row r="716" spans="1:16" x14ac:dyDescent="0.3">
      <c r="A716" s="25">
        <v>715</v>
      </c>
      <c r="B716" s="26">
        <v>45479</v>
      </c>
      <c r="C716" s="25" t="s">
        <v>62</v>
      </c>
      <c r="D716" s="25" t="s">
        <v>21</v>
      </c>
      <c r="E716" s="25" t="s">
        <v>88</v>
      </c>
      <c r="F716" s="25">
        <v>2</v>
      </c>
      <c r="G716" s="25" t="s">
        <v>89</v>
      </c>
      <c r="H716" s="25">
        <v>130</v>
      </c>
      <c r="I716" s="25">
        <v>100</v>
      </c>
      <c r="J716" s="25">
        <v>260</v>
      </c>
      <c r="K716" s="25">
        <v>200</v>
      </c>
      <c r="L716" s="25">
        <v>60</v>
      </c>
      <c r="M716" s="27">
        <v>30</v>
      </c>
      <c r="N716" s="25" t="s">
        <v>63</v>
      </c>
      <c r="O716" s="25" t="s">
        <v>27</v>
      </c>
      <c r="P716" s="25" t="s">
        <v>32</v>
      </c>
    </row>
    <row r="717" spans="1:16" x14ac:dyDescent="0.3">
      <c r="A717" s="25">
        <v>716</v>
      </c>
      <c r="B717" s="26">
        <v>45479</v>
      </c>
      <c r="C717" s="25" t="s">
        <v>62</v>
      </c>
      <c r="D717" s="25" t="s">
        <v>21</v>
      </c>
      <c r="E717" s="25" t="s">
        <v>88</v>
      </c>
      <c r="F717" s="25">
        <v>3</v>
      </c>
      <c r="G717" s="25" t="s">
        <v>89</v>
      </c>
      <c r="H717" s="25">
        <v>130</v>
      </c>
      <c r="I717" s="25">
        <v>100</v>
      </c>
      <c r="J717" s="25">
        <v>390</v>
      </c>
      <c r="K717" s="25">
        <v>300</v>
      </c>
      <c r="L717" s="25">
        <v>90</v>
      </c>
      <c r="M717" s="27">
        <v>30</v>
      </c>
      <c r="N717" s="25" t="s">
        <v>63</v>
      </c>
      <c r="O717" s="25" t="s">
        <v>27</v>
      </c>
      <c r="P717" s="25" t="s">
        <v>32</v>
      </c>
    </row>
    <row r="718" spans="1:16" x14ac:dyDescent="0.3">
      <c r="A718" s="25">
        <v>717</v>
      </c>
      <c r="B718" s="26">
        <v>45479</v>
      </c>
      <c r="C718" s="25" t="s">
        <v>62</v>
      </c>
      <c r="D718" s="25" t="s">
        <v>21</v>
      </c>
      <c r="E718" s="25" t="s">
        <v>88</v>
      </c>
      <c r="F718" s="25">
        <v>4</v>
      </c>
      <c r="G718" s="25" t="s">
        <v>89</v>
      </c>
      <c r="H718" s="25">
        <v>130</v>
      </c>
      <c r="I718" s="25">
        <v>100</v>
      </c>
      <c r="J718" s="25">
        <v>520</v>
      </c>
      <c r="K718" s="25">
        <v>400</v>
      </c>
      <c r="L718" s="25">
        <v>120</v>
      </c>
      <c r="M718" s="27">
        <v>30</v>
      </c>
      <c r="N718" s="25" t="s">
        <v>63</v>
      </c>
      <c r="O718" s="25" t="s">
        <v>27</v>
      </c>
      <c r="P718" s="25" t="s">
        <v>32</v>
      </c>
    </row>
    <row r="719" spans="1:16" x14ac:dyDescent="0.3">
      <c r="A719" s="25">
        <v>718</v>
      </c>
      <c r="B719" s="26">
        <v>45480</v>
      </c>
      <c r="C719" s="25" t="s">
        <v>62</v>
      </c>
      <c r="D719" s="25" t="s">
        <v>21</v>
      </c>
      <c r="E719" s="25" t="s">
        <v>88</v>
      </c>
      <c r="F719" s="25">
        <v>2</v>
      </c>
      <c r="G719" s="25" t="s">
        <v>89</v>
      </c>
      <c r="H719" s="25">
        <v>130</v>
      </c>
      <c r="I719" s="25">
        <v>100</v>
      </c>
      <c r="J719" s="25">
        <v>260</v>
      </c>
      <c r="K719" s="25">
        <v>200</v>
      </c>
      <c r="L719" s="25">
        <v>60</v>
      </c>
      <c r="M719" s="27">
        <v>30</v>
      </c>
      <c r="N719" s="25" t="s">
        <v>63</v>
      </c>
      <c r="O719" s="25" t="s">
        <v>27</v>
      </c>
      <c r="P719" s="25" t="s">
        <v>32</v>
      </c>
    </row>
    <row r="720" spans="1:16" x14ac:dyDescent="0.3">
      <c r="A720" s="25">
        <v>719</v>
      </c>
      <c r="B720" s="26">
        <v>45480</v>
      </c>
      <c r="C720" s="25" t="s">
        <v>62</v>
      </c>
      <c r="D720" s="25" t="s">
        <v>21</v>
      </c>
      <c r="E720" s="25" t="s">
        <v>88</v>
      </c>
      <c r="F720" s="25">
        <v>2</v>
      </c>
      <c r="G720" s="25" t="s">
        <v>89</v>
      </c>
      <c r="H720" s="25">
        <v>130</v>
      </c>
      <c r="I720" s="25">
        <v>100</v>
      </c>
      <c r="J720" s="25">
        <v>260</v>
      </c>
      <c r="K720" s="25">
        <v>200</v>
      </c>
      <c r="L720" s="25">
        <v>60</v>
      </c>
      <c r="M720" s="27">
        <v>30</v>
      </c>
      <c r="N720" s="25" t="s">
        <v>63</v>
      </c>
      <c r="O720" s="25" t="s">
        <v>27</v>
      </c>
      <c r="P720" s="25" t="s">
        <v>32</v>
      </c>
    </row>
    <row r="721" spans="1:16" x14ac:dyDescent="0.3">
      <c r="A721" s="25">
        <v>720</v>
      </c>
      <c r="B721" s="26">
        <v>45480</v>
      </c>
      <c r="C721" s="25" t="s">
        <v>62</v>
      </c>
      <c r="D721" s="25" t="s">
        <v>21</v>
      </c>
      <c r="E721" s="25" t="s">
        <v>95</v>
      </c>
      <c r="F721" s="25">
        <v>5</v>
      </c>
      <c r="G721" s="25" t="s">
        <v>89</v>
      </c>
      <c r="H721" s="25">
        <v>150</v>
      </c>
      <c r="I721" s="25">
        <v>100</v>
      </c>
      <c r="J721" s="25">
        <v>750</v>
      </c>
      <c r="K721" s="25">
        <v>500</v>
      </c>
      <c r="L721" s="25">
        <v>250</v>
      </c>
      <c r="M721" s="27">
        <v>50</v>
      </c>
      <c r="N721" s="25" t="s">
        <v>63</v>
      </c>
      <c r="O721" s="25" t="s">
        <v>28</v>
      </c>
      <c r="P721" s="25" t="s">
        <v>32</v>
      </c>
    </row>
    <row r="722" spans="1:16" x14ac:dyDescent="0.3">
      <c r="A722" s="25">
        <v>721</v>
      </c>
      <c r="B722" s="26">
        <v>45481</v>
      </c>
      <c r="C722" s="25" t="s">
        <v>62</v>
      </c>
      <c r="D722" s="25" t="s">
        <v>21</v>
      </c>
      <c r="E722" s="25" t="s">
        <v>88</v>
      </c>
      <c r="F722" s="25">
        <v>5</v>
      </c>
      <c r="G722" s="25" t="s">
        <v>89</v>
      </c>
      <c r="H722" s="25">
        <v>130</v>
      </c>
      <c r="I722" s="25">
        <v>100</v>
      </c>
      <c r="J722" s="25">
        <v>650</v>
      </c>
      <c r="K722" s="25">
        <v>500</v>
      </c>
      <c r="L722" s="25">
        <v>150</v>
      </c>
      <c r="M722" s="27">
        <v>30</v>
      </c>
      <c r="N722" s="25" t="s">
        <v>63</v>
      </c>
      <c r="O722" s="25" t="s">
        <v>27</v>
      </c>
      <c r="P722" s="25" t="s">
        <v>32</v>
      </c>
    </row>
    <row r="723" spans="1:16" x14ac:dyDescent="0.3">
      <c r="A723" s="25">
        <v>722</v>
      </c>
      <c r="B723" s="26">
        <v>45481</v>
      </c>
      <c r="C723" s="25" t="s">
        <v>62</v>
      </c>
      <c r="D723" s="25" t="s">
        <v>21</v>
      </c>
      <c r="E723" s="25" t="s">
        <v>88</v>
      </c>
      <c r="F723" s="25">
        <v>2</v>
      </c>
      <c r="G723" s="25" t="s">
        <v>89</v>
      </c>
      <c r="H723" s="25">
        <v>130</v>
      </c>
      <c r="I723" s="25">
        <v>100</v>
      </c>
      <c r="J723" s="25">
        <v>260</v>
      </c>
      <c r="K723" s="25">
        <v>200</v>
      </c>
      <c r="L723" s="25">
        <v>60</v>
      </c>
      <c r="M723" s="27">
        <v>30</v>
      </c>
      <c r="N723" s="25" t="s">
        <v>63</v>
      </c>
      <c r="O723" s="25" t="s">
        <v>27</v>
      </c>
      <c r="P723" s="25" t="s">
        <v>32</v>
      </c>
    </row>
    <row r="724" spans="1:16" x14ac:dyDescent="0.3">
      <c r="A724" s="25">
        <v>723</v>
      </c>
      <c r="B724" s="26">
        <v>45481</v>
      </c>
      <c r="C724" s="25" t="s">
        <v>62</v>
      </c>
      <c r="D724" s="25" t="s">
        <v>21</v>
      </c>
      <c r="E724" s="25" t="s">
        <v>98</v>
      </c>
      <c r="F724" s="25">
        <v>2</v>
      </c>
      <c r="G724" s="25" t="s">
        <v>89</v>
      </c>
      <c r="H724" s="25">
        <v>95</v>
      </c>
      <c r="I724" s="25">
        <v>55</v>
      </c>
      <c r="J724" s="25">
        <v>190</v>
      </c>
      <c r="K724" s="25">
        <v>110</v>
      </c>
      <c r="L724" s="25">
        <v>80</v>
      </c>
      <c r="M724" s="27">
        <v>72.727272727272705</v>
      </c>
      <c r="N724" s="25" t="s">
        <v>63</v>
      </c>
      <c r="O724" s="25" t="s">
        <v>27</v>
      </c>
      <c r="P724" s="25" t="s">
        <v>32</v>
      </c>
    </row>
    <row r="725" spans="1:16" x14ac:dyDescent="0.3">
      <c r="A725" s="25">
        <v>724</v>
      </c>
      <c r="B725" s="26">
        <v>45481</v>
      </c>
      <c r="C725" s="25" t="s">
        <v>62</v>
      </c>
      <c r="D725" s="25" t="s">
        <v>21</v>
      </c>
      <c r="E725" s="25" t="s">
        <v>88</v>
      </c>
      <c r="F725" s="25">
        <v>2</v>
      </c>
      <c r="G725" s="25" t="s">
        <v>89</v>
      </c>
      <c r="H725" s="25">
        <v>130</v>
      </c>
      <c r="I725" s="25">
        <v>100</v>
      </c>
      <c r="J725" s="25">
        <v>260</v>
      </c>
      <c r="K725" s="25">
        <v>200</v>
      </c>
      <c r="L725" s="25">
        <v>60</v>
      </c>
      <c r="M725" s="27">
        <v>30</v>
      </c>
      <c r="N725" s="25" t="s">
        <v>63</v>
      </c>
      <c r="O725" s="25" t="s">
        <v>27</v>
      </c>
      <c r="P725" s="25" t="s">
        <v>32</v>
      </c>
    </row>
    <row r="726" spans="1:16" x14ac:dyDescent="0.3">
      <c r="A726" s="25">
        <v>725</v>
      </c>
      <c r="B726" s="26">
        <v>45482</v>
      </c>
      <c r="C726" s="25" t="s">
        <v>62</v>
      </c>
      <c r="D726" s="25" t="s">
        <v>21</v>
      </c>
      <c r="E726" s="25" t="s">
        <v>94</v>
      </c>
      <c r="F726" s="25">
        <v>16</v>
      </c>
      <c r="G726" s="25" t="s">
        <v>89</v>
      </c>
      <c r="H726" s="25">
        <v>30</v>
      </c>
      <c r="I726" s="25">
        <v>26</v>
      </c>
      <c r="J726" s="25">
        <v>480</v>
      </c>
      <c r="K726" s="25">
        <v>416</v>
      </c>
      <c r="L726" s="25">
        <v>64</v>
      </c>
      <c r="M726" s="27">
        <v>15.384615384615399</v>
      </c>
      <c r="N726" s="25" t="s">
        <v>63</v>
      </c>
      <c r="O726" s="25" t="s">
        <v>27</v>
      </c>
      <c r="P726" s="25" t="s">
        <v>32</v>
      </c>
    </row>
    <row r="727" spans="1:16" x14ac:dyDescent="0.3">
      <c r="A727" s="25">
        <v>726</v>
      </c>
      <c r="B727" s="26">
        <v>45482</v>
      </c>
      <c r="C727" s="25" t="s">
        <v>62</v>
      </c>
      <c r="D727" s="25" t="s">
        <v>21</v>
      </c>
      <c r="E727" s="25" t="s">
        <v>95</v>
      </c>
      <c r="F727" s="25">
        <v>5</v>
      </c>
      <c r="G727" s="25" t="s">
        <v>89</v>
      </c>
      <c r="H727" s="25">
        <v>150</v>
      </c>
      <c r="I727" s="25">
        <v>100</v>
      </c>
      <c r="J727" s="25">
        <v>750</v>
      </c>
      <c r="K727" s="25">
        <v>500</v>
      </c>
      <c r="L727" s="25">
        <v>250</v>
      </c>
      <c r="M727" s="27">
        <v>50</v>
      </c>
      <c r="N727" s="25" t="s">
        <v>63</v>
      </c>
      <c r="O727" s="25" t="s">
        <v>28</v>
      </c>
      <c r="P727" s="25" t="s">
        <v>32</v>
      </c>
    </row>
    <row r="728" spans="1:16" x14ac:dyDescent="0.3">
      <c r="A728" s="25">
        <v>727</v>
      </c>
      <c r="B728" s="26">
        <v>45482</v>
      </c>
      <c r="C728" s="25" t="s">
        <v>62</v>
      </c>
      <c r="D728" s="25" t="s">
        <v>21</v>
      </c>
      <c r="E728" s="25" t="s">
        <v>88</v>
      </c>
      <c r="F728" s="25">
        <v>4</v>
      </c>
      <c r="G728" s="25" t="s">
        <v>89</v>
      </c>
      <c r="H728" s="25">
        <v>130</v>
      </c>
      <c r="I728" s="25">
        <v>100</v>
      </c>
      <c r="J728" s="25">
        <v>520</v>
      </c>
      <c r="K728" s="25">
        <v>400</v>
      </c>
      <c r="L728" s="25">
        <v>120</v>
      </c>
      <c r="M728" s="27">
        <v>30</v>
      </c>
      <c r="N728" s="25" t="s">
        <v>63</v>
      </c>
      <c r="O728" s="25" t="s">
        <v>27</v>
      </c>
      <c r="P728" s="25" t="s">
        <v>32</v>
      </c>
    </row>
    <row r="729" spans="1:16" x14ac:dyDescent="0.3">
      <c r="A729" s="25">
        <v>728</v>
      </c>
      <c r="B729" s="26">
        <v>45482</v>
      </c>
      <c r="C729" s="25" t="s">
        <v>62</v>
      </c>
      <c r="D729" s="25" t="s">
        <v>21</v>
      </c>
      <c r="E729" s="25" t="s">
        <v>88</v>
      </c>
      <c r="F729" s="25">
        <v>3</v>
      </c>
      <c r="G729" s="25" t="s">
        <v>89</v>
      </c>
      <c r="H729" s="25">
        <v>130</v>
      </c>
      <c r="I729" s="25">
        <v>100</v>
      </c>
      <c r="J729" s="25">
        <v>390</v>
      </c>
      <c r="K729" s="25">
        <v>300</v>
      </c>
      <c r="L729" s="25">
        <v>90</v>
      </c>
      <c r="M729" s="27">
        <v>30</v>
      </c>
      <c r="N729" s="25" t="s">
        <v>63</v>
      </c>
      <c r="O729" s="25" t="s">
        <v>27</v>
      </c>
      <c r="P729" s="25" t="s">
        <v>32</v>
      </c>
    </row>
    <row r="730" spans="1:16" x14ac:dyDescent="0.3">
      <c r="A730" s="25">
        <v>729</v>
      </c>
      <c r="B730" s="26">
        <v>45482</v>
      </c>
      <c r="C730" s="25" t="s">
        <v>62</v>
      </c>
      <c r="D730" s="25" t="s">
        <v>21</v>
      </c>
      <c r="E730" s="25" t="s">
        <v>95</v>
      </c>
      <c r="F730" s="25">
        <v>7</v>
      </c>
      <c r="G730" s="25" t="s">
        <v>89</v>
      </c>
      <c r="H730" s="25">
        <v>150</v>
      </c>
      <c r="I730" s="25">
        <v>100</v>
      </c>
      <c r="J730" s="25">
        <v>1050</v>
      </c>
      <c r="K730" s="25">
        <v>700</v>
      </c>
      <c r="L730" s="25">
        <v>350</v>
      </c>
      <c r="M730" s="27">
        <v>50</v>
      </c>
      <c r="N730" s="25" t="s">
        <v>63</v>
      </c>
      <c r="O730" s="25" t="s">
        <v>28</v>
      </c>
      <c r="P730" s="25" t="s">
        <v>32</v>
      </c>
    </row>
    <row r="731" spans="1:16" x14ac:dyDescent="0.3">
      <c r="A731" s="25">
        <v>730</v>
      </c>
      <c r="B731" s="26">
        <v>45482</v>
      </c>
      <c r="C731" s="25" t="s">
        <v>62</v>
      </c>
      <c r="D731" s="25" t="s">
        <v>21</v>
      </c>
      <c r="E731" s="25" t="s">
        <v>88</v>
      </c>
      <c r="F731" s="25">
        <v>14</v>
      </c>
      <c r="G731" s="25" t="s">
        <v>89</v>
      </c>
      <c r="H731" s="25">
        <v>130</v>
      </c>
      <c r="I731" s="25">
        <v>100</v>
      </c>
      <c r="J731" s="25">
        <v>1820</v>
      </c>
      <c r="K731" s="25">
        <v>1400</v>
      </c>
      <c r="L731" s="25">
        <v>420</v>
      </c>
      <c r="M731" s="27">
        <v>30</v>
      </c>
      <c r="N731" s="25" t="s">
        <v>63</v>
      </c>
      <c r="O731" s="25" t="s">
        <v>27</v>
      </c>
      <c r="P731" s="25" t="s">
        <v>32</v>
      </c>
    </row>
    <row r="732" spans="1:16" x14ac:dyDescent="0.3">
      <c r="A732" s="25">
        <v>731</v>
      </c>
      <c r="B732" s="26">
        <v>45482</v>
      </c>
      <c r="C732" s="25" t="s">
        <v>62</v>
      </c>
      <c r="D732" s="25" t="s">
        <v>21</v>
      </c>
      <c r="E732" s="25" t="s">
        <v>88</v>
      </c>
      <c r="F732" s="25">
        <v>2</v>
      </c>
      <c r="G732" s="25" t="s">
        <v>89</v>
      </c>
      <c r="H732" s="25">
        <v>130</v>
      </c>
      <c r="I732" s="25">
        <v>100</v>
      </c>
      <c r="J732" s="25">
        <v>260</v>
      </c>
      <c r="K732" s="25">
        <v>200</v>
      </c>
      <c r="L732" s="25">
        <v>60</v>
      </c>
      <c r="M732" s="27">
        <v>30</v>
      </c>
      <c r="N732" s="25" t="s">
        <v>63</v>
      </c>
      <c r="O732" s="25" t="s">
        <v>27</v>
      </c>
      <c r="P732" s="25" t="s">
        <v>32</v>
      </c>
    </row>
    <row r="733" spans="1:16" x14ac:dyDescent="0.3">
      <c r="A733" s="25">
        <v>732</v>
      </c>
      <c r="B733" s="26">
        <v>45482</v>
      </c>
      <c r="C733" s="25" t="s">
        <v>62</v>
      </c>
      <c r="D733" s="25" t="s">
        <v>21</v>
      </c>
      <c r="E733" s="25" t="s">
        <v>88</v>
      </c>
      <c r="F733" s="25">
        <v>16</v>
      </c>
      <c r="G733" s="25" t="s">
        <v>89</v>
      </c>
      <c r="H733" s="25">
        <v>130</v>
      </c>
      <c r="I733" s="25">
        <v>100</v>
      </c>
      <c r="J733" s="25">
        <v>2080</v>
      </c>
      <c r="K733" s="25">
        <v>1600</v>
      </c>
      <c r="L733" s="25">
        <v>480</v>
      </c>
      <c r="M733" s="27">
        <v>30</v>
      </c>
      <c r="N733" s="25" t="s">
        <v>63</v>
      </c>
      <c r="O733" s="25" t="s">
        <v>27</v>
      </c>
      <c r="P733" s="25" t="s">
        <v>32</v>
      </c>
    </row>
    <row r="734" spans="1:16" x14ac:dyDescent="0.3">
      <c r="A734" s="25">
        <v>733</v>
      </c>
      <c r="B734" s="26">
        <v>45482</v>
      </c>
      <c r="C734" s="25" t="s">
        <v>62</v>
      </c>
      <c r="D734" s="25" t="s">
        <v>21</v>
      </c>
      <c r="E734" s="25" t="s">
        <v>94</v>
      </c>
      <c r="F734" s="25">
        <v>24</v>
      </c>
      <c r="G734" s="25" t="s">
        <v>89</v>
      </c>
      <c r="H734" s="25">
        <v>30</v>
      </c>
      <c r="I734" s="25">
        <v>26</v>
      </c>
      <c r="J734" s="25">
        <v>720</v>
      </c>
      <c r="K734" s="25">
        <v>624</v>
      </c>
      <c r="L734" s="25">
        <v>96</v>
      </c>
      <c r="M734" s="27">
        <v>15.384615384615399</v>
      </c>
      <c r="N734" s="25" t="s">
        <v>63</v>
      </c>
      <c r="O734" s="25" t="s">
        <v>27</v>
      </c>
      <c r="P734" s="25" t="s">
        <v>32</v>
      </c>
    </row>
    <row r="735" spans="1:16" x14ac:dyDescent="0.3">
      <c r="A735" s="25">
        <v>734</v>
      </c>
      <c r="B735" s="26">
        <v>45482</v>
      </c>
      <c r="C735" s="25" t="s">
        <v>62</v>
      </c>
      <c r="D735" s="25" t="s">
        <v>21</v>
      </c>
      <c r="E735" s="25" t="s">
        <v>88</v>
      </c>
      <c r="F735" s="25">
        <v>8</v>
      </c>
      <c r="G735" s="25" t="s">
        <v>89</v>
      </c>
      <c r="H735" s="25">
        <v>130</v>
      </c>
      <c r="I735" s="25">
        <v>100</v>
      </c>
      <c r="J735" s="25">
        <v>1040</v>
      </c>
      <c r="K735" s="25">
        <v>800</v>
      </c>
      <c r="L735" s="25">
        <v>240</v>
      </c>
      <c r="M735" s="27">
        <v>30</v>
      </c>
      <c r="N735" s="25" t="s">
        <v>63</v>
      </c>
      <c r="O735" s="25" t="s">
        <v>27</v>
      </c>
      <c r="P735" s="25" t="s">
        <v>32</v>
      </c>
    </row>
    <row r="736" spans="1:16" x14ac:dyDescent="0.3">
      <c r="A736" s="25">
        <v>735</v>
      </c>
      <c r="B736" s="26">
        <v>45482</v>
      </c>
      <c r="C736" s="25" t="s">
        <v>62</v>
      </c>
      <c r="D736" s="25" t="s">
        <v>21</v>
      </c>
      <c r="E736" s="25" t="s">
        <v>88</v>
      </c>
      <c r="F736" s="25">
        <v>4</v>
      </c>
      <c r="G736" s="25" t="s">
        <v>89</v>
      </c>
      <c r="H736" s="25">
        <v>130</v>
      </c>
      <c r="I736" s="25">
        <v>100</v>
      </c>
      <c r="J736" s="25">
        <v>520</v>
      </c>
      <c r="K736" s="25">
        <v>400</v>
      </c>
      <c r="L736" s="25">
        <v>120</v>
      </c>
      <c r="M736" s="27">
        <v>30</v>
      </c>
      <c r="N736" s="25" t="s">
        <v>63</v>
      </c>
      <c r="O736" s="25" t="s">
        <v>27</v>
      </c>
      <c r="P736" s="25" t="s">
        <v>32</v>
      </c>
    </row>
    <row r="737" spans="1:16" x14ac:dyDescent="0.3">
      <c r="A737" s="25">
        <v>736</v>
      </c>
      <c r="B737" s="26">
        <v>45483</v>
      </c>
      <c r="C737" s="25" t="s">
        <v>62</v>
      </c>
      <c r="D737" s="25" t="s">
        <v>21</v>
      </c>
      <c r="E737" s="25" t="s">
        <v>98</v>
      </c>
      <c r="F737" s="25">
        <v>2</v>
      </c>
      <c r="G737" s="25" t="s">
        <v>89</v>
      </c>
      <c r="H737" s="25">
        <v>95</v>
      </c>
      <c r="I737" s="25">
        <v>55</v>
      </c>
      <c r="J737" s="25">
        <v>190</v>
      </c>
      <c r="K737" s="25">
        <v>110</v>
      </c>
      <c r="L737" s="25">
        <v>80</v>
      </c>
      <c r="M737" s="27">
        <v>72.727272727272705</v>
      </c>
      <c r="N737" s="25" t="s">
        <v>63</v>
      </c>
      <c r="O737" s="25" t="s">
        <v>27</v>
      </c>
      <c r="P737" s="25" t="s">
        <v>32</v>
      </c>
    </row>
    <row r="738" spans="1:16" x14ac:dyDescent="0.3">
      <c r="A738" s="25">
        <v>737</v>
      </c>
      <c r="B738" s="26">
        <v>45483</v>
      </c>
      <c r="C738" s="25" t="s">
        <v>62</v>
      </c>
      <c r="D738" s="25" t="s">
        <v>21</v>
      </c>
      <c r="E738" s="25" t="s">
        <v>88</v>
      </c>
      <c r="F738" s="25">
        <v>5</v>
      </c>
      <c r="G738" s="25" t="s">
        <v>89</v>
      </c>
      <c r="H738" s="25">
        <v>130</v>
      </c>
      <c r="I738" s="25">
        <v>100</v>
      </c>
      <c r="J738" s="25">
        <v>650</v>
      </c>
      <c r="K738" s="25">
        <v>500</v>
      </c>
      <c r="L738" s="25">
        <v>150</v>
      </c>
      <c r="M738" s="27">
        <v>30</v>
      </c>
      <c r="N738" s="25" t="s">
        <v>63</v>
      </c>
      <c r="O738" s="25" t="s">
        <v>27</v>
      </c>
      <c r="P738" s="25" t="s">
        <v>32</v>
      </c>
    </row>
    <row r="739" spans="1:16" x14ac:dyDescent="0.3">
      <c r="A739" s="25">
        <v>738</v>
      </c>
      <c r="B739" s="26">
        <v>45483</v>
      </c>
      <c r="C739" s="25" t="s">
        <v>62</v>
      </c>
      <c r="D739" s="25" t="s">
        <v>21</v>
      </c>
      <c r="E739" s="25" t="s">
        <v>88</v>
      </c>
      <c r="F739" s="25">
        <v>12</v>
      </c>
      <c r="G739" s="25" t="s">
        <v>89</v>
      </c>
      <c r="H739" s="25">
        <v>130</v>
      </c>
      <c r="I739" s="25">
        <v>100</v>
      </c>
      <c r="J739" s="25">
        <v>1560</v>
      </c>
      <c r="K739" s="25">
        <v>1200</v>
      </c>
      <c r="L739" s="25">
        <v>360</v>
      </c>
      <c r="M739" s="27">
        <v>30</v>
      </c>
      <c r="N739" s="25" t="s">
        <v>63</v>
      </c>
      <c r="O739" s="25" t="s">
        <v>27</v>
      </c>
      <c r="P739" s="25" t="s">
        <v>32</v>
      </c>
    </row>
    <row r="740" spans="1:16" x14ac:dyDescent="0.3">
      <c r="A740" s="25">
        <v>739</v>
      </c>
      <c r="B740" s="26">
        <v>45483</v>
      </c>
      <c r="C740" s="25" t="s">
        <v>62</v>
      </c>
      <c r="D740" s="25" t="s">
        <v>21</v>
      </c>
      <c r="E740" s="25" t="s">
        <v>88</v>
      </c>
      <c r="F740" s="25">
        <v>2</v>
      </c>
      <c r="G740" s="25" t="s">
        <v>89</v>
      </c>
      <c r="H740" s="25">
        <v>130</v>
      </c>
      <c r="I740" s="25">
        <v>100</v>
      </c>
      <c r="J740" s="25">
        <v>260</v>
      </c>
      <c r="K740" s="25">
        <v>200</v>
      </c>
      <c r="L740" s="25">
        <v>60</v>
      </c>
      <c r="M740" s="27">
        <v>30</v>
      </c>
      <c r="N740" s="25" t="s">
        <v>63</v>
      </c>
      <c r="O740" s="25" t="s">
        <v>27</v>
      </c>
      <c r="P740" s="25" t="s">
        <v>32</v>
      </c>
    </row>
    <row r="741" spans="1:16" x14ac:dyDescent="0.3">
      <c r="A741" s="25">
        <v>740</v>
      </c>
      <c r="B741" s="26">
        <v>45483</v>
      </c>
      <c r="C741" s="25" t="s">
        <v>62</v>
      </c>
      <c r="D741" s="25" t="s">
        <v>21</v>
      </c>
      <c r="E741" s="25" t="s">
        <v>95</v>
      </c>
      <c r="F741" s="25">
        <v>9</v>
      </c>
      <c r="G741" s="25" t="s">
        <v>89</v>
      </c>
      <c r="H741" s="25">
        <v>150</v>
      </c>
      <c r="I741" s="25">
        <v>100</v>
      </c>
      <c r="J741" s="25">
        <v>1350</v>
      </c>
      <c r="K741" s="25">
        <v>900</v>
      </c>
      <c r="L741" s="25">
        <v>450</v>
      </c>
      <c r="M741" s="27">
        <v>50</v>
      </c>
      <c r="N741" s="25" t="s">
        <v>63</v>
      </c>
      <c r="O741" s="25" t="s">
        <v>28</v>
      </c>
      <c r="P741" s="25" t="s">
        <v>32</v>
      </c>
    </row>
    <row r="742" spans="1:16" x14ac:dyDescent="0.3">
      <c r="A742" s="25">
        <v>741</v>
      </c>
      <c r="B742" s="26">
        <v>45483</v>
      </c>
      <c r="C742" s="25" t="s">
        <v>62</v>
      </c>
      <c r="D742" s="25" t="s">
        <v>21</v>
      </c>
      <c r="E742" s="25" t="s">
        <v>93</v>
      </c>
      <c r="F742" s="25">
        <v>3</v>
      </c>
      <c r="G742" s="25" t="s">
        <v>89</v>
      </c>
      <c r="H742" s="25">
        <v>250</v>
      </c>
      <c r="I742" s="25">
        <v>180</v>
      </c>
      <c r="J742" s="25">
        <v>750</v>
      </c>
      <c r="K742" s="25">
        <v>540</v>
      </c>
      <c r="L742" s="25">
        <v>210</v>
      </c>
      <c r="M742" s="27">
        <v>38.8888888888889</v>
      </c>
      <c r="N742" s="25" t="s">
        <v>63</v>
      </c>
      <c r="O742" s="25" t="s">
        <v>27</v>
      </c>
      <c r="P742" s="25" t="s">
        <v>32</v>
      </c>
    </row>
    <row r="743" spans="1:16" x14ac:dyDescent="0.3">
      <c r="A743" s="25">
        <v>742</v>
      </c>
      <c r="B743" s="26">
        <v>45483</v>
      </c>
      <c r="C743" s="25" t="s">
        <v>62</v>
      </c>
      <c r="D743" s="25" t="s">
        <v>21</v>
      </c>
      <c r="E743" s="25" t="s">
        <v>95</v>
      </c>
      <c r="F743" s="25">
        <v>6</v>
      </c>
      <c r="G743" s="25" t="s">
        <v>89</v>
      </c>
      <c r="H743" s="25">
        <v>150</v>
      </c>
      <c r="I743" s="25">
        <v>100</v>
      </c>
      <c r="J743" s="25">
        <v>900</v>
      </c>
      <c r="K743" s="25">
        <v>600</v>
      </c>
      <c r="L743" s="25">
        <v>300</v>
      </c>
      <c r="M743" s="27">
        <v>50</v>
      </c>
      <c r="N743" s="25" t="s">
        <v>63</v>
      </c>
      <c r="O743" s="25" t="s">
        <v>28</v>
      </c>
      <c r="P743" s="25" t="s">
        <v>32</v>
      </c>
    </row>
    <row r="744" spans="1:16" x14ac:dyDescent="0.3">
      <c r="A744" s="25">
        <v>743</v>
      </c>
      <c r="B744" s="26">
        <v>45483</v>
      </c>
      <c r="C744" s="25" t="s">
        <v>62</v>
      </c>
      <c r="D744" s="25" t="s">
        <v>21</v>
      </c>
      <c r="E744" s="25" t="s">
        <v>88</v>
      </c>
      <c r="F744" s="25">
        <v>14</v>
      </c>
      <c r="G744" s="25" t="s">
        <v>89</v>
      </c>
      <c r="H744" s="25">
        <v>130</v>
      </c>
      <c r="I744" s="25">
        <v>100</v>
      </c>
      <c r="J744" s="25">
        <v>1820</v>
      </c>
      <c r="K744" s="25">
        <v>1400</v>
      </c>
      <c r="L744" s="25">
        <v>420</v>
      </c>
      <c r="M744" s="27">
        <v>30</v>
      </c>
      <c r="N744" s="25" t="s">
        <v>63</v>
      </c>
      <c r="O744" s="25" t="s">
        <v>27</v>
      </c>
      <c r="P744" s="25" t="s">
        <v>32</v>
      </c>
    </row>
    <row r="745" spans="1:16" x14ac:dyDescent="0.3">
      <c r="A745" s="25">
        <v>744</v>
      </c>
      <c r="B745" s="26">
        <v>45483</v>
      </c>
      <c r="C745" s="25" t="s">
        <v>62</v>
      </c>
      <c r="D745" s="25" t="s">
        <v>21</v>
      </c>
      <c r="E745" s="25" t="s">
        <v>88</v>
      </c>
      <c r="F745" s="25">
        <v>17</v>
      </c>
      <c r="G745" s="25" t="s">
        <v>89</v>
      </c>
      <c r="H745" s="25">
        <v>130</v>
      </c>
      <c r="I745" s="25">
        <v>100</v>
      </c>
      <c r="J745" s="25">
        <v>2210</v>
      </c>
      <c r="K745" s="25">
        <v>1700</v>
      </c>
      <c r="L745" s="25">
        <v>510</v>
      </c>
      <c r="M745" s="27">
        <v>30</v>
      </c>
      <c r="N745" s="25" t="s">
        <v>63</v>
      </c>
      <c r="O745" s="25" t="s">
        <v>27</v>
      </c>
      <c r="P745" s="25" t="s">
        <v>32</v>
      </c>
    </row>
    <row r="746" spans="1:16" x14ac:dyDescent="0.3">
      <c r="A746" s="25">
        <v>745</v>
      </c>
      <c r="B746" s="26">
        <v>45484</v>
      </c>
      <c r="C746" s="25" t="s">
        <v>62</v>
      </c>
      <c r="D746" s="25" t="s">
        <v>21</v>
      </c>
      <c r="E746" s="25" t="s">
        <v>88</v>
      </c>
      <c r="F746" s="25">
        <v>14</v>
      </c>
      <c r="G746" s="25" t="s">
        <v>89</v>
      </c>
      <c r="H746" s="25">
        <v>130</v>
      </c>
      <c r="I746" s="25">
        <v>100</v>
      </c>
      <c r="J746" s="25">
        <v>1820</v>
      </c>
      <c r="K746" s="25">
        <v>1400</v>
      </c>
      <c r="L746" s="25">
        <v>420</v>
      </c>
      <c r="M746" s="27">
        <v>30</v>
      </c>
      <c r="N746" s="25" t="s">
        <v>63</v>
      </c>
      <c r="O746" s="25" t="s">
        <v>27</v>
      </c>
      <c r="P746" s="25" t="s">
        <v>32</v>
      </c>
    </row>
    <row r="747" spans="1:16" x14ac:dyDescent="0.3">
      <c r="A747" s="25">
        <v>746</v>
      </c>
      <c r="B747" s="26">
        <v>45484</v>
      </c>
      <c r="C747" s="25" t="s">
        <v>62</v>
      </c>
      <c r="D747" s="25" t="s">
        <v>22</v>
      </c>
      <c r="E747" s="25" t="s">
        <v>96</v>
      </c>
      <c r="F747" s="25">
        <v>1</v>
      </c>
      <c r="G747" s="25" t="s">
        <v>97</v>
      </c>
      <c r="H747" s="25">
        <v>300</v>
      </c>
      <c r="I747" s="25">
        <v>265</v>
      </c>
      <c r="J747" s="25">
        <v>300</v>
      </c>
      <c r="K747" s="25">
        <v>265</v>
      </c>
      <c r="L747" s="25">
        <v>35</v>
      </c>
      <c r="M747" s="27">
        <v>13.207547169811299</v>
      </c>
      <c r="N747" s="25" t="s">
        <v>63</v>
      </c>
      <c r="O747" s="25" t="s">
        <v>28</v>
      </c>
      <c r="P747" s="25" t="s">
        <v>32</v>
      </c>
    </row>
    <row r="748" spans="1:16" x14ac:dyDescent="0.3">
      <c r="A748" s="25">
        <v>747</v>
      </c>
      <c r="B748" s="26">
        <v>45484</v>
      </c>
      <c r="C748" s="25" t="s">
        <v>62</v>
      </c>
      <c r="D748" s="25" t="s">
        <v>21</v>
      </c>
      <c r="E748" s="25" t="s">
        <v>93</v>
      </c>
      <c r="F748" s="25">
        <v>12</v>
      </c>
      <c r="G748" s="25" t="s">
        <v>89</v>
      </c>
      <c r="H748" s="25">
        <v>250</v>
      </c>
      <c r="I748" s="25">
        <v>180</v>
      </c>
      <c r="J748" s="25">
        <v>3000</v>
      </c>
      <c r="K748" s="25">
        <v>2160</v>
      </c>
      <c r="L748" s="25">
        <v>840</v>
      </c>
      <c r="M748" s="27">
        <v>38.8888888888889</v>
      </c>
      <c r="N748" s="25" t="s">
        <v>63</v>
      </c>
      <c r="O748" s="25" t="s">
        <v>27</v>
      </c>
      <c r="P748" s="25" t="s">
        <v>32</v>
      </c>
    </row>
    <row r="749" spans="1:16" x14ac:dyDescent="0.3">
      <c r="A749" s="25">
        <v>748</v>
      </c>
      <c r="B749" s="26">
        <v>45484</v>
      </c>
      <c r="C749" s="25" t="s">
        <v>62</v>
      </c>
      <c r="D749" s="25" t="s">
        <v>21</v>
      </c>
      <c r="E749" s="25" t="s">
        <v>88</v>
      </c>
      <c r="F749" s="25">
        <v>5</v>
      </c>
      <c r="G749" s="25" t="s">
        <v>89</v>
      </c>
      <c r="H749" s="25">
        <v>130</v>
      </c>
      <c r="I749" s="25">
        <v>100</v>
      </c>
      <c r="J749" s="25">
        <v>650</v>
      </c>
      <c r="K749" s="25">
        <v>500</v>
      </c>
      <c r="L749" s="25">
        <v>150</v>
      </c>
      <c r="M749" s="27">
        <v>30</v>
      </c>
      <c r="N749" s="25" t="s">
        <v>63</v>
      </c>
      <c r="O749" s="25" t="s">
        <v>27</v>
      </c>
      <c r="P749" s="25" t="s">
        <v>32</v>
      </c>
    </row>
    <row r="750" spans="1:16" x14ac:dyDescent="0.3">
      <c r="A750" s="25">
        <v>749</v>
      </c>
      <c r="B750" s="26">
        <v>45484</v>
      </c>
      <c r="C750" s="25" t="s">
        <v>62</v>
      </c>
      <c r="D750" s="25" t="s">
        <v>21</v>
      </c>
      <c r="E750" s="25" t="s">
        <v>88</v>
      </c>
      <c r="F750" s="25">
        <v>3</v>
      </c>
      <c r="G750" s="25" t="s">
        <v>89</v>
      </c>
      <c r="H750" s="25">
        <v>130</v>
      </c>
      <c r="I750" s="25">
        <v>100</v>
      </c>
      <c r="J750" s="25">
        <v>390</v>
      </c>
      <c r="K750" s="25">
        <v>300</v>
      </c>
      <c r="L750" s="25">
        <v>90</v>
      </c>
      <c r="M750" s="27">
        <v>30</v>
      </c>
      <c r="N750" s="25" t="s">
        <v>63</v>
      </c>
      <c r="O750" s="25" t="s">
        <v>27</v>
      </c>
      <c r="P750" s="25" t="s">
        <v>32</v>
      </c>
    </row>
    <row r="751" spans="1:16" x14ac:dyDescent="0.3">
      <c r="A751" s="25">
        <v>750</v>
      </c>
      <c r="B751" s="26">
        <v>45484</v>
      </c>
      <c r="C751" s="25" t="s">
        <v>62</v>
      </c>
      <c r="D751" s="25" t="s">
        <v>21</v>
      </c>
      <c r="E751" s="25" t="s">
        <v>88</v>
      </c>
      <c r="F751" s="25">
        <v>10</v>
      </c>
      <c r="G751" s="25" t="s">
        <v>89</v>
      </c>
      <c r="H751" s="25">
        <v>130</v>
      </c>
      <c r="I751" s="25">
        <v>100</v>
      </c>
      <c r="J751" s="25">
        <v>1300</v>
      </c>
      <c r="K751" s="25">
        <v>1000</v>
      </c>
      <c r="L751" s="25">
        <v>300</v>
      </c>
      <c r="M751" s="27">
        <v>30</v>
      </c>
      <c r="N751" s="25" t="s">
        <v>63</v>
      </c>
      <c r="O751" s="25" t="s">
        <v>27</v>
      </c>
      <c r="P751" s="25" t="s">
        <v>32</v>
      </c>
    </row>
    <row r="752" spans="1:16" x14ac:dyDescent="0.3">
      <c r="A752" s="25">
        <v>751</v>
      </c>
      <c r="B752" s="26">
        <v>45484</v>
      </c>
      <c r="C752" s="25" t="s">
        <v>62</v>
      </c>
      <c r="D752" s="25" t="s">
        <v>21</v>
      </c>
      <c r="E752" s="25" t="s">
        <v>88</v>
      </c>
      <c r="F752" s="25">
        <v>17</v>
      </c>
      <c r="G752" s="25" t="s">
        <v>89</v>
      </c>
      <c r="H752" s="25">
        <v>130</v>
      </c>
      <c r="I752" s="25">
        <v>100</v>
      </c>
      <c r="J752" s="25">
        <v>2210</v>
      </c>
      <c r="K752" s="25">
        <v>1700</v>
      </c>
      <c r="L752" s="25">
        <v>510</v>
      </c>
      <c r="M752" s="27">
        <v>30</v>
      </c>
      <c r="N752" s="25" t="s">
        <v>63</v>
      </c>
      <c r="O752" s="25" t="s">
        <v>27</v>
      </c>
      <c r="P752" s="25" t="s">
        <v>32</v>
      </c>
    </row>
    <row r="753" spans="1:16" x14ac:dyDescent="0.3">
      <c r="A753" s="25">
        <v>752</v>
      </c>
      <c r="B753" s="26">
        <v>45484</v>
      </c>
      <c r="C753" s="25" t="s">
        <v>62</v>
      </c>
      <c r="D753" s="25" t="s">
        <v>21</v>
      </c>
      <c r="E753" s="25" t="s">
        <v>88</v>
      </c>
      <c r="F753" s="25">
        <v>4</v>
      </c>
      <c r="G753" s="25" t="s">
        <v>89</v>
      </c>
      <c r="H753" s="25">
        <v>130</v>
      </c>
      <c r="I753" s="25">
        <v>100</v>
      </c>
      <c r="J753" s="25">
        <v>520</v>
      </c>
      <c r="K753" s="25">
        <v>400</v>
      </c>
      <c r="L753" s="25">
        <v>120</v>
      </c>
      <c r="M753" s="27">
        <v>30</v>
      </c>
      <c r="N753" s="25" t="s">
        <v>63</v>
      </c>
      <c r="O753" s="25" t="s">
        <v>27</v>
      </c>
      <c r="P753" s="25" t="s">
        <v>32</v>
      </c>
    </row>
    <row r="754" spans="1:16" x14ac:dyDescent="0.3">
      <c r="A754" s="25">
        <v>753</v>
      </c>
      <c r="B754" s="26">
        <v>45484</v>
      </c>
      <c r="C754" s="25" t="s">
        <v>62</v>
      </c>
      <c r="D754" s="25" t="s">
        <v>21</v>
      </c>
      <c r="E754" s="25" t="s">
        <v>88</v>
      </c>
      <c r="F754" s="25">
        <v>5</v>
      </c>
      <c r="G754" s="25" t="s">
        <v>89</v>
      </c>
      <c r="H754" s="25">
        <v>130</v>
      </c>
      <c r="I754" s="25">
        <v>100</v>
      </c>
      <c r="J754" s="25">
        <v>650</v>
      </c>
      <c r="K754" s="25">
        <v>500</v>
      </c>
      <c r="L754" s="25">
        <v>150</v>
      </c>
      <c r="M754" s="27">
        <v>30</v>
      </c>
      <c r="N754" s="25" t="s">
        <v>63</v>
      </c>
      <c r="O754" s="25" t="s">
        <v>27</v>
      </c>
      <c r="P754" s="25" t="s">
        <v>32</v>
      </c>
    </row>
    <row r="755" spans="1:16" x14ac:dyDescent="0.3">
      <c r="A755" s="25">
        <v>754</v>
      </c>
      <c r="B755" s="26">
        <v>45485</v>
      </c>
      <c r="C755" s="25" t="s">
        <v>62</v>
      </c>
      <c r="D755" s="25" t="s">
        <v>21</v>
      </c>
      <c r="E755" s="25" t="s">
        <v>94</v>
      </c>
      <c r="F755" s="25">
        <v>24</v>
      </c>
      <c r="G755" s="25" t="s">
        <v>89</v>
      </c>
      <c r="H755" s="25">
        <v>30</v>
      </c>
      <c r="I755" s="25">
        <v>26</v>
      </c>
      <c r="J755" s="25">
        <v>720</v>
      </c>
      <c r="K755" s="25">
        <v>624</v>
      </c>
      <c r="L755" s="25">
        <v>96</v>
      </c>
      <c r="M755" s="27">
        <v>15.384615384615399</v>
      </c>
      <c r="N755" s="25" t="s">
        <v>63</v>
      </c>
      <c r="O755" s="25" t="s">
        <v>27</v>
      </c>
      <c r="P755" s="25" t="s">
        <v>32</v>
      </c>
    </row>
    <row r="756" spans="1:16" x14ac:dyDescent="0.3">
      <c r="A756" s="25">
        <v>755</v>
      </c>
      <c r="B756" s="26">
        <v>45485</v>
      </c>
      <c r="C756" s="25" t="s">
        <v>62</v>
      </c>
      <c r="D756" s="25" t="s">
        <v>21</v>
      </c>
      <c r="E756" s="25" t="s">
        <v>98</v>
      </c>
      <c r="F756" s="25">
        <v>2</v>
      </c>
      <c r="G756" s="25" t="s">
        <v>89</v>
      </c>
      <c r="H756" s="25">
        <v>95</v>
      </c>
      <c r="I756" s="25">
        <v>55</v>
      </c>
      <c r="J756" s="25">
        <v>190</v>
      </c>
      <c r="K756" s="25">
        <v>110</v>
      </c>
      <c r="L756" s="25">
        <v>80</v>
      </c>
      <c r="M756" s="27">
        <v>72.727272727272705</v>
      </c>
      <c r="N756" s="25" t="s">
        <v>63</v>
      </c>
      <c r="O756" s="25" t="s">
        <v>27</v>
      </c>
      <c r="P756" s="25" t="s">
        <v>32</v>
      </c>
    </row>
    <row r="757" spans="1:16" x14ac:dyDescent="0.3">
      <c r="A757" s="25">
        <v>756</v>
      </c>
      <c r="B757" s="26">
        <v>45485</v>
      </c>
      <c r="C757" s="25" t="s">
        <v>62</v>
      </c>
      <c r="D757" s="25" t="s">
        <v>21</v>
      </c>
      <c r="E757" s="25" t="s">
        <v>88</v>
      </c>
      <c r="F757" s="25">
        <v>5</v>
      </c>
      <c r="G757" s="25" t="s">
        <v>89</v>
      </c>
      <c r="H757" s="25">
        <v>130</v>
      </c>
      <c r="I757" s="25">
        <v>100</v>
      </c>
      <c r="J757" s="25">
        <v>650</v>
      </c>
      <c r="K757" s="25">
        <v>500</v>
      </c>
      <c r="L757" s="25">
        <v>150</v>
      </c>
      <c r="M757" s="27">
        <v>30</v>
      </c>
      <c r="N757" s="25" t="s">
        <v>63</v>
      </c>
      <c r="O757" s="25" t="s">
        <v>27</v>
      </c>
      <c r="P757" s="25" t="s">
        <v>32</v>
      </c>
    </row>
    <row r="758" spans="1:16" x14ac:dyDescent="0.3">
      <c r="A758" s="25">
        <v>757</v>
      </c>
      <c r="B758" s="26">
        <v>45485</v>
      </c>
      <c r="C758" s="25" t="s">
        <v>62</v>
      </c>
      <c r="D758" s="25" t="s">
        <v>21</v>
      </c>
      <c r="E758" s="25" t="s">
        <v>88</v>
      </c>
      <c r="F758" s="25">
        <v>4</v>
      </c>
      <c r="G758" s="25" t="s">
        <v>89</v>
      </c>
      <c r="H758" s="25">
        <v>130</v>
      </c>
      <c r="I758" s="25">
        <v>100</v>
      </c>
      <c r="J758" s="25">
        <v>520</v>
      </c>
      <c r="K758" s="25">
        <v>400</v>
      </c>
      <c r="L758" s="25">
        <v>120</v>
      </c>
      <c r="M758" s="27">
        <v>30</v>
      </c>
      <c r="N758" s="25" t="s">
        <v>63</v>
      </c>
      <c r="O758" s="25" t="s">
        <v>27</v>
      </c>
      <c r="P758" s="25" t="s">
        <v>32</v>
      </c>
    </row>
    <row r="759" spans="1:16" x14ac:dyDescent="0.3">
      <c r="A759" s="25">
        <v>758</v>
      </c>
      <c r="B759" s="26">
        <v>45485</v>
      </c>
      <c r="C759" s="25" t="s">
        <v>62</v>
      </c>
      <c r="D759" s="25" t="s">
        <v>21</v>
      </c>
      <c r="E759" s="25" t="s">
        <v>95</v>
      </c>
      <c r="F759" s="25">
        <v>6</v>
      </c>
      <c r="G759" s="25" t="s">
        <v>89</v>
      </c>
      <c r="H759" s="25">
        <v>150</v>
      </c>
      <c r="I759" s="25">
        <v>100</v>
      </c>
      <c r="J759" s="25">
        <v>900</v>
      </c>
      <c r="K759" s="25">
        <v>600</v>
      </c>
      <c r="L759" s="25">
        <v>300</v>
      </c>
      <c r="M759" s="27">
        <v>50</v>
      </c>
      <c r="N759" s="25" t="s">
        <v>63</v>
      </c>
      <c r="O759" s="25" t="s">
        <v>28</v>
      </c>
      <c r="P759" s="25" t="s">
        <v>32</v>
      </c>
    </row>
    <row r="760" spans="1:16" x14ac:dyDescent="0.3">
      <c r="A760" s="25">
        <v>759</v>
      </c>
      <c r="B760" s="26">
        <v>45485</v>
      </c>
      <c r="C760" s="25" t="s">
        <v>62</v>
      </c>
      <c r="D760" s="25" t="s">
        <v>21</v>
      </c>
      <c r="E760" s="25" t="s">
        <v>88</v>
      </c>
      <c r="F760" s="25">
        <v>3</v>
      </c>
      <c r="G760" s="25" t="s">
        <v>89</v>
      </c>
      <c r="H760" s="25">
        <v>130</v>
      </c>
      <c r="I760" s="25">
        <v>100</v>
      </c>
      <c r="J760" s="25">
        <v>390</v>
      </c>
      <c r="K760" s="25">
        <v>300</v>
      </c>
      <c r="L760" s="25">
        <v>90</v>
      </c>
      <c r="M760" s="27">
        <v>30</v>
      </c>
      <c r="N760" s="25" t="s">
        <v>63</v>
      </c>
      <c r="O760" s="25" t="s">
        <v>27</v>
      </c>
      <c r="P760" s="25" t="s">
        <v>32</v>
      </c>
    </row>
    <row r="761" spans="1:16" x14ac:dyDescent="0.3">
      <c r="A761" s="25">
        <v>760</v>
      </c>
      <c r="B761" s="26">
        <v>45485</v>
      </c>
      <c r="C761" s="25" t="s">
        <v>62</v>
      </c>
      <c r="D761" s="25" t="s">
        <v>21</v>
      </c>
      <c r="E761" s="25" t="s">
        <v>88</v>
      </c>
      <c r="F761" s="25">
        <v>13</v>
      </c>
      <c r="G761" s="25" t="s">
        <v>89</v>
      </c>
      <c r="H761" s="25">
        <v>130</v>
      </c>
      <c r="I761" s="25">
        <v>100</v>
      </c>
      <c r="J761" s="25">
        <v>1690</v>
      </c>
      <c r="K761" s="25">
        <v>1300</v>
      </c>
      <c r="L761" s="25">
        <v>390</v>
      </c>
      <c r="M761" s="27">
        <v>30</v>
      </c>
      <c r="N761" s="25" t="s">
        <v>63</v>
      </c>
      <c r="O761" s="25" t="s">
        <v>27</v>
      </c>
      <c r="P761" s="25" t="s">
        <v>32</v>
      </c>
    </row>
    <row r="762" spans="1:16" x14ac:dyDescent="0.3">
      <c r="A762" s="25">
        <v>761</v>
      </c>
      <c r="B762" s="26">
        <v>45485</v>
      </c>
      <c r="C762" s="25" t="s">
        <v>62</v>
      </c>
      <c r="D762" s="25" t="s">
        <v>21</v>
      </c>
      <c r="E762" s="25" t="s">
        <v>95</v>
      </c>
      <c r="F762" s="25">
        <v>6</v>
      </c>
      <c r="G762" s="25" t="s">
        <v>89</v>
      </c>
      <c r="H762" s="25">
        <v>150</v>
      </c>
      <c r="I762" s="25">
        <v>100</v>
      </c>
      <c r="J762" s="25">
        <v>900</v>
      </c>
      <c r="K762" s="25">
        <v>600</v>
      </c>
      <c r="L762" s="25">
        <v>300</v>
      </c>
      <c r="M762" s="27">
        <v>50</v>
      </c>
      <c r="N762" s="25" t="s">
        <v>63</v>
      </c>
      <c r="O762" s="25" t="s">
        <v>28</v>
      </c>
      <c r="P762" s="25" t="s">
        <v>32</v>
      </c>
    </row>
    <row r="763" spans="1:16" x14ac:dyDescent="0.3">
      <c r="A763" s="25">
        <v>762</v>
      </c>
      <c r="B763" s="26">
        <v>45486</v>
      </c>
      <c r="C763" s="25" t="s">
        <v>62</v>
      </c>
      <c r="D763" s="25" t="s">
        <v>21</v>
      </c>
      <c r="E763" s="25" t="s">
        <v>93</v>
      </c>
      <c r="F763" s="25">
        <v>4</v>
      </c>
      <c r="G763" s="25" t="s">
        <v>89</v>
      </c>
      <c r="H763" s="25">
        <v>250</v>
      </c>
      <c r="I763" s="25">
        <v>180</v>
      </c>
      <c r="J763" s="25">
        <v>1000</v>
      </c>
      <c r="K763" s="25">
        <v>720</v>
      </c>
      <c r="L763" s="25">
        <v>280</v>
      </c>
      <c r="M763" s="27">
        <v>38.8888888888889</v>
      </c>
      <c r="N763" s="25" t="s">
        <v>63</v>
      </c>
      <c r="O763" s="25" t="s">
        <v>27</v>
      </c>
      <c r="P763" s="25" t="s">
        <v>32</v>
      </c>
    </row>
    <row r="764" spans="1:16" x14ac:dyDescent="0.3">
      <c r="A764" s="25">
        <v>763</v>
      </c>
      <c r="B764" s="26">
        <v>45486</v>
      </c>
      <c r="C764" s="25" t="s">
        <v>62</v>
      </c>
      <c r="D764" s="25" t="s">
        <v>21</v>
      </c>
      <c r="E764" s="25" t="s">
        <v>94</v>
      </c>
      <c r="F764" s="25">
        <v>14</v>
      </c>
      <c r="G764" s="25" t="s">
        <v>89</v>
      </c>
      <c r="H764" s="25">
        <v>30</v>
      </c>
      <c r="I764" s="25">
        <v>26</v>
      </c>
      <c r="J764" s="25">
        <v>420</v>
      </c>
      <c r="K764" s="25">
        <v>364</v>
      </c>
      <c r="L764" s="25">
        <v>56</v>
      </c>
      <c r="M764" s="27">
        <v>15.384615384615399</v>
      </c>
      <c r="N764" s="25" t="s">
        <v>63</v>
      </c>
      <c r="O764" s="25" t="s">
        <v>27</v>
      </c>
      <c r="P764" s="25" t="s">
        <v>32</v>
      </c>
    </row>
    <row r="765" spans="1:16" x14ac:dyDescent="0.3">
      <c r="A765" s="25">
        <v>764</v>
      </c>
      <c r="B765" s="26">
        <v>45486</v>
      </c>
      <c r="C765" s="25" t="s">
        <v>62</v>
      </c>
      <c r="D765" s="25" t="s">
        <v>21</v>
      </c>
      <c r="E765" s="25" t="s">
        <v>93</v>
      </c>
      <c r="F765" s="25">
        <v>2</v>
      </c>
      <c r="G765" s="25" t="s">
        <v>89</v>
      </c>
      <c r="H765" s="25">
        <v>250</v>
      </c>
      <c r="I765" s="25">
        <v>180</v>
      </c>
      <c r="J765" s="25">
        <v>500</v>
      </c>
      <c r="K765" s="25">
        <v>360</v>
      </c>
      <c r="L765" s="25">
        <v>140</v>
      </c>
      <c r="M765" s="27">
        <v>38.8888888888889</v>
      </c>
      <c r="N765" s="25" t="s">
        <v>63</v>
      </c>
      <c r="O765" s="25" t="s">
        <v>27</v>
      </c>
      <c r="P765" s="25" t="s">
        <v>32</v>
      </c>
    </row>
    <row r="766" spans="1:16" x14ac:dyDescent="0.3">
      <c r="A766" s="25">
        <v>765</v>
      </c>
      <c r="B766" s="26">
        <v>45486</v>
      </c>
      <c r="C766" s="25" t="s">
        <v>62</v>
      </c>
      <c r="D766" s="25" t="s">
        <v>21</v>
      </c>
      <c r="E766" s="25" t="s">
        <v>88</v>
      </c>
      <c r="F766" s="25">
        <v>5</v>
      </c>
      <c r="G766" s="25" t="s">
        <v>89</v>
      </c>
      <c r="H766" s="25">
        <v>130</v>
      </c>
      <c r="I766" s="25">
        <v>100</v>
      </c>
      <c r="J766" s="25">
        <v>650</v>
      </c>
      <c r="K766" s="25">
        <v>500</v>
      </c>
      <c r="L766" s="25">
        <v>150</v>
      </c>
      <c r="M766" s="27">
        <v>30</v>
      </c>
      <c r="N766" s="25" t="s">
        <v>63</v>
      </c>
      <c r="O766" s="25" t="s">
        <v>27</v>
      </c>
      <c r="P766" s="25" t="s">
        <v>32</v>
      </c>
    </row>
    <row r="767" spans="1:16" x14ac:dyDescent="0.3">
      <c r="A767" s="25">
        <v>766</v>
      </c>
      <c r="B767" s="26">
        <v>45486</v>
      </c>
      <c r="C767" s="25" t="s">
        <v>62</v>
      </c>
      <c r="D767" s="25" t="s">
        <v>21</v>
      </c>
      <c r="E767" s="25" t="s">
        <v>88</v>
      </c>
      <c r="F767" s="25">
        <v>4</v>
      </c>
      <c r="G767" s="25" t="s">
        <v>89</v>
      </c>
      <c r="H767" s="25">
        <v>130</v>
      </c>
      <c r="I767" s="25">
        <v>100</v>
      </c>
      <c r="J767" s="25">
        <v>520</v>
      </c>
      <c r="K767" s="25">
        <v>400</v>
      </c>
      <c r="L767" s="25">
        <v>120</v>
      </c>
      <c r="M767" s="27">
        <v>30</v>
      </c>
      <c r="N767" s="25" t="s">
        <v>63</v>
      </c>
      <c r="O767" s="25" t="s">
        <v>27</v>
      </c>
      <c r="P767" s="25" t="s">
        <v>32</v>
      </c>
    </row>
    <row r="768" spans="1:16" x14ac:dyDescent="0.3">
      <c r="A768" s="25">
        <v>767</v>
      </c>
      <c r="B768" s="26">
        <v>45486</v>
      </c>
      <c r="C768" s="25" t="s">
        <v>62</v>
      </c>
      <c r="D768" s="25" t="s">
        <v>21</v>
      </c>
      <c r="E768" s="25" t="s">
        <v>88</v>
      </c>
      <c r="F768" s="25">
        <v>7</v>
      </c>
      <c r="G768" s="25" t="s">
        <v>89</v>
      </c>
      <c r="H768" s="25">
        <v>130</v>
      </c>
      <c r="I768" s="25">
        <v>100</v>
      </c>
      <c r="J768" s="25">
        <v>910</v>
      </c>
      <c r="K768" s="25">
        <v>700</v>
      </c>
      <c r="L768" s="25">
        <v>210</v>
      </c>
      <c r="M768" s="27">
        <v>30</v>
      </c>
      <c r="N768" s="25" t="s">
        <v>63</v>
      </c>
      <c r="O768" s="25" t="s">
        <v>27</v>
      </c>
      <c r="P768" s="25" t="s">
        <v>32</v>
      </c>
    </row>
    <row r="769" spans="1:16" x14ac:dyDescent="0.3">
      <c r="A769" s="25">
        <v>768</v>
      </c>
      <c r="B769" s="26">
        <v>45486</v>
      </c>
      <c r="C769" s="25" t="s">
        <v>62</v>
      </c>
      <c r="D769" s="25" t="s">
        <v>21</v>
      </c>
      <c r="E769" s="25" t="s">
        <v>88</v>
      </c>
      <c r="F769" s="25">
        <v>9</v>
      </c>
      <c r="G769" s="25" t="s">
        <v>89</v>
      </c>
      <c r="H769" s="25">
        <v>130</v>
      </c>
      <c r="I769" s="25">
        <v>100</v>
      </c>
      <c r="J769" s="25">
        <v>1170</v>
      </c>
      <c r="K769" s="25">
        <v>900</v>
      </c>
      <c r="L769" s="25">
        <v>270</v>
      </c>
      <c r="M769" s="27">
        <v>30</v>
      </c>
      <c r="N769" s="25" t="s">
        <v>63</v>
      </c>
      <c r="O769" s="25" t="s">
        <v>27</v>
      </c>
      <c r="P769" s="25" t="s">
        <v>32</v>
      </c>
    </row>
    <row r="770" spans="1:16" x14ac:dyDescent="0.3">
      <c r="A770" s="25">
        <v>769</v>
      </c>
      <c r="B770" s="26">
        <v>45487</v>
      </c>
      <c r="C770" s="25" t="s">
        <v>62</v>
      </c>
      <c r="D770" s="25" t="s">
        <v>21</v>
      </c>
      <c r="E770" s="25" t="s">
        <v>94</v>
      </c>
      <c r="F770" s="25">
        <v>13</v>
      </c>
      <c r="G770" s="25" t="s">
        <v>89</v>
      </c>
      <c r="H770" s="25">
        <v>30</v>
      </c>
      <c r="I770" s="25">
        <v>26</v>
      </c>
      <c r="J770" s="25">
        <v>390</v>
      </c>
      <c r="K770" s="25">
        <v>338</v>
      </c>
      <c r="L770" s="25">
        <v>52</v>
      </c>
      <c r="M770" s="27">
        <v>15.384615384615399</v>
      </c>
      <c r="N770" s="25" t="s">
        <v>63</v>
      </c>
      <c r="O770" s="25" t="s">
        <v>27</v>
      </c>
      <c r="P770" s="25" t="s">
        <v>32</v>
      </c>
    </row>
    <row r="771" spans="1:16" x14ac:dyDescent="0.3">
      <c r="A771" s="25">
        <v>770</v>
      </c>
      <c r="B771" s="26">
        <v>45487</v>
      </c>
      <c r="C771" s="25" t="s">
        <v>62</v>
      </c>
      <c r="D771" s="25" t="s">
        <v>21</v>
      </c>
      <c r="E771" s="25" t="s">
        <v>98</v>
      </c>
      <c r="F771" s="25">
        <v>4</v>
      </c>
      <c r="G771" s="25" t="s">
        <v>89</v>
      </c>
      <c r="H771" s="25">
        <v>95</v>
      </c>
      <c r="I771" s="25">
        <v>55</v>
      </c>
      <c r="J771" s="25">
        <v>380</v>
      </c>
      <c r="K771" s="25">
        <v>220</v>
      </c>
      <c r="L771" s="25">
        <v>160</v>
      </c>
      <c r="M771" s="27">
        <v>72.727272727272705</v>
      </c>
      <c r="N771" s="25" t="s">
        <v>63</v>
      </c>
      <c r="O771" s="25" t="s">
        <v>27</v>
      </c>
      <c r="P771" s="25" t="s">
        <v>32</v>
      </c>
    </row>
    <row r="772" spans="1:16" x14ac:dyDescent="0.3">
      <c r="A772" s="25">
        <v>771</v>
      </c>
      <c r="B772" s="26">
        <v>45487</v>
      </c>
      <c r="C772" s="25" t="s">
        <v>62</v>
      </c>
      <c r="D772" s="25" t="s">
        <v>21</v>
      </c>
      <c r="E772" s="25" t="s">
        <v>88</v>
      </c>
      <c r="F772" s="25">
        <v>6</v>
      </c>
      <c r="G772" s="25" t="s">
        <v>89</v>
      </c>
      <c r="H772" s="25">
        <v>130</v>
      </c>
      <c r="I772" s="25">
        <v>100</v>
      </c>
      <c r="J772" s="25">
        <v>780</v>
      </c>
      <c r="K772" s="25">
        <v>600</v>
      </c>
      <c r="L772" s="25">
        <v>180</v>
      </c>
      <c r="M772" s="27">
        <v>30</v>
      </c>
      <c r="N772" s="25" t="s">
        <v>63</v>
      </c>
      <c r="O772" s="25" t="s">
        <v>27</v>
      </c>
      <c r="P772" s="25" t="s">
        <v>32</v>
      </c>
    </row>
    <row r="773" spans="1:16" x14ac:dyDescent="0.3">
      <c r="A773" s="25">
        <v>772</v>
      </c>
      <c r="B773" s="26">
        <v>45487</v>
      </c>
      <c r="C773" s="25" t="s">
        <v>62</v>
      </c>
      <c r="D773" s="25" t="s">
        <v>21</v>
      </c>
      <c r="E773" s="25" t="s">
        <v>88</v>
      </c>
      <c r="F773" s="25">
        <v>12</v>
      </c>
      <c r="G773" s="25" t="s">
        <v>89</v>
      </c>
      <c r="H773" s="25">
        <v>130</v>
      </c>
      <c r="I773" s="25">
        <v>100</v>
      </c>
      <c r="J773" s="25">
        <v>1560</v>
      </c>
      <c r="K773" s="25">
        <v>1200</v>
      </c>
      <c r="L773" s="25">
        <v>360</v>
      </c>
      <c r="M773" s="27">
        <v>30</v>
      </c>
      <c r="N773" s="25" t="s">
        <v>63</v>
      </c>
      <c r="O773" s="25" t="s">
        <v>27</v>
      </c>
      <c r="P773" s="25" t="s">
        <v>32</v>
      </c>
    </row>
    <row r="774" spans="1:16" x14ac:dyDescent="0.3">
      <c r="A774" s="25">
        <v>773</v>
      </c>
      <c r="B774" s="26">
        <v>45487</v>
      </c>
      <c r="C774" s="25" t="s">
        <v>62</v>
      </c>
      <c r="D774" s="25" t="s">
        <v>21</v>
      </c>
      <c r="E774" s="25" t="s">
        <v>94</v>
      </c>
      <c r="F774" s="25">
        <v>20</v>
      </c>
      <c r="G774" s="25" t="s">
        <v>89</v>
      </c>
      <c r="H774" s="25">
        <v>30</v>
      </c>
      <c r="I774" s="25">
        <v>26</v>
      </c>
      <c r="J774" s="25">
        <v>600</v>
      </c>
      <c r="K774" s="25">
        <v>520</v>
      </c>
      <c r="L774" s="25">
        <v>80</v>
      </c>
      <c r="M774" s="27">
        <v>15.384615384615399</v>
      </c>
      <c r="N774" s="25" t="s">
        <v>63</v>
      </c>
      <c r="O774" s="25" t="s">
        <v>27</v>
      </c>
      <c r="P774" s="25" t="s">
        <v>32</v>
      </c>
    </row>
    <row r="775" spans="1:16" x14ac:dyDescent="0.3">
      <c r="A775" s="25">
        <v>774</v>
      </c>
      <c r="B775" s="26">
        <v>45487</v>
      </c>
      <c r="C775" s="25" t="s">
        <v>62</v>
      </c>
      <c r="D775" s="25" t="s">
        <v>21</v>
      </c>
      <c r="E775" s="25" t="s">
        <v>93</v>
      </c>
      <c r="F775" s="25">
        <v>4</v>
      </c>
      <c r="G775" s="25" t="s">
        <v>89</v>
      </c>
      <c r="H775" s="25">
        <v>250</v>
      </c>
      <c r="I775" s="25">
        <v>180</v>
      </c>
      <c r="J775" s="25">
        <v>1000</v>
      </c>
      <c r="K775" s="25">
        <v>720</v>
      </c>
      <c r="L775" s="25">
        <v>280</v>
      </c>
      <c r="M775" s="27">
        <v>38.8888888888889</v>
      </c>
      <c r="N775" s="25" t="s">
        <v>63</v>
      </c>
      <c r="O775" s="25" t="s">
        <v>27</v>
      </c>
      <c r="P775" s="25" t="s">
        <v>32</v>
      </c>
    </row>
    <row r="776" spans="1:16" x14ac:dyDescent="0.3">
      <c r="A776" s="25">
        <v>775</v>
      </c>
      <c r="B776" s="26">
        <v>45487</v>
      </c>
      <c r="C776" s="25" t="s">
        <v>62</v>
      </c>
      <c r="D776" s="25" t="s">
        <v>21</v>
      </c>
      <c r="E776" s="25" t="s">
        <v>88</v>
      </c>
      <c r="F776" s="25">
        <v>6</v>
      </c>
      <c r="G776" s="25" t="s">
        <v>89</v>
      </c>
      <c r="H776" s="25">
        <v>130</v>
      </c>
      <c r="I776" s="25">
        <v>100</v>
      </c>
      <c r="J776" s="25">
        <v>780</v>
      </c>
      <c r="K776" s="25">
        <v>600</v>
      </c>
      <c r="L776" s="25">
        <v>180</v>
      </c>
      <c r="M776" s="27">
        <v>30</v>
      </c>
      <c r="N776" s="25" t="s">
        <v>63</v>
      </c>
      <c r="O776" s="25" t="s">
        <v>27</v>
      </c>
      <c r="P776" s="25" t="s">
        <v>32</v>
      </c>
    </row>
    <row r="777" spans="1:16" x14ac:dyDescent="0.3">
      <c r="A777" s="25">
        <v>776</v>
      </c>
      <c r="B777" s="26">
        <v>45487</v>
      </c>
      <c r="C777" s="25" t="s">
        <v>62</v>
      </c>
      <c r="D777" s="25" t="s">
        <v>21</v>
      </c>
      <c r="E777" s="25" t="s">
        <v>88</v>
      </c>
      <c r="F777" s="25">
        <v>7</v>
      </c>
      <c r="G777" s="25" t="s">
        <v>89</v>
      </c>
      <c r="H777" s="25">
        <v>130</v>
      </c>
      <c r="I777" s="25">
        <v>100</v>
      </c>
      <c r="J777" s="25">
        <v>910</v>
      </c>
      <c r="K777" s="25">
        <v>700</v>
      </c>
      <c r="L777" s="25">
        <v>210</v>
      </c>
      <c r="M777" s="27">
        <v>30</v>
      </c>
      <c r="N777" s="25" t="s">
        <v>63</v>
      </c>
      <c r="O777" s="25" t="s">
        <v>27</v>
      </c>
      <c r="P777" s="25" t="s">
        <v>32</v>
      </c>
    </row>
    <row r="778" spans="1:16" x14ac:dyDescent="0.3">
      <c r="A778" s="25">
        <v>777</v>
      </c>
      <c r="B778" s="26">
        <v>45488</v>
      </c>
      <c r="C778" s="25" t="s">
        <v>62</v>
      </c>
      <c r="D778" s="25" t="s">
        <v>21</v>
      </c>
      <c r="E778" s="25" t="s">
        <v>88</v>
      </c>
      <c r="F778" s="25">
        <v>9</v>
      </c>
      <c r="G778" s="25" t="s">
        <v>89</v>
      </c>
      <c r="H778" s="25">
        <v>130</v>
      </c>
      <c r="I778" s="25">
        <v>100</v>
      </c>
      <c r="J778" s="25">
        <v>1170</v>
      </c>
      <c r="K778" s="25">
        <v>900</v>
      </c>
      <c r="L778" s="25">
        <v>270</v>
      </c>
      <c r="M778" s="27">
        <v>30</v>
      </c>
      <c r="N778" s="25" t="s">
        <v>63</v>
      </c>
      <c r="O778" s="25" t="s">
        <v>27</v>
      </c>
      <c r="P778" s="25" t="s">
        <v>32</v>
      </c>
    </row>
    <row r="779" spans="1:16" x14ac:dyDescent="0.3">
      <c r="A779" s="25">
        <v>778</v>
      </c>
      <c r="B779" s="26">
        <v>45488</v>
      </c>
      <c r="C779" s="25" t="s">
        <v>62</v>
      </c>
      <c r="D779" s="25" t="s">
        <v>21</v>
      </c>
      <c r="E779" s="25" t="s">
        <v>94</v>
      </c>
      <c r="F779" s="25">
        <v>10</v>
      </c>
      <c r="G779" s="25" t="s">
        <v>89</v>
      </c>
      <c r="H779" s="25">
        <v>30</v>
      </c>
      <c r="I779" s="25">
        <v>26</v>
      </c>
      <c r="J779" s="25">
        <v>300</v>
      </c>
      <c r="K779" s="25">
        <v>260</v>
      </c>
      <c r="L779" s="25">
        <v>40</v>
      </c>
      <c r="M779" s="27">
        <v>15.384615384615399</v>
      </c>
      <c r="N779" s="25" t="s">
        <v>63</v>
      </c>
      <c r="O779" s="25" t="s">
        <v>27</v>
      </c>
      <c r="P779" s="25" t="s">
        <v>32</v>
      </c>
    </row>
    <row r="780" spans="1:16" x14ac:dyDescent="0.3">
      <c r="A780" s="25">
        <v>779</v>
      </c>
      <c r="B780" s="26">
        <v>45488</v>
      </c>
      <c r="C780" s="25" t="s">
        <v>62</v>
      </c>
      <c r="D780" s="25" t="s">
        <v>21</v>
      </c>
      <c r="E780" s="25" t="s">
        <v>88</v>
      </c>
      <c r="F780" s="25">
        <v>14</v>
      </c>
      <c r="G780" s="25" t="s">
        <v>89</v>
      </c>
      <c r="H780" s="25">
        <v>130</v>
      </c>
      <c r="I780" s="25">
        <v>100</v>
      </c>
      <c r="J780" s="25">
        <v>1820</v>
      </c>
      <c r="K780" s="25">
        <v>1400</v>
      </c>
      <c r="L780" s="25">
        <v>420</v>
      </c>
      <c r="M780" s="27">
        <v>30</v>
      </c>
      <c r="N780" s="25" t="s">
        <v>63</v>
      </c>
      <c r="O780" s="25" t="s">
        <v>27</v>
      </c>
      <c r="P780" s="25" t="s">
        <v>32</v>
      </c>
    </row>
    <row r="781" spans="1:16" x14ac:dyDescent="0.3">
      <c r="A781" s="25">
        <v>780</v>
      </c>
      <c r="B781" s="26">
        <v>45488</v>
      </c>
      <c r="C781" s="25" t="s">
        <v>62</v>
      </c>
      <c r="D781" s="25" t="s">
        <v>21</v>
      </c>
      <c r="E781" s="25" t="s">
        <v>88</v>
      </c>
      <c r="F781" s="25">
        <v>13</v>
      </c>
      <c r="G781" s="25" t="s">
        <v>89</v>
      </c>
      <c r="H781" s="25">
        <v>130</v>
      </c>
      <c r="I781" s="25">
        <v>100</v>
      </c>
      <c r="J781" s="25">
        <v>1690</v>
      </c>
      <c r="K781" s="25">
        <v>1300</v>
      </c>
      <c r="L781" s="25">
        <v>390</v>
      </c>
      <c r="M781" s="27">
        <v>30</v>
      </c>
      <c r="N781" s="25" t="s">
        <v>63</v>
      </c>
      <c r="O781" s="25" t="s">
        <v>27</v>
      </c>
      <c r="P781" s="25" t="s">
        <v>32</v>
      </c>
    </row>
    <row r="782" spans="1:16" x14ac:dyDescent="0.3">
      <c r="A782" s="25">
        <v>781</v>
      </c>
      <c r="B782" s="26">
        <v>45488</v>
      </c>
      <c r="C782" s="25" t="s">
        <v>62</v>
      </c>
      <c r="D782" s="25" t="s">
        <v>21</v>
      </c>
      <c r="E782" s="25" t="s">
        <v>94</v>
      </c>
      <c r="F782" s="25">
        <v>8</v>
      </c>
      <c r="G782" s="25" t="s">
        <v>89</v>
      </c>
      <c r="H782" s="25">
        <v>30</v>
      </c>
      <c r="I782" s="25">
        <v>26</v>
      </c>
      <c r="J782" s="25">
        <v>240</v>
      </c>
      <c r="K782" s="25">
        <v>208</v>
      </c>
      <c r="L782" s="25">
        <v>32</v>
      </c>
      <c r="M782" s="27">
        <v>15.384615384615399</v>
      </c>
      <c r="N782" s="25" t="s">
        <v>63</v>
      </c>
      <c r="O782" s="25" t="s">
        <v>27</v>
      </c>
      <c r="P782" s="25" t="s">
        <v>32</v>
      </c>
    </row>
    <row r="783" spans="1:16" x14ac:dyDescent="0.3">
      <c r="A783" s="25">
        <v>782</v>
      </c>
      <c r="B783" s="26">
        <v>45488</v>
      </c>
      <c r="C783" s="25" t="s">
        <v>62</v>
      </c>
      <c r="D783" s="25" t="s">
        <v>21</v>
      </c>
      <c r="E783" s="25" t="s">
        <v>88</v>
      </c>
      <c r="F783" s="25">
        <v>2</v>
      </c>
      <c r="G783" s="25" t="s">
        <v>89</v>
      </c>
      <c r="H783" s="25">
        <v>130</v>
      </c>
      <c r="I783" s="25">
        <v>100</v>
      </c>
      <c r="J783" s="25">
        <v>260</v>
      </c>
      <c r="K783" s="25">
        <v>200</v>
      </c>
      <c r="L783" s="25">
        <v>60</v>
      </c>
      <c r="M783" s="27">
        <v>30</v>
      </c>
      <c r="N783" s="25" t="s">
        <v>63</v>
      </c>
      <c r="O783" s="25" t="s">
        <v>27</v>
      </c>
      <c r="P783" s="25" t="s">
        <v>32</v>
      </c>
    </row>
    <row r="784" spans="1:16" x14ac:dyDescent="0.3">
      <c r="A784" s="25">
        <v>783</v>
      </c>
      <c r="B784" s="26">
        <v>45488</v>
      </c>
      <c r="C784" s="25" t="s">
        <v>62</v>
      </c>
      <c r="D784" s="25" t="s">
        <v>21</v>
      </c>
      <c r="E784" s="25" t="s">
        <v>88</v>
      </c>
      <c r="F784" s="25">
        <v>6</v>
      </c>
      <c r="G784" s="25" t="s">
        <v>89</v>
      </c>
      <c r="H784" s="25">
        <v>130</v>
      </c>
      <c r="I784" s="25">
        <v>100</v>
      </c>
      <c r="J784" s="25">
        <v>780</v>
      </c>
      <c r="K784" s="25">
        <v>600</v>
      </c>
      <c r="L784" s="25">
        <v>180</v>
      </c>
      <c r="M784" s="27">
        <v>30</v>
      </c>
      <c r="N784" s="25" t="s">
        <v>63</v>
      </c>
      <c r="O784" s="25" t="s">
        <v>27</v>
      </c>
      <c r="P784" s="25" t="s">
        <v>32</v>
      </c>
    </row>
    <row r="785" spans="1:16" x14ac:dyDescent="0.3">
      <c r="A785" s="25">
        <v>784</v>
      </c>
      <c r="B785" s="26">
        <v>45488</v>
      </c>
      <c r="C785" s="25" t="s">
        <v>62</v>
      </c>
      <c r="D785" s="25" t="s">
        <v>21</v>
      </c>
      <c r="E785" s="25" t="s">
        <v>94</v>
      </c>
      <c r="F785" s="25">
        <v>14</v>
      </c>
      <c r="G785" s="25" t="s">
        <v>89</v>
      </c>
      <c r="H785" s="25">
        <v>30</v>
      </c>
      <c r="I785" s="25">
        <v>26</v>
      </c>
      <c r="J785" s="25">
        <v>420</v>
      </c>
      <c r="K785" s="25">
        <v>364</v>
      </c>
      <c r="L785" s="25">
        <v>56</v>
      </c>
      <c r="M785" s="27">
        <v>15.384615384615399</v>
      </c>
      <c r="N785" s="25" t="s">
        <v>63</v>
      </c>
      <c r="O785" s="25" t="s">
        <v>27</v>
      </c>
      <c r="P785" s="25" t="s">
        <v>32</v>
      </c>
    </row>
    <row r="786" spans="1:16" x14ac:dyDescent="0.3">
      <c r="A786" s="25">
        <v>785</v>
      </c>
      <c r="B786" s="26">
        <v>45488</v>
      </c>
      <c r="C786" s="25" t="s">
        <v>62</v>
      </c>
      <c r="D786" s="25" t="s">
        <v>21</v>
      </c>
      <c r="E786" s="25" t="s">
        <v>88</v>
      </c>
      <c r="F786" s="25">
        <v>6</v>
      </c>
      <c r="G786" s="25" t="s">
        <v>89</v>
      </c>
      <c r="H786" s="25">
        <v>130</v>
      </c>
      <c r="I786" s="25">
        <v>100</v>
      </c>
      <c r="J786" s="25">
        <v>780</v>
      </c>
      <c r="K786" s="25">
        <v>600</v>
      </c>
      <c r="L786" s="25">
        <v>180</v>
      </c>
      <c r="M786" s="27">
        <v>30</v>
      </c>
      <c r="N786" s="25" t="s">
        <v>63</v>
      </c>
      <c r="O786" s="25" t="s">
        <v>27</v>
      </c>
      <c r="P786" s="25" t="s">
        <v>32</v>
      </c>
    </row>
    <row r="787" spans="1:16" x14ac:dyDescent="0.3">
      <c r="A787" s="25">
        <v>786</v>
      </c>
      <c r="B787" s="26">
        <v>45488</v>
      </c>
      <c r="C787" s="25" t="s">
        <v>62</v>
      </c>
      <c r="D787" s="25" t="s">
        <v>21</v>
      </c>
      <c r="E787" s="25" t="s">
        <v>88</v>
      </c>
      <c r="F787" s="25">
        <v>3</v>
      </c>
      <c r="G787" s="25" t="s">
        <v>89</v>
      </c>
      <c r="H787" s="25">
        <v>130</v>
      </c>
      <c r="I787" s="25">
        <v>100</v>
      </c>
      <c r="J787" s="25">
        <v>390</v>
      </c>
      <c r="K787" s="25">
        <v>300</v>
      </c>
      <c r="L787" s="25">
        <v>90</v>
      </c>
      <c r="M787" s="27">
        <v>30</v>
      </c>
      <c r="N787" s="25" t="s">
        <v>63</v>
      </c>
      <c r="O787" s="25" t="s">
        <v>27</v>
      </c>
      <c r="P787" s="25" t="s">
        <v>32</v>
      </c>
    </row>
    <row r="788" spans="1:16" x14ac:dyDescent="0.3">
      <c r="A788" s="25">
        <v>787</v>
      </c>
      <c r="B788" s="26">
        <v>45489</v>
      </c>
      <c r="C788" s="25" t="s">
        <v>62</v>
      </c>
      <c r="D788" s="25" t="s">
        <v>21</v>
      </c>
      <c r="E788" s="25" t="s">
        <v>88</v>
      </c>
      <c r="F788" s="25">
        <v>6</v>
      </c>
      <c r="G788" s="25" t="s">
        <v>89</v>
      </c>
      <c r="H788" s="25">
        <v>130</v>
      </c>
      <c r="I788" s="25">
        <v>100</v>
      </c>
      <c r="J788" s="25">
        <v>780</v>
      </c>
      <c r="K788" s="25">
        <v>600</v>
      </c>
      <c r="L788" s="25">
        <v>180</v>
      </c>
      <c r="M788" s="27">
        <v>30</v>
      </c>
      <c r="N788" s="25" t="s">
        <v>63</v>
      </c>
      <c r="O788" s="25" t="s">
        <v>27</v>
      </c>
      <c r="P788" s="25" t="s">
        <v>32</v>
      </c>
    </row>
    <row r="789" spans="1:16" x14ac:dyDescent="0.3">
      <c r="A789" s="25">
        <v>788</v>
      </c>
      <c r="B789" s="26">
        <v>45489</v>
      </c>
      <c r="C789" s="25" t="s">
        <v>62</v>
      </c>
      <c r="D789" s="25" t="s">
        <v>21</v>
      </c>
      <c r="E789" s="25" t="s">
        <v>95</v>
      </c>
      <c r="F789" s="25">
        <v>4</v>
      </c>
      <c r="G789" s="25" t="s">
        <v>89</v>
      </c>
      <c r="H789" s="25">
        <v>150</v>
      </c>
      <c r="I789" s="25">
        <v>100</v>
      </c>
      <c r="J789" s="25">
        <v>600</v>
      </c>
      <c r="K789" s="25">
        <v>400</v>
      </c>
      <c r="L789" s="25">
        <v>200</v>
      </c>
      <c r="M789" s="27">
        <v>50</v>
      </c>
      <c r="N789" s="25" t="s">
        <v>63</v>
      </c>
      <c r="O789" s="25" t="s">
        <v>28</v>
      </c>
      <c r="P789" s="25" t="s">
        <v>32</v>
      </c>
    </row>
    <row r="790" spans="1:16" x14ac:dyDescent="0.3">
      <c r="A790" s="25">
        <v>789</v>
      </c>
      <c r="B790" s="26">
        <v>45489</v>
      </c>
      <c r="C790" s="25" t="s">
        <v>62</v>
      </c>
      <c r="D790" s="25" t="s">
        <v>21</v>
      </c>
      <c r="E790" s="25" t="s">
        <v>88</v>
      </c>
      <c r="F790" s="25">
        <v>2</v>
      </c>
      <c r="G790" s="25" t="s">
        <v>89</v>
      </c>
      <c r="H790" s="25">
        <v>130</v>
      </c>
      <c r="I790" s="25">
        <v>100</v>
      </c>
      <c r="J790" s="25">
        <v>260</v>
      </c>
      <c r="K790" s="25">
        <v>200</v>
      </c>
      <c r="L790" s="25">
        <v>60</v>
      </c>
      <c r="M790" s="27">
        <v>30</v>
      </c>
      <c r="N790" s="25" t="s">
        <v>63</v>
      </c>
      <c r="O790" s="25" t="s">
        <v>27</v>
      </c>
      <c r="P790" s="25" t="s">
        <v>32</v>
      </c>
    </row>
    <row r="791" spans="1:16" x14ac:dyDescent="0.3">
      <c r="A791" s="25">
        <v>790</v>
      </c>
      <c r="B791" s="26">
        <v>45489</v>
      </c>
      <c r="C791" s="25" t="s">
        <v>62</v>
      </c>
      <c r="D791" s="25" t="s">
        <v>21</v>
      </c>
      <c r="E791" s="25" t="s">
        <v>88</v>
      </c>
      <c r="F791" s="25">
        <v>7</v>
      </c>
      <c r="G791" s="25" t="s">
        <v>89</v>
      </c>
      <c r="H791" s="25">
        <v>130</v>
      </c>
      <c r="I791" s="25">
        <v>100</v>
      </c>
      <c r="J791" s="25">
        <v>910</v>
      </c>
      <c r="K791" s="25">
        <v>700</v>
      </c>
      <c r="L791" s="25">
        <v>210</v>
      </c>
      <c r="M791" s="27">
        <v>30</v>
      </c>
      <c r="N791" s="25" t="s">
        <v>63</v>
      </c>
      <c r="O791" s="25" t="s">
        <v>27</v>
      </c>
      <c r="P791" s="25" t="s">
        <v>32</v>
      </c>
    </row>
    <row r="792" spans="1:16" x14ac:dyDescent="0.3">
      <c r="A792" s="25">
        <v>791</v>
      </c>
      <c r="B792" s="26">
        <v>45489</v>
      </c>
      <c r="C792" s="25" t="s">
        <v>62</v>
      </c>
      <c r="D792" s="25" t="s">
        <v>21</v>
      </c>
      <c r="E792" s="25" t="s">
        <v>98</v>
      </c>
      <c r="F792" s="25">
        <v>8</v>
      </c>
      <c r="G792" s="25" t="s">
        <v>89</v>
      </c>
      <c r="H792" s="25">
        <v>95</v>
      </c>
      <c r="I792" s="25">
        <v>55</v>
      </c>
      <c r="J792" s="25">
        <v>760</v>
      </c>
      <c r="K792" s="25">
        <v>440</v>
      </c>
      <c r="L792" s="25">
        <v>320</v>
      </c>
      <c r="M792" s="27">
        <v>72.727272727272705</v>
      </c>
      <c r="N792" s="25" t="s">
        <v>63</v>
      </c>
      <c r="O792" s="25" t="s">
        <v>27</v>
      </c>
      <c r="P792" s="25" t="s">
        <v>32</v>
      </c>
    </row>
    <row r="793" spans="1:16" x14ac:dyDescent="0.3">
      <c r="A793" s="25">
        <v>792</v>
      </c>
      <c r="B793" s="26">
        <v>45489</v>
      </c>
      <c r="C793" s="25" t="s">
        <v>62</v>
      </c>
      <c r="D793" s="25" t="s">
        <v>21</v>
      </c>
      <c r="E793" s="25" t="s">
        <v>88</v>
      </c>
      <c r="F793" s="25">
        <v>15</v>
      </c>
      <c r="G793" s="25" t="s">
        <v>89</v>
      </c>
      <c r="H793" s="25">
        <v>130</v>
      </c>
      <c r="I793" s="25">
        <v>100</v>
      </c>
      <c r="J793" s="25">
        <v>1950</v>
      </c>
      <c r="K793" s="25">
        <v>1500</v>
      </c>
      <c r="L793" s="25">
        <v>450</v>
      </c>
      <c r="M793" s="27">
        <v>30</v>
      </c>
      <c r="N793" s="25" t="s">
        <v>63</v>
      </c>
      <c r="O793" s="25" t="s">
        <v>27</v>
      </c>
      <c r="P793" s="25" t="s">
        <v>32</v>
      </c>
    </row>
    <row r="794" spans="1:16" x14ac:dyDescent="0.3">
      <c r="A794" s="25">
        <v>793</v>
      </c>
      <c r="B794" s="26">
        <v>45489</v>
      </c>
      <c r="C794" s="25" t="s">
        <v>62</v>
      </c>
      <c r="D794" s="25" t="s">
        <v>21</v>
      </c>
      <c r="E794" s="25" t="s">
        <v>98</v>
      </c>
      <c r="F794" s="25">
        <v>3</v>
      </c>
      <c r="G794" s="25" t="s">
        <v>89</v>
      </c>
      <c r="H794" s="25">
        <v>95</v>
      </c>
      <c r="I794" s="25">
        <v>55</v>
      </c>
      <c r="J794" s="25">
        <v>285</v>
      </c>
      <c r="K794" s="25">
        <v>165</v>
      </c>
      <c r="L794" s="25">
        <v>120</v>
      </c>
      <c r="M794" s="27">
        <v>72.727272727272705</v>
      </c>
      <c r="N794" s="25" t="s">
        <v>63</v>
      </c>
      <c r="O794" s="25" t="s">
        <v>27</v>
      </c>
      <c r="P794" s="25" t="s">
        <v>32</v>
      </c>
    </row>
    <row r="795" spans="1:16" x14ac:dyDescent="0.3">
      <c r="A795" s="25">
        <v>794</v>
      </c>
      <c r="B795" s="26">
        <v>45489</v>
      </c>
      <c r="C795" s="25" t="s">
        <v>62</v>
      </c>
      <c r="D795" s="25" t="s">
        <v>21</v>
      </c>
      <c r="E795" s="25" t="s">
        <v>88</v>
      </c>
      <c r="F795" s="25">
        <v>6</v>
      </c>
      <c r="G795" s="25" t="s">
        <v>89</v>
      </c>
      <c r="H795" s="25">
        <v>130</v>
      </c>
      <c r="I795" s="25">
        <v>100</v>
      </c>
      <c r="J795" s="25">
        <v>780</v>
      </c>
      <c r="K795" s="25">
        <v>600</v>
      </c>
      <c r="L795" s="25">
        <v>180</v>
      </c>
      <c r="M795" s="27">
        <v>30</v>
      </c>
      <c r="N795" s="25" t="s">
        <v>63</v>
      </c>
      <c r="O795" s="25" t="s">
        <v>27</v>
      </c>
      <c r="P795" s="25" t="s">
        <v>32</v>
      </c>
    </row>
    <row r="796" spans="1:16" x14ac:dyDescent="0.3">
      <c r="A796" s="25">
        <v>795</v>
      </c>
      <c r="B796" s="26">
        <v>45489</v>
      </c>
      <c r="C796" s="25" t="s">
        <v>62</v>
      </c>
      <c r="D796" s="25" t="s">
        <v>21</v>
      </c>
      <c r="E796" s="25" t="s">
        <v>98</v>
      </c>
      <c r="F796" s="25">
        <v>3</v>
      </c>
      <c r="G796" s="25" t="s">
        <v>89</v>
      </c>
      <c r="H796" s="25">
        <v>95</v>
      </c>
      <c r="I796" s="25">
        <v>55</v>
      </c>
      <c r="J796" s="25">
        <v>285</v>
      </c>
      <c r="K796" s="25">
        <v>165</v>
      </c>
      <c r="L796" s="25">
        <v>120</v>
      </c>
      <c r="M796" s="27">
        <v>72.727272727272705</v>
      </c>
      <c r="N796" s="25" t="s">
        <v>63</v>
      </c>
      <c r="O796" s="25" t="s">
        <v>27</v>
      </c>
      <c r="P796" s="25" t="s">
        <v>32</v>
      </c>
    </row>
    <row r="797" spans="1:16" x14ac:dyDescent="0.3">
      <c r="A797" s="25">
        <v>796</v>
      </c>
      <c r="B797" s="26">
        <v>45489</v>
      </c>
      <c r="C797" s="25" t="s">
        <v>62</v>
      </c>
      <c r="D797" s="25" t="s">
        <v>21</v>
      </c>
      <c r="E797" s="25" t="s">
        <v>88</v>
      </c>
      <c r="F797" s="25">
        <v>15</v>
      </c>
      <c r="G797" s="25" t="s">
        <v>89</v>
      </c>
      <c r="H797" s="25">
        <v>130</v>
      </c>
      <c r="I797" s="25">
        <v>100</v>
      </c>
      <c r="J797" s="25">
        <v>1950</v>
      </c>
      <c r="K797" s="25">
        <v>1500</v>
      </c>
      <c r="L797" s="25">
        <v>450</v>
      </c>
      <c r="M797" s="27">
        <v>30</v>
      </c>
      <c r="N797" s="25" t="s">
        <v>63</v>
      </c>
      <c r="O797" s="25" t="s">
        <v>27</v>
      </c>
      <c r="P797" s="25" t="s">
        <v>32</v>
      </c>
    </row>
    <row r="798" spans="1:16" x14ac:dyDescent="0.3">
      <c r="A798" s="25">
        <v>797</v>
      </c>
      <c r="B798" s="26">
        <v>45489</v>
      </c>
      <c r="C798" s="25" t="s">
        <v>62</v>
      </c>
      <c r="D798" s="25" t="s">
        <v>21</v>
      </c>
      <c r="E798" s="25" t="s">
        <v>88</v>
      </c>
      <c r="F798" s="25">
        <v>4</v>
      </c>
      <c r="G798" s="25" t="s">
        <v>89</v>
      </c>
      <c r="H798" s="25">
        <v>130</v>
      </c>
      <c r="I798" s="25">
        <v>100</v>
      </c>
      <c r="J798" s="25">
        <v>520</v>
      </c>
      <c r="K798" s="25">
        <v>400</v>
      </c>
      <c r="L798" s="25">
        <v>120</v>
      </c>
      <c r="M798" s="27">
        <v>30</v>
      </c>
      <c r="N798" s="25" t="s">
        <v>63</v>
      </c>
      <c r="O798" s="25" t="s">
        <v>27</v>
      </c>
      <c r="P798" s="25" t="s">
        <v>32</v>
      </c>
    </row>
    <row r="799" spans="1:16" x14ac:dyDescent="0.3">
      <c r="A799" s="25">
        <v>798</v>
      </c>
      <c r="B799" s="26">
        <v>45489</v>
      </c>
      <c r="C799" s="25" t="s">
        <v>62</v>
      </c>
      <c r="D799" s="25" t="s">
        <v>21</v>
      </c>
      <c r="E799" s="25" t="s">
        <v>88</v>
      </c>
      <c r="F799" s="25">
        <v>9</v>
      </c>
      <c r="G799" s="25" t="s">
        <v>89</v>
      </c>
      <c r="H799" s="25">
        <v>130</v>
      </c>
      <c r="I799" s="25">
        <v>100</v>
      </c>
      <c r="J799" s="25">
        <v>1170</v>
      </c>
      <c r="K799" s="25">
        <v>900</v>
      </c>
      <c r="L799" s="25">
        <v>270</v>
      </c>
      <c r="M799" s="27">
        <v>30</v>
      </c>
      <c r="N799" s="25" t="s">
        <v>63</v>
      </c>
      <c r="O799" s="25" t="s">
        <v>27</v>
      </c>
      <c r="P799" s="25" t="s">
        <v>32</v>
      </c>
    </row>
    <row r="800" spans="1:16" x14ac:dyDescent="0.3">
      <c r="A800" s="25">
        <v>799</v>
      </c>
      <c r="B800" s="26">
        <v>45489</v>
      </c>
      <c r="C800" s="25" t="s">
        <v>62</v>
      </c>
      <c r="D800" s="25" t="s">
        <v>21</v>
      </c>
      <c r="E800" s="25" t="s">
        <v>88</v>
      </c>
      <c r="F800" s="25">
        <v>10</v>
      </c>
      <c r="G800" s="25" t="s">
        <v>89</v>
      </c>
      <c r="H800" s="25">
        <v>130</v>
      </c>
      <c r="I800" s="25">
        <v>100</v>
      </c>
      <c r="J800" s="25">
        <v>1300</v>
      </c>
      <c r="K800" s="25">
        <v>1000</v>
      </c>
      <c r="L800" s="25">
        <v>300</v>
      </c>
      <c r="M800" s="27">
        <v>30</v>
      </c>
      <c r="N800" s="25" t="s">
        <v>63</v>
      </c>
      <c r="O800" s="25" t="s">
        <v>27</v>
      </c>
      <c r="P800" s="25" t="s">
        <v>32</v>
      </c>
    </row>
    <row r="801" spans="1:16" x14ac:dyDescent="0.3">
      <c r="A801" s="25">
        <v>800</v>
      </c>
      <c r="B801" s="26">
        <v>45489</v>
      </c>
      <c r="C801" s="25" t="s">
        <v>62</v>
      </c>
      <c r="D801" s="25" t="s">
        <v>21</v>
      </c>
      <c r="E801" s="25" t="s">
        <v>88</v>
      </c>
      <c r="F801" s="25">
        <v>6</v>
      </c>
      <c r="G801" s="25" t="s">
        <v>89</v>
      </c>
      <c r="H801" s="25">
        <v>130</v>
      </c>
      <c r="I801" s="25">
        <v>100</v>
      </c>
      <c r="J801" s="25">
        <v>780</v>
      </c>
      <c r="K801" s="25">
        <v>600</v>
      </c>
      <c r="L801" s="25">
        <v>180</v>
      </c>
      <c r="M801" s="27">
        <v>30</v>
      </c>
      <c r="N801" s="25" t="s">
        <v>63</v>
      </c>
      <c r="O801" s="25" t="s">
        <v>27</v>
      </c>
      <c r="P801" s="25" t="s">
        <v>32</v>
      </c>
    </row>
    <row r="802" spans="1:16" x14ac:dyDescent="0.3">
      <c r="A802" s="25">
        <v>801</v>
      </c>
      <c r="B802" s="26">
        <v>45490</v>
      </c>
      <c r="C802" s="25" t="s">
        <v>62</v>
      </c>
      <c r="D802" s="25" t="s">
        <v>21</v>
      </c>
      <c r="E802" s="25" t="s">
        <v>88</v>
      </c>
      <c r="F802" s="25">
        <v>3</v>
      </c>
      <c r="G802" s="25" t="s">
        <v>89</v>
      </c>
      <c r="H802" s="25">
        <v>130</v>
      </c>
      <c r="I802" s="25">
        <v>100</v>
      </c>
      <c r="J802" s="25">
        <v>390</v>
      </c>
      <c r="K802" s="25">
        <v>300</v>
      </c>
      <c r="L802" s="25">
        <v>90</v>
      </c>
      <c r="M802" s="27">
        <v>30</v>
      </c>
      <c r="N802" s="25" t="s">
        <v>63</v>
      </c>
      <c r="O802" s="25" t="s">
        <v>27</v>
      </c>
      <c r="P802" s="25" t="s">
        <v>32</v>
      </c>
    </row>
    <row r="803" spans="1:16" x14ac:dyDescent="0.3">
      <c r="A803" s="25">
        <v>802</v>
      </c>
      <c r="B803" s="26">
        <v>45490</v>
      </c>
      <c r="C803" s="25" t="s">
        <v>62</v>
      </c>
      <c r="D803" s="25" t="s">
        <v>21</v>
      </c>
      <c r="E803" s="25" t="s">
        <v>88</v>
      </c>
      <c r="F803" s="25">
        <v>5</v>
      </c>
      <c r="G803" s="25" t="s">
        <v>89</v>
      </c>
      <c r="H803" s="25">
        <v>130</v>
      </c>
      <c r="I803" s="25">
        <v>100</v>
      </c>
      <c r="J803" s="25">
        <v>650</v>
      </c>
      <c r="K803" s="25">
        <v>500</v>
      </c>
      <c r="L803" s="25">
        <v>150</v>
      </c>
      <c r="M803" s="27">
        <v>30</v>
      </c>
      <c r="N803" s="25" t="s">
        <v>63</v>
      </c>
      <c r="O803" s="25" t="s">
        <v>27</v>
      </c>
      <c r="P803" s="25" t="s">
        <v>32</v>
      </c>
    </row>
    <row r="804" spans="1:16" x14ac:dyDescent="0.3">
      <c r="A804" s="25">
        <v>803</v>
      </c>
      <c r="B804" s="26">
        <v>45490</v>
      </c>
      <c r="C804" s="25" t="s">
        <v>62</v>
      </c>
      <c r="D804" s="25" t="s">
        <v>21</v>
      </c>
      <c r="E804" s="25" t="s">
        <v>98</v>
      </c>
      <c r="F804" s="25">
        <v>3</v>
      </c>
      <c r="G804" s="25" t="s">
        <v>89</v>
      </c>
      <c r="H804" s="25">
        <v>95</v>
      </c>
      <c r="I804" s="25">
        <v>55</v>
      </c>
      <c r="J804" s="25">
        <v>285</v>
      </c>
      <c r="K804" s="25">
        <v>165</v>
      </c>
      <c r="L804" s="25">
        <v>120</v>
      </c>
      <c r="M804" s="27">
        <v>72.727272727272705</v>
      </c>
      <c r="N804" s="25" t="s">
        <v>63</v>
      </c>
      <c r="O804" s="25" t="s">
        <v>27</v>
      </c>
      <c r="P804" s="25" t="s">
        <v>32</v>
      </c>
    </row>
    <row r="805" spans="1:16" x14ac:dyDescent="0.3">
      <c r="A805" s="25">
        <v>804</v>
      </c>
      <c r="B805" s="26">
        <v>45490</v>
      </c>
      <c r="C805" s="25" t="s">
        <v>62</v>
      </c>
      <c r="D805" s="25" t="s">
        <v>21</v>
      </c>
      <c r="E805" s="25" t="s">
        <v>94</v>
      </c>
      <c r="F805" s="25">
        <v>18</v>
      </c>
      <c r="G805" s="25" t="s">
        <v>89</v>
      </c>
      <c r="H805" s="25">
        <v>30</v>
      </c>
      <c r="I805" s="25">
        <v>26</v>
      </c>
      <c r="J805" s="25">
        <v>540</v>
      </c>
      <c r="K805" s="25">
        <v>468</v>
      </c>
      <c r="L805" s="25">
        <v>72</v>
      </c>
      <c r="M805" s="27">
        <v>15.384615384615399</v>
      </c>
      <c r="N805" s="25" t="s">
        <v>63</v>
      </c>
      <c r="O805" s="25" t="s">
        <v>27</v>
      </c>
      <c r="P805" s="25" t="s">
        <v>32</v>
      </c>
    </row>
    <row r="806" spans="1:16" x14ac:dyDescent="0.3">
      <c r="A806" s="25">
        <v>805</v>
      </c>
      <c r="B806" s="26">
        <v>45490</v>
      </c>
      <c r="C806" s="25" t="s">
        <v>62</v>
      </c>
      <c r="D806" s="25" t="s">
        <v>21</v>
      </c>
      <c r="E806" s="25" t="s">
        <v>88</v>
      </c>
      <c r="F806" s="25">
        <v>3</v>
      </c>
      <c r="G806" s="25" t="s">
        <v>89</v>
      </c>
      <c r="H806" s="25">
        <v>130</v>
      </c>
      <c r="I806" s="25">
        <v>100</v>
      </c>
      <c r="J806" s="25">
        <v>390</v>
      </c>
      <c r="K806" s="25">
        <v>300</v>
      </c>
      <c r="L806" s="25">
        <v>90</v>
      </c>
      <c r="M806" s="27">
        <v>30</v>
      </c>
      <c r="N806" s="25" t="s">
        <v>63</v>
      </c>
      <c r="O806" s="25" t="s">
        <v>27</v>
      </c>
      <c r="P806" s="25" t="s">
        <v>32</v>
      </c>
    </row>
    <row r="807" spans="1:16" x14ac:dyDescent="0.3">
      <c r="A807" s="25">
        <v>806</v>
      </c>
      <c r="B807" s="26">
        <v>45490</v>
      </c>
      <c r="C807" s="25" t="s">
        <v>62</v>
      </c>
      <c r="D807" s="25" t="s">
        <v>21</v>
      </c>
      <c r="E807" s="25" t="s">
        <v>88</v>
      </c>
      <c r="F807" s="25">
        <v>6</v>
      </c>
      <c r="G807" s="25" t="s">
        <v>89</v>
      </c>
      <c r="H807" s="25">
        <v>130</v>
      </c>
      <c r="I807" s="25">
        <v>100</v>
      </c>
      <c r="J807" s="25">
        <v>780</v>
      </c>
      <c r="K807" s="25">
        <v>600</v>
      </c>
      <c r="L807" s="25">
        <v>180</v>
      </c>
      <c r="M807" s="27">
        <v>30</v>
      </c>
      <c r="N807" s="25" t="s">
        <v>63</v>
      </c>
      <c r="O807" s="25" t="s">
        <v>27</v>
      </c>
      <c r="P807" s="25" t="s">
        <v>32</v>
      </c>
    </row>
    <row r="808" spans="1:16" x14ac:dyDescent="0.3">
      <c r="A808" s="25">
        <v>807</v>
      </c>
      <c r="B808" s="26">
        <v>45490</v>
      </c>
      <c r="C808" s="25" t="s">
        <v>62</v>
      </c>
      <c r="D808" s="25" t="s">
        <v>21</v>
      </c>
      <c r="E808" s="25" t="s">
        <v>93</v>
      </c>
      <c r="F808" s="25">
        <v>4</v>
      </c>
      <c r="G808" s="25" t="s">
        <v>89</v>
      </c>
      <c r="H808" s="25">
        <v>250</v>
      </c>
      <c r="I808" s="25">
        <v>180</v>
      </c>
      <c r="J808" s="25">
        <v>1000</v>
      </c>
      <c r="K808" s="25">
        <v>720</v>
      </c>
      <c r="L808" s="25">
        <v>280</v>
      </c>
      <c r="M808" s="27">
        <v>38.8888888888889</v>
      </c>
      <c r="N808" s="25" t="s">
        <v>63</v>
      </c>
      <c r="O808" s="25" t="s">
        <v>27</v>
      </c>
      <c r="P808" s="25" t="s">
        <v>32</v>
      </c>
    </row>
    <row r="809" spans="1:16" x14ac:dyDescent="0.3">
      <c r="A809" s="25">
        <v>808</v>
      </c>
      <c r="B809" s="26">
        <v>45490</v>
      </c>
      <c r="C809" s="25" t="s">
        <v>62</v>
      </c>
      <c r="D809" s="25" t="s">
        <v>21</v>
      </c>
      <c r="E809" s="25" t="s">
        <v>88</v>
      </c>
      <c r="F809" s="25">
        <v>7</v>
      </c>
      <c r="G809" s="25" t="s">
        <v>89</v>
      </c>
      <c r="H809" s="25">
        <v>130</v>
      </c>
      <c r="I809" s="25">
        <v>100</v>
      </c>
      <c r="J809" s="25">
        <v>910</v>
      </c>
      <c r="K809" s="25">
        <v>700</v>
      </c>
      <c r="L809" s="25">
        <v>210</v>
      </c>
      <c r="M809" s="27">
        <v>30</v>
      </c>
      <c r="N809" s="25" t="s">
        <v>63</v>
      </c>
      <c r="O809" s="25" t="s">
        <v>27</v>
      </c>
      <c r="P809" s="25" t="s">
        <v>32</v>
      </c>
    </row>
    <row r="810" spans="1:16" x14ac:dyDescent="0.3">
      <c r="A810" s="25">
        <v>809</v>
      </c>
      <c r="B810" s="26">
        <v>45490</v>
      </c>
      <c r="C810" s="25" t="s">
        <v>62</v>
      </c>
      <c r="D810" s="25" t="s">
        <v>21</v>
      </c>
      <c r="E810" s="25" t="s">
        <v>98</v>
      </c>
      <c r="F810" s="25">
        <v>5</v>
      </c>
      <c r="G810" s="25" t="s">
        <v>89</v>
      </c>
      <c r="H810" s="25">
        <v>95</v>
      </c>
      <c r="I810" s="25">
        <v>55</v>
      </c>
      <c r="J810" s="25">
        <v>475</v>
      </c>
      <c r="K810" s="25">
        <v>275</v>
      </c>
      <c r="L810" s="25">
        <v>200</v>
      </c>
      <c r="M810" s="27">
        <v>72.727272727272705</v>
      </c>
      <c r="N810" s="25" t="s">
        <v>63</v>
      </c>
      <c r="O810" s="25" t="s">
        <v>27</v>
      </c>
      <c r="P810" s="25" t="s">
        <v>32</v>
      </c>
    </row>
    <row r="811" spans="1:16" x14ac:dyDescent="0.3">
      <c r="A811" s="25">
        <v>810</v>
      </c>
      <c r="B811" s="26">
        <v>45490</v>
      </c>
      <c r="C811" s="25" t="s">
        <v>62</v>
      </c>
      <c r="D811" s="25" t="s">
        <v>21</v>
      </c>
      <c r="E811" s="25" t="s">
        <v>95</v>
      </c>
      <c r="F811" s="25">
        <v>5</v>
      </c>
      <c r="G811" s="25" t="s">
        <v>89</v>
      </c>
      <c r="H811" s="25">
        <v>150</v>
      </c>
      <c r="I811" s="25">
        <v>100</v>
      </c>
      <c r="J811" s="25">
        <v>750</v>
      </c>
      <c r="K811" s="25">
        <v>500</v>
      </c>
      <c r="L811" s="25">
        <v>250</v>
      </c>
      <c r="M811" s="27">
        <v>50</v>
      </c>
      <c r="N811" s="25" t="s">
        <v>63</v>
      </c>
      <c r="O811" s="25" t="s">
        <v>28</v>
      </c>
      <c r="P811" s="25" t="s">
        <v>32</v>
      </c>
    </row>
    <row r="812" spans="1:16" x14ac:dyDescent="0.3">
      <c r="A812" s="25">
        <v>811</v>
      </c>
      <c r="B812" s="26">
        <v>45491</v>
      </c>
      <c r="C812" s="25" t="s">
        <v>62</v>
      </c>
      <c r="D812" s="25" t="s">
        <v>21</v>
      </c>
      <c r="E812" s="25" t="s">
        <v>88</v>
      </c>
      <c r="F812" s="25">
        <v>4</v>
      </c>
      <c r="G812" s="25" t="s">
        <v>89</v>
      </c>
      <c r="H812" s="25">
        <v>130</v>
      </c>
      <c r="I812" s="25">
        <v>100</v>
      </c>
      <c r="J812" s="25">
        <v>520</v>
      </c>
      <c r="K812" s="25">
        <v>400</v>
      </c>
      <c r="L812" s="25">
        <v>120</v>
      </c>
      <c r="M812" s="27">
        <v>30</v>
      </c>
      <c r="N812" s="25" t="s">
        <v>63</v>
      </c>
      <c r="O812" s="25" t="s">
        <v>27</v>
      </c>
      <c r="P812" s="25" t="s">
        <v>32</v>
      </c>
    </row>
    <row r="813" spans="1:16" x14ac:dyDescent="0.3">
      <c r="A813" s="25">
        <v>812</v>
      </c>
      <c r="B813" s="26">
        <v>45491</v>
      </c>
      <c r="C813" s="25" t="s">
        <v>62</v>
      </c>
      <c r="D813" s="25" t="s">
        <v>21</v>
      </c>
      <c r="E813" s="25" t="s">
        <v>88</v>
      </c>
      <c r="F813" s="25">
        <v>6</v>
      </c>
      <c r="G813" s="25" t="s">
        <v>89</v>
      </c>
      <c r="H813" s="25">
        <v>130</v>
      </c>
      <c r="I813" s="25">
        <v>100</v>
      </c>
      <c r="J813" s="25">
        <v>780</v>
      </c>
      <c r="K813" s="25">
        <v>600</v>
      </c>
      <c r="L813" s="25">
        <v>180</v>
      </c>
      <c r="M813" s="27">
        <v>30</v>
      </c>
      <c r="N813" s="25" t="s">
        <v>63</v>
      </c>
      <c r="O813" s="25" t="s">
        <v>27</v>
      </c>
      <c r="P813" s="25" t="s">
        <v>32</v>
      </c>
    </row>
    <row r="814" spans="1:16" x14ac:dyDescent="0.3">
      <c r="A814" s="25">
        <v>813</v>
      </c>
      <c r="B814" s="26">
        <v>45491</v>
      </c>
      <c r="C814" s="25" t="s">
        <v>62</v>
      </c>
      <c r="D814" s="25" t="s">
        <v>21</v>
      </c>
      <c r="E814" s="25" t="s">
        <v>88</v>
      </c>
      <c r="F814" s="25">
        <v>7</v>
      </c>
      <c r="G814" s="25" t="s">
        <v>89</v>
      </c>
      <c r="H814" s="25">
        <v>130</v>
      </c>
      <c r="I814" s="25">
        <v>100</v>
      </c>
      <c r="J814" s="25">
        <v>910</v>
      </c>
      <c r="K814" s="25">
        <v>700</v>
      </c>
      <c r="L814" s="25">
        <v>210</v>
      </c>
      <c r="M814" s="27">
        <v>30</v>
      </c>
      <c r="N814" s="25" t="s">
        <v>63</v>
      </c>
      <c r="O814" s="25" t="s">
        <v>27</v>
      </c>
      <c r="P814" s="25" t="s">
        <v>32</v>
      </c>
    </row>
    <row r="815" spans="1:16" x14ac:dyDescent="0.3">
      <c r="A815" s="25">
        <v>814</v>
      </c>
      <c r="B815" s="26">
        <v>45491</v>
      </c>
      <c r="C815" s="25" t="s">
        <v>62</v>
      </c>
      <c r="D815" s="25" t="s">
        <v>21</v>
      </c>
      <c r="E815" s="25" t="s">
        <v>88</v>
      </c>
      <c r="F815" s="25">
        <v>14</v>
      </c>
      <c r="G815" s="25" t="s">
        <v>89</v>
      </c>
      <c r="H815" s="25">
        <v>130</v>
      </c>
      <c r="I815" s="25">
        <v>100</v>
      </c>
      <c r="J815" s="25">
        <v>1820</v>
      </c>
      <c r="K815" s="25">
        <v>1400</v>
      </c>
      <c r="L815" s="25">
        <v>420</v>
      </c>
      <c r="M815" s="27">
        <v>30</v>
      </c>
      <c r="N815" s="25" t="s">
        <v>63</v>
      </c>
      <c r="O815" s="25" t="s">
        <v>27</v>
      </c>
      <c r="P815" s="25" t="s">
        <v>32</v>
      </c>
    </row>
    <row r="816" spans="1:16" x14ac:dyDescent="0.3">
      <c r="A816" s="25">
        <v>815</v>
      </c>
      <c r="B816" s="26">
        <v>45491</v>
      </c>
      <c r="C816" s="25" t="s">
        <v>62</v>
      </c>
      <c r="D816" s="25" t="s">
        <v>21</v>
      </c>
      <c r="E816" s="25" t="s">
        <v>88</v>
      </c>
      <c r="F816" s="25">
        <v>2</v>
      </c>
      <c r="G816" s="25" t="s">
        <v>89</v>
      </c>
      <c r="H816" s="25">
        <v>130</v>
      </c>
      <c r="I816" s="25">
        <v>100</v>
      </c>
      <c r="J816" s="25">
        <v>260</v>
      </c>
      <c r="K816" s="25">
        <v>200</v>
      </c>
      <c r="L816" s="25">
        <v>60</v>
      </c>
      <c r="M816" s="27">
        <v>30</v>
      </c>
      <c r="N816" s="25" t="s">
        <v>63</v>
      </c>
      <c r="O816" s="25" t="s">
        <v>27</v>
      </c>
      <c r="P816" s="25" t="s">
        <v>32</v>
      </c>
    </row>
    <row r="817" spans="1:16" x14ac:dyDescent="0.3">
      <c r="A817" s="25">
        <v>816</v>
      </c>
      <c r="B817" s="26">
        <v>45491</v>
      </c>
      <c r="C817" s="25" t="s">
        <v>62</v>
      </c>
      <c r="D817" s="25" t="s">
        <v>21</v>
      </c>
      <c r="E817" s="25" t="s">
        <v>93</v>
      </c>
      <c r="F817" s="25">
        <v>3</v>
      </c>
      <c r="G817" s="25" t="s">
        <v>89</v>
      </c>
      <c r="H817" s="25">
        <v>250</v>
      </c>
      <c r="I817" s="25">
        <v>180</v>
      </c>
      <c r="J817" s="25">
        <v>750</v>
      </c>
      <c r="K817" s="25">
        <v>540</v>
      </c>
      <c r="L817" s="25">
        <v>210</v>
      </c>
      <c r="M817" s="27">
        <v>38.8888888888889</v>
      </c>
      <c r="N817" s="25" t="s">
        <v>63</v>
      </c>
      <c r="O817" s="25" t="s">
        <v>27</v>
      </c>
      <c r="P817" s="25" t="s">
        <v>32</v>
      </c>
    </row>
    <row r="818" spans="1:16" x14ac:dyDescent="0.3">
      <c r="A818" s="25">
        <v>817</v>
      </c>
      <c r="B818" s="26">
        <v>45491</v>
      </c>
      <c r="C818" s="25" t="s">
        <v>62</v>
      </c>
      <c r="D818" s="25" t="s">
        <v>21</v>
      </c>
      <c r="E818" s="25" t="s">
        <v>98</v>
      </c>
      <c r="F818" s="25">
        <v>5</v>
      </c>
      <c r="G818" s="25" t="s">
        <v>89</v>
      </c>
      <c r="H818" s="25">
        <v>95</v>
      </c>
      <c r="I818" s="25">
        <v>55</v>
      </c>
      <c r="J818" s="25">
        <v>475</v>
      </c>
      <c r="K818" s="25">
        <v>275</v>
      </c>
      <c r="L818" s="25">
        <v>200</v>
      </c>
      <c r="M818" s="27">
        <v>72.727272727272705</v>
      </c>
      <c r="N818" s="25" t="s">
        <v>63</v>
      </c>
      <c r="O818" s="25" t="s">
        <v>27</v>
      </c>
      <c r="P818" s="25" t="s">
        <v>32</v>
      </c>
    </row>
    <row r="819" spans="1:16" x14ac:dyDescent="0.3">
      <c r="A819" s="25">
        <v>818</v>
      </c>
      <c r="B819" s="26">
        <v>45491</v>
      </c>
      <c r="C819" s="25" t="s">
        <v>62</v>
      </c>
      <c r="D819" s="25" t="s">
        <v>21</v>
      </c>
      <c r="E819" s="25" t="s">
        <v>94</v>
      </c>
      <c r="F819" s="25">
        <v>18</v>
      </c>
      <c r="G819" s="25" t="s">
        <v>89</v>
      </c>
      <c r="H819" s="25">
        <v>30</v>
      </c>
      <c r="I819" s="25">
        <v>26</v>
      </c>
      <c r="J819" s="25">
        <v>540</v>
      </c>
      <c r="K819" s="25">
        <v>468</v>
      </c>
      <c r="L819" s="25">
        <v>72</v>
      </c>
      <c r="M819" s="27">
        <v>15.384615384615399</v>
      </c>
      <c r="N819" s="25" t="s">
        <v>63</v>
      </c>
      <c r="O819" s="25" t="s">
        <v>27</v>
      </c>
      <c r="P819" s="25" t="s">
        <v>32</v>
      </c>
    </row>
    <row r="820" spans="1:16" x14ac:dyDescent="0.3">
      <c r="A820" s="25">
        <v>819</v>
      </c>
      <c r="B820" s="26">
        <v>45491</v>
      </c>
      <c r="C820" s="25" t="s">
        <v>62</v>
      </c>
      <c r="D820" s="25" t="s">
        <v>21</v>
      </c>
      <c r="E820" s="25" t="s">
        <v>88</v>
      </c>
      <c r="F820" s="25">
        <v>5</v>
      </c>
      <c r="G820" s="25" t="s">
        <v>89</v>
      </c>
      <c r="H820" s="25">
        <v>130</v>
      </c>
      <c r="I820" s="25">
        <v>100</v>
      </c>
      <c r="J820" s="25">
        <v>650</v>
      </c>
      <c r="K820" s="25">
        <v>500</v>
      </c>
      <c r="L820" s="25">
        <v>150</v>
      </c>
      <c r="M820" s="27">
        <v>30</v>
      </c>
      <c r="N820" s="25" t="s">
        <v>63</v>
      </c>
      <c r="O820" s="25" t="s">
        <v>27</v>
      </c>
      <c r="P820" s="25" t="s">
        <v>32</v>
      </c>
    </row>
    <row r="821" spans="1:16" x14ac:dyDescent="0.3">
      <c r="A821" s="25">
        <v>820</v>
      </c>
      <c r="B821" s="26">
        <v>45492</v>
      </c>
      <c r="C821" s="25" t="s">
        <v>62</v>
      </c>
      <c r="D821" s="25" t="s">
        <v>21</v>
      </c>
      <c r="E821" s="25" t="s">
        <v>88</v>
      </c>
      <c r="F821" s="25">
        <v>6</v>
      </c>
      <c r="G821" s="25" t="s">
        <v>89</v>
      </c>
      <c r="H821" s="25">
        <v>130</v>
      </c>
      <c r="I821" s="25">
        <v>100</v>
      </c>
      <c r="J821" s="25">
        <v>780</v>
      </c>
      <c r="K821" s="25">
        <v>600</v>
      </c>
      <c r="L821" s="25">
        <v>180</v>
      </c>
      <c r="M821" s="27">
        <v>30</v>
      </c>
      <c r="N821" s="25" t="s">
        <v>63</v>
      </c>
      <c r="O821" s="25" t="s">
        <v>27</v>
      </c>
      <c r="P821" s="25" t="s">
        <v>32</v>
      </c>
    </row>
    <row r="822" spans="1:16" x14ac:dyDescent="0.3">
      <c r="A822" s="25">
        <v>821</v>
      </c>
      <c r="B822" s="26">
        <v>45492</v>
      </c>
      <c r="C822" s="25" t="s">
        <v>62</v>
      </c>
      <c r="D822" s="25" t="s">
        <v>21</v>
      </c>
      <c r="E822" s="25" t="s">
        <v>88</v>
      </c>
      <c r="F822" s="25">
        <v>9</v>
      </c>
      <c r="G822" s="25" t="s">
        <v>89</v>
      </c>
      <c r="H822" s="25">
        <v>130</v>
      </c>
      <c r="I822" s="25">
        <v>100</v>
      </c>
      <c r="J822" s="25">
        <v>1170</v>
      </c>
      <c r="K822" s="25">
        <v>900</v>
      </c>
      <c r="L822" s="25">
        <v>270</v>
      </c>
      <c r="M822" s="27">
        <v>30</v>
      </c>
      <c r="N822" s="25" t="s">
        <v>63</v>
      </c>
      <c r="O822" s="25" t="s">
        <v>27</v>
      </c>
      <c r="P822" s="25" t="s">
        <v>32</v>
      </c>
    </row>
    <row r="823" spans="1:16" x14ac:dyDescent="0.3">
      <c r="A823" s="25">
        <v>822</v>
      </c>
      <c r="B823" s="26">
        <v>45492</v>
      </c>
      <c r="C823" s="25" t="s">
        <v>62</v>
      </c>
      <c r="D823" s="25" t="s">
        <v>21</v>
      </c>
      <c r="E823" s="25" t="s">
        <v>88</v>
      </c>
      <c r="F823" s="25">
        <v>13</v>
      </c>
      <c r="G823" s="25" t="s">
        <v>89</v>
      </c>
      <c r="H823" s="25">
        <v>130</v>
      </c>
      <c r="I823" s="25">
        <v>100</v>
      </c>
      <c r="J823" s="25">
        <v>1690</v>
      </c>
      <c r="K823" s="25">
        <v>1300</v>
      </c>
      <c r="L823" s="25">
        <v>390</v>
      </c>
      <c r="M823" s="27">
        <v>30</v>
      </c>
      <c r="N823" s="25" t="s">
        <v>63</v>
      </c>
      <c r="O823" s="25" t="s">
        <v>27</v>
      </c>
      <c r="P823" s="25" t="s">
        <v>32</v>
      </c>
    </row>
    <row r="824" spans="1:16" x14ac:dyDescent="0.3">
      <c r="A824" s="25">
        <v>823</v>
      </c>
      <c r="B824" s="26">
        <v>45492</v>
      </c>
      <c r="C824" s="25" t="s">
        <v>62</v>
      </c>
      <c r="D824" s="25" t="s">
        <v>21</v>
      </c>
      <c r="E824" s="25" t="s">
        <v>88</v>
      </c>
      <c r="F824" s="25">
        <v>5</v>
      </c>
      <c r="G824" s="25" t="s">
        <v>89</v>
      </c>
      <c r="H824" s="25">
        <v>130</v>
      </c>
      <c r="I824" s="25">
        <v>100</v>
      </c>
      <c r="J824" s="25">
        <v>650</v>
      </c>
      <c r="K824" s="25">
        <v>500</v>
      </c>
      <c r="L824" s="25">
        <v>150</v>
      </c>
      <c r="M824" s="27">
        <v>30</v>
      </c>
      <c r="N824" s="25" t="s">
        <v>63</v>
      </c>
      <c r="O824" s="25" t="s">
        <v>27</v>
      </c>
      <c r="P824" s="25" t="s">
        <v>32</v>
      </c>
    </row>
    <row r="825" spans="1:16" x14ac:dyDescent="0.3">
      <c r="A825" s="25">
        <v>824</v>
      </c>
      <c r="B825" s="26">
        <v>45492</v>
      </c>
      <c r="C825" s="25" t="s">
        <v>62</v>
      </c>
      <c r="D825" s="25" t="s">
        <v>21</v>
      </c>
      <c r="E825" s="25" t="s">
        <v>95</v>
      </c>
      <c r="F825" s="25">
        <v>5</v>
      </c>
      <c r="G825" s="25" t="s">
        <v>89</v>
      </c>
      <c r="H825" s="25">
        <v>150</v>
      </c>
      <c r="I825" s="25">
        <v>100</v>
      </c>
      <c r="J825" s="25">
        <v>750</v>
      </c>
      <c r="K825" s="25">
        <v>500</v>
      </c>
      <c r="L825" s="25">
        <v>250</v>
      </c>
      <c r="M825" s="27">
        <v>50</v>
      </c>
      <c r="N825" s="25" t="s">
        <v>63</v>
      </c>
      <c r="O825" s="25" t="s">
        <v>28</v>
      </c>
      <c r="P825" s="25" t="s">
        <v>32</v>
      </c>
    </row>
    <row r="826" spans="1:16" x14ac:dyDescent="0.3">
      <c r="A826" s="25">
        <v>825</v>
      </c>
      <c r="B826" s="26">
        <v>45492</v>
      </c>
      <c r="C826" s="25" t="s">
        <v>62</v>
      </c>
      <c r="D826" s="25" t="s">
        <v>21</v>
      </c>
      <c r="E826" s="25" t="s">
        <v>88</v>
      </c>
      <c r="F826" s="25">
        <v>5</v>
      </c>
      <c r="G826" s="25" t="s">
        <v>89</v>
      </c>
      <c r="H826" s="25">
        <v>130</v>
      </c>
      <c r="I826" s="25">
        <v>100</v>
      </c>
      <c r="J826" s="25">
        <v>650</v>
      </c>
      <c r="K826" s="25">
        <v>500</v>
      </c>
      <c r="L826" s="25">
        <v>150</v>
      </c>
      <c r="M826" s="27">
        <v>30</v>
      </c>
      <c r="N826" s="25" t="s">
        <v>63</v>
      </c>
      <c r="O826" s="25" t="s">
        <v>27</v>
      </c>
      <c r="P826" s="25" t="s">
        <v>32</v>
      </c>
    </row>
    <row r="827" spans="1:16" x14ac:dyDescent="0.3">
      <c r="A827" s="25">
        <v>826</v>
      </c>
      <c r="B827" s="26">
        <v>45492</v>
      </c>
      <c r="C827" s="25" t="s">
        <v>62</v>
      </c>
      <c r="D827" s="25" t="s">
        <v>21</v>
      </c>
      <c r="E827" s="25" t="s">
        <v>93</v>
      </c>
      <c r="F827" s="25">
        <v>2</v>
      </c>
      <c r="G827" s="25" t="s">
        <v>89</v>
      </c>
      <c r="H827" s="25">
        <v>250</v>
      </c>
      <c r="I827" s="25">
        <v>180</v>
      </c>
      <c r="J827" s="25">
        <v>500</v>
      </c>
      <c r="K827" s="25">
        <v>360</v>
      </c>
      <c r="L827" s="25">
        <v>140</v>
      </c>
      <c r="M827" s="27">
        <v>38.8888888888889</v>
      </c>
      <c r="N827" s="25" t="s">
        <v>63</v>
      </c>
      <c r="O827" s="25" t="s">
        <v>27</v>
      </c>
      <c r="P827" s="25" t="s">
        <v>32</v>
      </c>
    </row>
    <row r="828" spans="1:16" x14ac:dyDescent="0.3">
      <c r="A828" s="25">
        <v>827</v>
      </c>
      <c r="B828" s="26">
        <v>45492</v>
      </c>
      <c r="C828" s="25" t="s">
        <v>62</v>
      </c>
      <c r="D828" s="25" t="s">
        <v>21</v>
      </c>
      <c r="E828" s="25" t="s">
        <v>94</v>
      </c>
      <c r="F828" s="25">
        <v>14</v>
      </c>
      <c r="G828" s="25" t="s">
        <v>89</v>
      </c>
      <c r="H828" s="25">
        <v>30</v>
      </c>
      <c r="I828" s="25">
        <v>26</v>
      </c>
      <c r="J828" s="25">
        <v>420</v>
      </c>
      <c r="K828" s="25">
        <v>364</v>
      </c>
      <c r="L828" s="25">
        <v>56</v>
      </c>
      <c r="M828" s="27">
        <v>15.384615384615399</v>
      </c>
      <c r="N828" s="25" t="s">
        <v>63</v>
      </c>
      <c r="O828" s="25" t="s">
        <v>27</v>
      </c>
      <c r="P828" s="25" t="s">
        <v>32</v>
      </c>
    </row>
    <row r="829" spans="1:16" x14ac:dyDescent="0.3">
      <c r="A829" s="25">
        <v>828</v>
      </c>
      <c r="B829" s="26">
        <v>45492</v>
      </c>
      <c r="C829" s="25" t="s">
        <v>62</v>
      </c>
      <c r="D829" s="25" t="s">
        <v>21</v>
      </c>
      <c r="E829" s="25" t="s">
        <v>98</v>
      </c>
      <c r="F829" s="25">
        <v>2</v>
      </c>
      <c r="G829" s="25" t="s">
        <v>89</v>
      </c>
      <c r="H829" s="25">
        <v>95</v>
      </c>
      <c r="I829" s="25">
        <v>55</v>
      </c>
      <c r="J829" s="25">
        <v>190</v>
      </c>
      <c r="K829" s="25">
        <v>110</v>
      </c>
      <c r="L829" s="25">
        <v>80</v>
      </c>
      <c r="M829" s="27">
        <v>72.727272727272705</v>
      </c>
      <c r="N829" s="25" t="s">
        <v>63</v>
      </c>
      <c r="O829" s="25" t="s">
        <v>27</v>
      </c>
      <c r="P829" s="25" t="s">
        <v>32</v>
      </c>
    </row>
    <row r="830" spans="1:16" x14ac:dyDescent="0.3">
      <c r="A830" s="25">
        <v>829</v>
      </c>
      <c r="B830" s="26">
        <v>45492</v>
      </c>
      <c r="C830" s="25" t="s">
        <v>62</v>
      </c>
      <c r="D830" s="25" t="s">
        <v>21</v>
      </c>
      <c r="E830" s="25" t="s">
        <v>88</v>
      </c>
      <c r="F830" s="25">
        <v>7</v>
      </c>
      <c r="G830" s="25" t="s">
        <v>89</v>
      </c>
      <c r="H830" s="25">
        <v>130</v>
      </c>
      <c r="I830" s="25">
        <v>100</v>
      </c>
      <c r="J830" s="25">
        <v>910</v>
      </c>
      <c r="K830" s="25">
        <v>700</v>
      </c>
      <c r="L830" s="25">
        <v>210</v>
      </c>
      <c r="M830" s="27">
        <v>30</v>
      </c>
      <c r="N830" s="25" t="s">
        <v>63</v>
      </c>
      <c r="O830" s="25" t="s">
        <v>27</v>
      </c>
      <c r="P830" s="25" t="s">
        <v>32</v>
      </c>
    </row>
    <row r="831" spans="1:16" x14ac:dyDescent="0.3">
      <c r="A831" s="25">
        <v>830</v>
      </c>
      <c r="B831" s="26">
        <v>45492</v>
      </c>
      <c r="C831" s="25" t="s">
        <v>62</v>
      </c>
      <c r="D831" s="25" t="s">
        <v>21</v>
      </c>
      <c r="E831" s="25" t="s">
        <v>88</v>
      </c>
      <c r="F831" s="25">
        <v>8</v>
      </c>
      <c r="G831" s="25" t="s">
        <v>89</v>
      </c>
      <c r="H831" s="25">
        <v>130</v>
      </c>
      <c r="I831" s="25">
        <v>100</v>
      </c>
      <c r="J831" s="25">
        <v>1040</v>
      </c>
      <c r="K831" s="25">
        <v>800</v>
      </c>
      <c r="L831" s="25">
        <v>240</v>
      </c>
      <c r="M831" s="27">
        <v>30</v>
      </c>
      <c r="N831" s="25" t="s">
        <v>63</v>
      </c>
      <c r="O831" s="25" t="s">
        <v>27</v>
      </c>
      <c r="P831" s="25" t="s">
        <v>32</v>
      </c>
    </row>
    <row r="832" spans="1:16" x14ac:dyDescent="0.3">
      <c r="A832" s="25">
        <v>831</v>
      </c>
      <c r="B832" s="26">
        <v>45493</v>
      </c>
      <c r="C832" s="25" t="s">
        <v>62</v>
      </c>
      <c r="D832" s="25" t="s">
        <v>21</v>
      </c>
      <c r="E832" s="25" t="s">
        <v>94</v>
      </c>
      <c r="F832" s="25">
        <v>14</v>
      </c>
      <c r="G832" s="25" t="s">
        <v>89</v>
      </c>
      <c r="H832" s="25">
        <v>30</v>
      </c>
      <c r="I832" s="25">
        <v>26</v>
      </c>
      <c r="J832" s="25">
        <v>420</v>
      </c>
      <c r="K832" s="25">
        <v>364</v>
      </c>
      <c r="L832" s="25">
        <v>56</v>
      </c>
      <c r="M832" s="27">
        <v>15.384615384615399</v>
      </c>
      <c r="N832" s="25" t="s">
        <v>63</v>
      </c>
      <c r="O832" s="25" t="s">
        <v>27</v>
      </c>
      <c r="P832" s="25" t="s">
        <v>32</v>
      </c>
    </row>
    <row r="833" spans="1:16" x14ac:dyDescent="0.3">
      <c r="A833" s="25">
        <v>832</v>
      </c>
      <c r="B833" s="26">
        <v>45493</v>
      </c>
      <c r="C833" s="25" t="s">
        <v>62</v>
      </c>
      <c r="D833" s="25" t="s">
        <v>21</v>
      </c>
      <c r="E833" s="25" t="s">
        <v>88</v>
      </c>
      <c r="F833" s="25">
        <v>5</v>
      </c>
      <c r="G833" s="25" t="s">
        <v>89</v>
      </c>
      <c r="H833" s="25">
        <v>130</v>
      </c>
      <c r="I833" s="25">
        <v>100</v>
      </c>
      <c r="J833" s="25">
        <v>650</v>
      </c>
      <c r="K833" s="25">
        <v>500</v>
      </c>
      <c r="L833" s="25">
        <v>150</v>
      </c>
      <c r="M833" s="27">
        <v>30</v>
      </c>
      <c r="N833" s="25" t="s">
        <v>63</v>
      </c>
      <c r="O833" s="25" t="s">
        <v>27</v>
      </c>
      <c r="P833" s="25" t="s">
        <v>32</v>
      </c>
    </row>
    <row r="834" spans="1:16" x14ac:dyDescent="0.3">
      <c r="A834" s="25">
        <v>833</v>
      </c>
      <c r="B834" s="26">
        <v>45493</v>
      </c>
      <c r="C834" s="25" t="s">
        <v>62</v>
      </c>
      <c r="D834" s="25" t="s">
        <v>21</v>
      </c>
      <c r="E834" s="25" t="s">
        <v>88</v>
      </c>
      <c r="F834" s="25">
        <v>3</v>
      </c>
      <c r="G834" s="25" t="s">
        <v>89</v>
      </c>
      <c r="H834" s="25">
        <v>130</v>
      </c>
      <c r="I834" s="25">
        <v>100</v>
      </c>
      <c r="J834" s="25">
        <v>390</v>
      </c>
      <c r="K834" s="25">
        <v>300</v>
      </c>
      <c r="L834" s="25">
        <v>90</v>
      </c>
      <c r="M834" s="27">
        <v>30</v>
      </c>
      <c r="N834" s="25" t="s">
        <v>63</v>
      </c>
      <c r="O834" s="25" t="s">
        <v>27</v>
      </c>
      <c r="P834" s="25" t="s">
        <v>32</v>
      </c>
    </row>
    <row r="835" spans="1:16" x14ac:dyDescent="0.3">
      <c r="A835" s="25">
        <v>834</v>
      </c>
      <c r="B835" s="26">
        <v>45493</v>
      </c>
      <c r="C835" s="25" t="s">
        <v>62</v>
      </c>
      <c r="D835" s="25" t="s">
        <v>21</v>
      </c>
      <c r="E835" s="25" t="s">
        <v>88</v>
      </c>
      <c r="F835" s="25">
        <v>9</v>
      </c>
      <c r="G835" s="25" t="s">
        <v>89</v>
      </c>
      <c r="H835" s="25">
        <v>130</v>
      </c>
      <c r="I835" s="25">
        <v>100</v>
      </c>
      <c r="J835" s="25">
        <v>1170</v>
      </c>
      <c r="K835" s="25">
        <v>900</v>
      </c>
      <c r="L835" s="25">
        <v>270</v>
      </c>
      <c r="M835" s="27">
        <v>30</v>
      </c>
      <c r="N835" s="25" t="s">
        <v>63</v>
      </c>
      <c r="O835" s="25" t="s">
        <v>27</v>
      </c>
      <c r="P835" s="25" t="s">
        <v>32</v>
      </c>
    </row>
    <row r="836" spans="1:16" x14ac:dyDescent="0.3">
      <c r="A836" s="25">
        <v>835</v>
      </c>
      <c r="B836" s="26">
        <v>45493</v>
      </c>
      <c r="C836" s="25" t="s">
        <v>62</v>
      </c>
      <c r="D836" s="25" t="s">
        <v>21</v>
      </c>
      <c r="E836" s="25" t="s">
        <v>98</v>
      </c>
      <c r="F836" s="25">
        <v>2</v>
      </c>
      <c r="G836" s="25" t="s">
        <v>89</v>
      </c>
      <c r="H836" s="25">
        <v>95</v>
      </c>
      <c r="I836" s="25">
        <v>55</v>
      </c>
      <c r="J836" s="25">
        <v>190</v>
      </c>
      <c r="K836" s="25">
        <v>110</v>
      </c>
      <c r="L836" s="25">
        <v>80</v>
      </c>
      <c r="M836" s="27">
        <v>72.727272727272705</v>
      </c>
      <c r="N836" s="25" t="s">
        <v>63</v>
      </c>
      <c r="O836" s="25" t="s">
        <v>27</v>
      </c>
      <c r="P836" s="25" t="s">
        <v>32</v>
      </c>
    </row>
    <row r="837" spans="1:16" x14ac:dyDescent="0.3">
      <c r="A837" s="25">
        <v>836</v>
      </c>
      <c r="B837" s="26">
        <v>45493</v>
      </c>
      <c r="C837" s="25" t="s">
        <v>62</v>
      </c>
      <c r="D837" s="25" t="s">
        <v>21</v>
      </c>
      <c r="E837" s="25" t="s">
        <v>95</v>
      </c>
      <c r="F837" s="25">
        <v>5</v>
      </c>
      <c r="G837" s="25" t="s">
        <v>89</v>
      </c>
      <c r="H837" s="25">
        <v>150</v>
      </c>
      <c r="I837" s="25">
        <v>100</v>
      </c>
      <c r="J837" s="25">
        <v>750</v>
      </c>
      <c r="K837" s="25">
        <v>500</v>
      </c>
      <c r="L837" s="25">
        <v>250</v>
      </c>
      <c r="M837" s="27">
        <v>50</v>
      </c>
      <c r="N837" s="25" t="s">
        <v>63</v>
      </c>
      <c r="O837" s="25" t="s">
        <v>28</v>
      </c>
      <c r="P837" s="25" t="s">
        <v>32</v>
      </c>
    </row>
    <row r="838" spans="1:16" x14ac:dyDescent="0.3">
      <c r="A838" s="25">
        <v>837</v>
      </c>
      <c r="B838" s="26">
        <v>45493</v>
      </c>
      <c r="C838" s="25" t="s">
        <v>62</v>
      </c>
      <c r="D838" s="25" t="s">
        <v>21</v>
      </c>
      <c r="E838" s="25" t="s">
        <v>93</v>
      </c>
      <c r="F838" s="25">
        <v>2</v>
      </c>
      <c r="G838" s="25" t="s">
        <v>89</v>
      </c>
      <c r="H838" s="25">
        <v>250</v>
      </c>
      <c r="I838" s="25">
        <v>180</v>
      </c>
      <c r="J838" s="25">
        <v>500</v>
      </c>
      <c r="K838" s="25">
        <v>360</v>
      </c>
      <c r="L838" s="25">
        <v>140</v>
      </c>
      <c r="M838" s="27">
        <v>38.8888888888889</v>
      </c>
      <c r="N838" s="25" t="s">
        <v>63</v>
      </c>
      <c r="O838" s="25" t="s">
        <v>27</v>
      </c>
      <c r="P838" s="25" t="s">
        <v>32</v>
      </c>
    </row>
    <row r="839" spans="1:16" x14ac:dyDescent="0.3">
      <c r="A839" s="25">
        <v>838</v>
      </c>
      <c r="B839" s="26">
        <v>45493</v>
      </c>
      <c r="C839" s="25" t="s">
        <v>62</v>
      </c>
      <c r="D839" s="25" t="s">
        <v>21</v>
      </c>
      <c r="E839" s="25" t="s">
        <v>94</v>
      </c>
      <c r="F839" s="25">
        <v>24</v>
      </c>
      <c r="G839" s="25" t="s">
        <v>89</v>
      </c>
      <c r="H839" s="25">
        <v>30</v>
      </c>
      <c r="I839" s="25">
        <v>26</v>
      </c>
      <c r="J839" s="25">
        <v>720</v>
      </c>
      <c r="K839" s="25">
        <v>624</v>
      </c>
      <c r="L839" s="25">
        <v>96</v>
      </c>
      <c r="M839" s="27">
        <v>15.384615384615399</v>
      </c>
      <c r="N839" s="25" t="s">
        <v>63</v>
      </c>
      <c r="O839" s="25" t="s">
        <v>27</v>
      </c>
      <c r="P839" s="25" t="s">
        <v>32</v>
      </c>
    </row>
    <row r="840" spans="1:16" x14ac:dyDescent="0.3">
      <c r="A840" s="25">
        <v>839</v>
      </c>
      <c r="B840" s="26">
        <v>45493</v>
      </c>
      <c r="C840" s="25" t="s">
        <v>62</v>
      </c>
      <c r="D840" s="25" t="s">
        <v>21</v>
      </c>
      <c r="E840" s="25" t="s">
        <v>88</v>
      </c>
      <c r="F840" s="25">
        <v>5</v>
      </c>
      <c r="G840" s="25" t="s">
        <v>89</v>
      </c>
      <c r="H840" s="25">
        <v>130</v>
      </c>
      <c r="I840" s="25">
        <v>100</v>
      </c>
      <c r="J840" s="25">
        <v>650</v>
      </c>
      <c r="K840" s="25">
        <v>500</v>
      </c>
      <c r="L840" s="25">
        <v>150</v>
      </c>
      <c r="M840" s="27">
        <v>30</v>
      </c>
      <c r="N840" s="25" t="s">
        <v>63</v>
      </c>
      <c r="O840" s="25" t="s">
        <v>27</v>
      </c>
      <c r="P840" s="25" t="s">
        <v>32</v>
      </c>
    </row>
    <row r="841" spans="1:16" x14ac:dyDescent="0.3">
      <c r="A841" s="25">
        <v>840</v>
      </c>
      <c r="B841" s="26">
        <v>45493</v>
      </c>
      <c r="C841" s="25" t="s">
        <v>62</v>
      </c>
      <c r="D841" s="25" t="s">
        <v>21</v>
      </c>
      <c r="E841" s="25" t="s">
        <v>98</v>
      </c>
      <c r="F841" s="25">
        <v>2</v>
      </c>
      <c r="G841" s="25" t="s">
        <v>89</v>
      </c>
      <c r="H841" s="25">
        <v>95</v>
      </c>
      <c r="I841" s="25">
        <v>55</v>
      </c>
      <c r="J841" s="25">
        <v>190</v>
      </c>
      <c r="K841" s="25">
        <v>110</v>
      </c>
      <c r="L841" s="25">
        <v>80</v>
      </c>
      <c r="M841" s="27">
        <v>72.727272727272705</v>
      </c>
      <c r="N841" s="25" t="s">
        <v>63</v>
      </c>
      <c r="O841" s="25" t="s">
        <v>27</v>
      </c>
      <c r="P841" s="25" t="s">
        <v>32</v>
      </c>
    </row>
    <row r="842" spans="1:16" x14ac:dyDescent="0.3">
      <c r="A842" s="25">
        <v>841</v>
      </c>
      <c r="B842" s="26">
        <v>45493</v>
      </c>
      <c r="C842" s="25" t="s">
        <v>62</v>
      </c>
      <c r="D842" s="25" t="s">
        <v>21</v>
      </c>
      <c r="E842" s="25" t="s">
        <v>95</v>
      </c>
      <c r="F842" s="25">
        <v>4</v>
      </c>
      <c r="G842" s="25" t="s">
        <v>89</v>
      </c>
      <c r="H842" s="25">
        <v>150</v>
      </c>
      <c r="I842" s="25">
        <v>100</v>
      </c>
      <c r="J842" s="25">
        <v>600</v>
      </c>
      <c r="K842" s="25">
        <v>400</v>
      </c>
      <c r="L842" s="25">
        <v>200</v>
      </c>
      <c r="M842" s="27">
        <v>50</v>
      </c>
      <c r="N842" s="25" t="s">
        <v>63</v>
      </c>
      <c r="O842" s="25" t="s">
        <v>28</v>
      </c>
      <c r="P842" s="25" t="s">
        <v>32</v>
      </c>
    </row>
    <row r="843" spans="1:16" x14ac:dyDescent="0.3">
      <c r="A843" s="25">
        <v>842</v>
      </c>
      <c r="B843" s="26">
        <v>45493</v>
      </c>
      <c r="C843" s="25" t="s">
        <v>62</v>
      </c>
      <c r="D843" s="25" t="s">
        <v>21</v>
      </c>
      <c r="E843" s="25" t="s">
        <v>88</v>
      </c>
      <c r="F843" s="25">
        <v>15</v>
      </c>
      <c r="G843" s="25" t="s">
        <v>89</v>
      </c>
      <c r="H843" s="25">
        <v>130</v>
      </c>
      <c r="I843" s="25">
        <v>100</v>
      </c>
      <c r="J843" s="25">
        <v>1950</v>
      </c>
      <c r="K843" s="25">
        <v>1500</v>
      </c>
      <c r="L843" s="25">
        <v>450</v>
      </c>
      <c r="M843" s="27">
        <v>30</v>
      </c>
      <c r="N843" s="25" t="s">
        <v>63</v>
      </c>
      <c r="O843" s="25" t="s">
        <v>27</v>
      </c>
      <c r="P843" s="25" t="s">
        <v>32</v>
      </c>
    </row>
    <row r="844" spans="1:16" x14ac:dyDescent="0.3">
      <c r="A844" s="25">
        <v>843</v>
      </c>
      <c r="B844" s="26">
        <v>45493</v>
      </c>
      <c r="C844" s="25" t="s">
        <v>62</v>
      </c>
      <c r="D844" s="25" t="s">
        <v>21</v>
      </c>
      <c r="E844" s="25" t="s">
        <v>88</v>
      </c>
      <c r="F844" s="25">
        <v>17</v>
      </c>
      <c r="G844" s="25" t="s">
        <v>89</v>
      </c>
      <c r="H844" s="25">
        <v>130</v>
      </c>
      <c r="I844" s="25">
        <v>100</v>
      </c>
      <c r="J844" s="25">
        <v>2210</v>
      </c>
      <c r="K844" s="25">
        <v>1700</v>
      </c>
      <c r="L844" s="25">
        <v>510</v>
      </c>
      <c r="M844" s="27">
        <v>30</v>
      </c>
      <c r="N844" s="25" t="s">
        <v>63</v>
      </c>
      <c r="O844" s="25" t="s">
        <v>27</v>
      </c>
      <c r="P844" s="25" t="s">
        <v>32</v>
      </c>
    </row>
    <row r="845" spans="1:16" x14ac:dyDescent="0.3">
      <c r="A845" s="25">
        <v>844</v>
      </c>
      <c r="B845" s="26">
        <v>45493</v>
      </c>
      <c r="C845" s="25" t="s">
        <v>62</v>
      </c>
      <c r="D845" s="25" t="s">
        <v>21</v>
      </c>
      <c r="E845" s="25" t="s">
        <v>94</v>
      </c>
      <c r="F845" s="25">
        <v>10</v>
      </c>
      <c r="G845" s="25" t="s">
        <v>89</v>
      </c>
      <c r="H845" s="25">
        <v>30</v>
      </c>
      <c r="I845" s="25">
        <v>26</v>
      </c>
      <c r="J845" s="25">
        <v>300</v>
      </c>
      <c r="K845" s="25">
        <v>260</v>
      </c>
      <c r="L845" s="25">
        <v>40</v>
      </c>
      <c r="M845" s="27">
        <v>15.384615384615399</v>
      </c>
      <c r="N845" s="25" t="s">
        <v>63</v>
      </c>
      <c r="O845" s="25" t="s">
        <v>27</v>
      </c>
      <c r="P845" s="25" t="s">
        <v>32</v>
      </c>
    </row>
    <row r="846" spans="1:16" x14ac:dyDescent="0.3">
      <c r="A846" s="25">
        <v>845</v>
      </c>
      <c r="B846" s="26">
        <v>45493</v>
      </c>
      <c r="C846" s="25" t="s">
        <v>62</v>
      </c>
      <c r="D846" s="25" t="s">
        <v>21</v>
      </c>
      <c r="E846" s="25" t="s">
        <v>93</v>
      </c>
      <c r="F846" s="25">
        <v>2</v>
      </c>
      <c r="G846" s="25" t="s">
        <v>89</v>
      </c>
      <c r="H846" s="25">
        <v>250</v>
      </c>
      <c r="I846" s="25">
        <v>180</v>
      </c>
      <c r="J846" s="25">
        <v>500</v>
      </c>
      <c r="K846" s="25">
        <v>360</v>
      </c>
      <c r="L846" s="25">
        <v>140</v>
      </c>
      <c r="M846" s="27">
        <v>38.8888888888889</v>
      </c>
      <c r="N846" s="25" t="s">
        <v>63</v>
      </c>
      <c r="O846" s="25" t="s">
        <v>27</v>
      </c>
      <c r="P846" s="25" t="s">
        <v>32</v>
      </c>
    </row>
    <row r="847" spans="1:16" x14ac:dyDescent="0.3">
      <c r="A847" s="25">
        <v>846</v>
      </c>
      <c r="B847" s="26">
        <v>45493</v>
      </c>
      <c r="C847" s="25" t="s">
        <v>62</v>
      </c>
      <c r="D847" s="25" t="s">
        <v>21</v>
      </c>
      <c r="E847" s="25" t="s">
        <v>88</v>
      </c>
      <c r="F847" s="25">
        <v>5</v>
      </c>
      <c r="G847" s="25" t="s">
        <v>89</v>
      </c>
      <c r="H847" s="25">
        <v>130</v>
      </c>
      <c r="I847" s="25">
        <v>100</v>
      </c>
      <c r="J847" s="25">
        <v>650</v>
      </c>
      <c r="K847" s="25">
        <v>500</v>
      </c>
      <c r="L847" s="25">
        <v>150</v>
      </c>
      <c r="M847" s="27">
        <v>30</v>
      </c>
      <c r="N847" s="25" t="s">
        <v>63</v>
      </c>
      <c r="O847" s="25" t="s">
        <v>27</v>
      </c>
      <c r="P847" s="25" t="s">
        <v>32</v>
      </c>
    </row>
    <row r="848" spans="1:16" x14ac:dyDescent="0.3">
      <c r="A848" s="25">
        <v>847</v>
      </c>
      <c r="B848" s="26">
        <v>45493</v>
      </c>
      <c r="C848" s="25" t="s">
        <v>62</v>
      </c>
      <c r="D848" s="25" t="s">
        <v>21</v>
      </c>
      <c r="E848" s="25" t="s">
        <v>88</v>
      </c>
      <c r="F848" s="25">
        <v>8</v>
      </c>
      <c r="G848" s="25" t="s">
        <v>89</v>
      </c>
      <c r="H848" s="25">
        <v>130</v>
      </c>
      <c r="I848" s="25">
        <v>100</v>
      </c>
      <c r="J848" s="25">
        <v>1040</v>
      </c>
      <c r="K848" s="25">
        <v>800</v>
      </c>
      <c r="L848" s="25">
        <v>240</v>
      </c>
      <c r="M848" s="27">
        <v>30</v>
      </c>
      <c r="N848" s="25" t="s">
        <v>63</v>
      </c>
      <c r="O848" s="25" t="s">
        <v>27</v>
      </c>
      <c r="P848" s="25" t="s">
        <v>32</v>
      </c>
    </row>
    <row r="849" spans="1:16" x14ac:dyDescent="0.3">
      <c r="A849" s="25">
        <v>848</v>
      </c>
      <c r="B849" s="26">
        <v>45494</v>
      </c>
      <c r="C849" s="25" t="s">
        <v>62</v>
      </c>
      <c r="D849" s="25" t="s">
        <v>21</v>
      </c>
      <c r="E849" s="25" t="s">
        <v>88</v>
      </c>
      <c r="F849" s="25">
        <v>9</v>
      </c>
      <c r="G849" s="25" t="s">
        <v>89</v>
      </c>
      <c r="H849" s="25">
        <v>130</v>
      </c>
      <c r="I849" s="25">
        <v>100</v>
      </c>
      <c r="J849" s="25">
        <v>1170</v>
      </c>
      <c r="K849" s="25">
        <v>900</v>
      </c>
      <c r="L849" s="25">
        <v>270</v>
      </c>
      <c r="M849" s="27">
        <v>30</v>
      </c>
      <c r="N849" s="25" t="s">
        <v>63</v>
      </c>
      <c r="O849" s="25" t="s">
        <v>27</v>
      </c>
      <c r="P849" s="25" t="s">
        <v>32</v>
      </c>
    </row>
    <row r="850" spans="1:16" x14ac:dyDescent="0.3">
      <c r="A850" s="25">
        <v>849</v>
      </c>
      <c r="B850" s="26">
        <v>45494</v>
      </c>
      <c r="C850" s="25" t="s">
        <v>62</v>
      </c>
      <c r="D850" s="25" t="s">
        <v>21</v>
      </c>
      <c r="E850" s="25" t="s">
        <v>95</v>
      </c>
      <c r="F850" s="25">
        <v>5</v>
      </c>
      <c r="G850" s="25" t="s">
        <v>89</v>
      </c>
      <c r="H850" s="25">
        <v>150</v>
      </c>
      <c r="I850" s="25">
        <v>100</v>
      </c>
      <c r="J850" s="25">
        <v>750</v>
      </c>
      <c r="K850" s="25">
        <v>500</v>
      </c>
      <c r="L850" s="25">
        <v>250</v>
      </c>
      <c r="M850" s="27">
        <v>50</v>
      </c>
      <c r="N850" s="25" t="s">
        <v>63</v>
      </c>
      <c r="O850" s="25" t="s">
        <v>28</v>
      </c>
      <c r="P850" s="25" t="s">
        <v>32</v>
      </c>
    </row>
    <row r="851" spans="1:16" x14ac:dyDescent="0.3">
      <c r="A851" s="25">
        <v>850</v>
      </c>
      <c r="B851" s="26">
        <v>45494</v>
      </c>
      <c r="C851" s="25" t="s">
        <v>62</v>
      </c>
      <c r="D851" s="25" t="s">
        <v>21</v>
      </c>
      <c r="E851" s="25" t="s">
        <v>93</v>
      </c>
      <c r="F851" s="25">
        <v>2</v>
      </c>
      <c r="G851" s="25" t="s">
        <v>89</v>
      </c>
      <c r="H851" s="25">
        <v>250</v>
      </c>
      <c r="I851" s="25">
        <v>180</v>
      </c>
      <c r="J851" s="25">
        <v>500</v>
      </c>
      <c r="K851" s="25">
        <v>360</v>
      </c>
      <c r="L851" s="25">
        <v>140</v>
      </c>
      <c r="M851" s="27">
        <v>38.8888888888889</v>
      </c>
      <c r="N851" s="25" t="s">
        <v>63</v>
      </c>
      <c r="O851" s="25" t="s">
        <v>27</v>
      </c>
      <c r="P851" s="25" t="s">
        <v>32</v>
      </c>
    </row>
    <row r="852" spans="1:16" x14ac:dyDescent="0.3">
      <c r="A852" s="25">
        <v>851</v>
      </c>
      <c r="B852" s="26">
        <v>45494</v>
      </c>
      <c r="C852" s="25" t="s">
        <v>62</v>
      </c>
      <c r="D852" s="25" t="s">
        <v>21</v>
      </c>
      <c r="E852" s="25" t="s">
        <v>88</v>
      </c>
      <c r="F852" s="25">
        <v>15</v>
      </c>
      <c r="G852" s="25" t="s">
        <v>89</v>
      </c>
      <c r="H852" s="25">
        <v>130</v>
      </c>
      <c r="I852" s="25">
        <v>100</v>
      </c>
      <c r="J852" s="25">
        <v>1950</v>
      </c>
      <c r="K852" s="25">
        <v>1500</v>
      </c>
      <c r="L852" s="25">
        <v>450</v>
      </c>
      <c r="M852" s="27">
        <v>30</v>
      </c>
      <c r="N852" s="25" t="s">
        <v>63</v>
      </c>
      <c r="O852" s="25" t="s">
        <v>27</v>
      </c>
      <c r="P852" s="25" t="s">
        <v>32</v>
      </c>
    </row>
    <row r="853" spans="1:16" x14ac:dyDescent="0.3">
      <c r="A853" s="25">
        <v>852</v>
      </c>
      <c r="B853" s="26">
        <v>45494</v>
      </c>
      <c r="C853" s="25" t="s">
        <v>62</v>
      </c>
      <c r="D853" s="25" t="s">
        <v>21</v>
      </c>
      <c r="E853" s="25" t="s">
        <v>88</v>
      </c>
      <c r="F853" s="25">
        <v>3</v>
      </c>
      <c r="G853" s="25" t="s">
        <v>89</v>
      </c>
      <c r="H853" s="25">
        <v>130</v>
      </c>
      <c r="I853" s="25">
        <v>100</v>
      </c>
      <c r="J853" s="25">
        <v>390</v>
      </c>
      <c r="K853" s="25">
        <v>300</v>
      </c>
      <c r="L853" s="25">
        <v>90</v>
      </c>
      <c r="M853" s="27">
        <v>30</v>
      </c>
      <c r="N853" s="25" t="s">
        <v>63</v>
      </c>
      <c r="O853" s="25" t="s">
        <v>27</v>
      </c>
      <c r="P853" s="25" t="s">
        <v>32</v>
      </c>
    </row>
    <row r="854" spans="1:16" x14ac:dyDescent="0.3">
      <c r="A854" s="25">
        <v>853</v>
      </c>
      <c r="B854" s="26">
        <v>45494</v>
      </c>
      <c r="C854" s="25" t="s">
        <v>62</v>
      </c>
      <c r="D854" s="25" t="s">
        <v>21</v>
      </c>
      <c r="E854" s="25" t="s">
        <v>88</v>
      </c>
      <c r="F854" s="25">
        <v>16</v>
      </c>
      <c r="G854" s="25" t="s">
        <v>89</v>
      </c>
      <c r="H854" s="25">
        <v>130</v>
      </c>
      <c r="I854" s="25">
        <v>100</v>
      </c>
      <c r="J854" s="25">
        <v>2080</v>
      </c>
      <c r="K854" s="25">
        <v>1600</v>
      </c>
      <c r="L854" s="25">
        <v>480</v>
      </c>
      <c r="M854" s="27">
        <v>30</v>
      </c>
      <c r="N854" s="25" t="s">
        <v>63</v>
      </c>
      <c r="O854" s="25" t="s">
        <v>27</v>
      </c>
      <c r="P854" s="25" t="s">
        <v>32</v>
      </c>
    </row>
    <row r="855" spans="1:16" x14ac:dyDescent="0.3">
      <c r="A855" s="25">
        <v>854</v>
      </c>
      <c r="B855" s="26">
        <v>45494</v>
      </c>
      <c r="C855" s="25" t="s">
        <v>62</v>
      </c>
      <c r="D855" s="25" t="s">
        <v>21</v>
      </c>
      <c r="E855" s="25" t="s">
        <v>93</v>
      </c>
      <c r="F855" s="25">
        <v>2</v>
      </c>
      <c r="G855" s="25" t="s">
        <v>89</v>
      </c>
      <c r="H855" s="25">
        <v>250</v>
      </c>
      <c r="I855" s="25">
        <v>180</v>
      </c>
      <c r="J855" s="25">
        <v>500</v>
      </c>
      <c r="K855" s="25">
        <v>360</v>
      </c>
      <c r="L855" s="25">
        <v>140</v>
      </c>
      <c r="M855" s="27">
        <v>38.8888888888889</v>
      </c>
      <c r="N855" s="25" t="s">
        <v>63</v>
      </c>
      <c r="O855" s="25" t="s">
        <v>27</v>
      </c>
      <c r="P855" s="25" t="s">
        <v>32</v>
      </c>
    </row>
    <row r="856" spans="1:16" x14ac:dyDescent="0.3">
      <c r="A856" s="25">
        <v>855</v>
      </c>
      <c r="B856" s="26">
        <v>45494</v>
      </c>
      <c r="C856" s="25" t="s">
        <v>62</v>
      </c>
      <c r="D856" s="25" t="s">
        <v>21</v>
      </c>
      <c r="E856" s="25" t="s">
        <v>88</v>
      </c>
      <c r="F856" s="25">
        <v>7</v>
      </c>
      <c r="G856" s="25" t="s">
        <v>89</v>
      </c>
      <c r="H856" s="25">
        <v>130</v>
      </c>
      <c r="I856" s="25">
        <v>100</v>
      </c>
      <c r="J856" s="25">
        <v>910</v>
      </c>
      <c r="K856" s="25">
        <v>700</v>
      </c>
      <c r="L856" s="25">
        <v>210</v>
      </c>
      <c r="M856" s="27">
        <v>30</v>
      </c>
      <c r="N856" s="25" t="s">
        <v>63</v>
      </c>
      <c r="O856" s="25" t="s">
        <v>27</v>
      </c>
      <c r="P856" s="25" t="s">
        <v>32</v>
      </c>
    </row>
    <row r="857" spans="1:16" x14ac:dyDescent="0.3">
      <c r="A857" s="25">
        <v>856</v>
      </c>
      <c r="B857" s="26">
        <v>45494</v>
      </c>
      <c r="C857" s="25" t="s">
        <v>62</v>
      </c>
      <c r="D857" s="25" t="s">
        <v>21</v>
      </c>
      <c r="E857" s="25" t="s">
        <v>93</v>
      </c>
      <c r="F857" s="25">
        <v>10</v>
      </c>
      <c r="G857" s="25" t="s">
        <v>89</v>
      </c>
      <c r="H857" s="25">
        <v>250</v>
      </c>
      <c r="I857" s="25">
        <v>180</v>
      </c>
      <c r="J857" s="25">
        <v>2500</v>
      </c>
      <c r="K857" s="25">
        <v>1800</v>
      </c>
      <c r="L857" s="25">
        <v>700</v>
      </c>
      <c r="M857" s="27">
        <v>38.8888888888889</v>
      </c>
      <c r="N857" s="25" t="s">
        <v>63</v>
      </c>
      <c r="O857" s="25" t="s">
        <v>27</v>
      </c>
      <c r="P857" s="25" t="s">
        <v>32</v>
      </c>
    </row>
    <row r="858" spans="1:16" x14ac:dyDescent="0.3">
      <c r="A858" s="25">
        <v>857</v>
      </c>
      <c r="B858" s="26">
        <v>45494</v>
      </c>
      <c r="C858" s="25" t="s">
        <v>62</v>
      </c>
      <c r="D858" s="25" t="s">
        <v>21</v>
      </c>
      <c r="E858" s="25" t="s">
        <v>88</v>
      </c>
      <c r="F858" s="25">
        <v>2</v>
      </c>
      <c r="G858" s="25" t="s">
        <v>89</v>
      </c>
      <c r="H858" s="25">
        <v>130</v>
      </c>
      <c r="I858" s="25">
        <v>100</v>
      </c>
      <c r="J858" s="25">
        <v>260</v>
      </c>
      <c r="K858" s="25">
        <v>200</v>
      </c>
      <c r="L858" s="25">
        <v>60</v>
      </c>
      <c r="M858" s="27">
        <v>30</v>
      </c>
      <c r="N858" s="25" t="s">
        <v>63</v>
      </c>
      <c r="O858" s="25" t="s">
        <v>27</v>
      </c>
      <c r="P858" s="25" t="s">
        <v>32</v>
      </c>
    </row>
    <row r="859" spans="1:16" x14ac:dyDescent="0.3">
      <c r="A859" s="25">
        <v>858</v>
      </c>
      <c r="B859" s="26">
        <v>45494</v>
      </c>
      <c r="C859" s="25" t="s">
        <v>62</v>
      </c>
      <c r="D859" s="25" t="s">
        <v>21</v>
      </c>
      <c r="E859" s="25" t="s">
        <v>95</v>
      </c>
      <c r="F859" s="25">
        <v>4</v>
      </c>
      <c r="G859" s="25" t="s">
        <v>89</v>
      </c>
      <c r="H859" s="25">
        <v>150</v>
      </c>
      <c r="I859" s="25">
        <v>100</v>
      </c>
      <c r="J859" s="25">
        <v>600</v>
      </c>
      <c r="K859" s="25">
        <v>400</v>
      </c>
      <c r="L859" s="25">
        <v>200</v>
      </c>
      <c r="M859" s="27">
        <v>50</v>
      </c>
      <c r="N859" s="25" t="s">
        <v>63</v>
      </c>
      <c r="O859" s="25" t="s">
        <v>28</v>
      </c>
      <c r="P859" s="25" t="s">
        <v>32</v>
      </c>
    </row>
    <row r="860" spans="1:16" x14ac:dyDescent="0.3">
      <c r="A860" s="25">
        <v>859</v>
      </c>
      <c r="B860" s="26">
        <v>45494</v>
      </c>
      <c r="C860" s="25" t="s">
        <v>62</v>
      </c>
      <c r="D860" s="25" t="s">
        <v>21</v>
      </c>
      <c r="E860" s="25" t="s">
        <v>88</v>
      </c>
      <c r="F860" s="25">
        <v>3</v>
      </c>
      <c r="G860" s="25" t="s">
        <v>89</v>
      </c>
      <c r="H860" s="25">
        <v>130</v>
      </c>
      <c r="I860" s="25">
        <v>100</v>
      </c>
      <c r="J860" s="25">
        <v>390</v>
      </c>
      <c r="K860" s="25">
        <v>300</v>
      </c>
      <c r="L860" s="25">
        <v>90</v>
      </c>
      <c r="M860" s="27">
        <v>30</v>
      </c>
      <c r="N860" s="25" t="s">
        <v>63</v>
      </c>
      <c r="O860" s="25" t="s">
        <v>27</v>
      </c>
      <c r="P860" s="25" t="s">
        <v>32</v>
      </c>
    </row>
    <row r="861" spans="1:16" x14ac:dyDescent="0.3">
      <c r="A861" s="25">
        <v>860</v>
      </c>
      <c r="B861" s="26">
        <v>45494</v>
      </c>
      <c r="C861" s="25" t="s">
        <v>62</v>
      </c>
      <c r="D861" s="25" t="s">
        <v>21</v>
      </c>
      <c r="E861" s="25" t="s">
        <v>93</v>
      </c>
      <c r="F861" s="25">
        <v>6</v>
      </c>
      <c r="G861" s="25" t="s">
        <v>89</v>
      </c>
      <c r="H861" s="25">
        <v>250</v>
      </c>
      <c r="I861" s="25">
        <v>180</v>
      </c>
      <c r="J861" s="25">
        <v>1500</v>
      </c>
      <c r="K861" s="25">
        <v>1080</v>
      </c>
      <c r="L861" s="25">
        <v>420</v>
      </c>
      <c r="M861" s="27">
        <v>38.8888888888889</v>
      </c>
      <c r="N861" s="25" t="s">
        <v>63</v>
      </c>
      <c r="O861" s="25" t="s">
        <v>27</v>
      </c>
      <c r="P861" s="25" t="s">
        <v>32</v>
      </c>
    </row>
    <row r="862" spans="1:16" x14ac:dyDescent="0.3">
      <c r="A862" s="25">
        <v>861</v>
      </c>
      <c r="B862" s="26">
        <v>45494</v>
      </c>
      <c r="C862" s="25" t="s">
        <v>62</v>
      </c>
      <c r="D862" s="25" t="s">
        <v>21</v>
      </c>
      <c r="E862" s="25" t="s">
        <v>95</v>
      </c>
      <c r="F862" s="25">
        <v>4</v>
      </c>
      <c r="G862" s="25" t="s">
        <v>89</v>
      </c>
      <c r="H862" s="25">
        <v>150</v>
      </c>
      <c r="I862" s="25">
        <v>100</v>
      </c>
      <c r="J862" s="25">
        <v>600</v>
      </c>
      <c r="K862" s="25">
        <v>400</v>
      </c>
      <c r="L862" s="25">
        <v>200</v>
      </c>
      <c r="M862" s="27">
        <v>50</v>
      </c>
      <c r="N862" s="25" t="s">
        <v>63</v>
      </c>
      <c r="O862" s="25" t="s">
        <v>28</v>
      </c>
      <c r="P862" s="25" t="s">
        <v>32</v>
      </c>
    </row>
    <row r="863" spans="1:16" x14ac:dyDescent="0.3">
      <c r="A863" s="25">
        <v>862</v>
      </c>
      <c r="B863" s="26">
        <v>45494</v>
      </c>
      <c r="C863" s="25" t="s">
        <v>62</v>
      </c>
      <c r="D863" s="25" t="s">
        <v>21</v>
      </c>
      <c r="E863" s="25" t="s">
        <v>88</v>
      </c>
      <c r="F863" s="25">
        <v>2</v>
      </c>
      <c r="G863" s="25" t="s">
        <v>89</v>
      </c>
      <c r="H863" s="25">
        <v>130</v>
      </c>
      <c r="I863" s="25">
        <v>100</v>
      </c>
      <c r="J863" s="25">
        <v>260</v>
      </c>
      <c r="K863" s="25">
        <v>200</v>
      </c>
      <c r="L863" s="25">
        <v>60</v>
      </c>
      <c r="M863" s="27">
        <v>30</v>
      </c>
      <c r="N863" s="25" t="s">
        <v>63</v>
      </c>
      <c r="O863" s="25" t="s">
        <v>27</v>
      </c>
      <c r="P863" s="25" t="s">
        <v>32</v>
      </c>
    </row>
    <row r="864" spans="1:16" x14ac:dyDescent="0.3">
      <c r="A864" s="25">
        <v>863</v>
      </c>
      <c r="B864" s="26">
        <v>45494</v>
      </c>
      <c r="C864" s="25" t="s">
        <v>62</v>
      </c>
      <c r="D864" s="25" t="s">
        <v>21</v>
      </c>
      <c r="E864" s="25" t="s">
        <v>88</v>
      </c>
      <c r="F864" s="25">
        <v>2</v>
      </c>
      <c r="G864" s="25" t="s">
        <v>89</v>
      </c>
      <c r="H864" s="25">
        <v>130</v>
      </c>
      <c r="I864" s="25">
        <v>100</v>
      </c>
      <c r="J864" s="25">
        <v>260</v>
      </c>
      <c r="K864" s="25">
        <v>200</v>
      </c>
      <c r="L864" s="25">
        <v>60</v>
      </c>
      <c r="M864" s="27">
        <v>30</v>
      </c>
      <c r="N864" s="25" t="s">
        <v>63</v>
      </c>
      <c r="O864" s="25" t="s">
        <v>27</v>
      </c>
      <c r="P864" s="25" t="s">
        <v>32</v>
      </c>
    </row>
    <row r="865" spans="1:16" x14ac:dyDescent="0.3">
      <c r="A865" s="25">
        <v>864</v>
      </c>
      <c r="B865" s="26">
        <v>45494</v>
      </c>
      <c r="C865" s="25" t="s">
        <v>62</v>
      </c>
      <c r="D865" s="25" t="s">
        <v>21</v>
      </c>
      <c r="E865" s="25" t="s">
        <v>94</v>
      </c>
      <c r="F865" s="25">
        <v>7</v>
      </c>
      <c r="G865" s="25" t="s">
        <v>89</v>
      </c>
      <c r="H865" s="25">
        <v>30</v>
      </c>
      <c r="I865" s="25">
        <v>26</v>
      </c>
      <c r="J865" s="25">
        <v>210</v>
      </c>
      <c r="K865" s="25">
        <v>182</v>
      </c>
      <c r="L865" s="25">
        <v>28</v>
      </c>
      <c r="M865" s="27">
        <v>15.384615384615399</v>
      </c>
      <c r="N865" s="25" t="s">
        <v>63</v>
      </c>
      <c r="O865" s="25" t="s">
        <v>27</v>
      </c>
      <c r="P865" s="25" t="s">
        <v>32</v>
      </c>
    </row>
    <row r="866" spans="1:16" x14ac:dyDescent="0.3">
      <c r="A866" s="25">
        <v>865</v>
      </c>
      <c r="B866" s="26">
        <v>45495</v>
      </c>
      <c r="C866" s="25" t="s">
        <v>62</v>
      </c>
      <c r="D866" s="25" t="s">
        <v>21</v>
      </c>
      <c r="E866" s="25" t="s">
        <v>93</v>
      </c>
      <c r="F866" s="25">
        <v>3</v>
      </c>
      <c r="G866" s="25" t="s">
        <v>89</v>
      </c>
      <c r="H866" s="25">
        <v>250</v>
      </c>
      <c r="I866" s="25">
        <v>180</v>
      </c>
      <c r="J866" s="25">
        <v>750</v>
      </c>
      <c r="K866" s="25">
        <v>540</v>
      </c>
      <c r="L866" s="25">
        <v>210</v>
      </c>
      <c r="M866" s="27">
        <v>38.8888888888889</v>
      </c>
      <c r="N866" s="25" t="s">
        <v>63</v>
      </c>
      <c r="O866" s="25" t="s">
        <v>27</v>
      </c>
      <c r="P866" s="25" t="s">
        <v>32</v>
      </c>
    </row>
    <row r="867" spans="1:16" x14ac:dyDescent="0.3">
      <c r="A867" s="25">
        <v>866</v>
      </c>
      <c r="B867" s="26">
        <v>45495</v>
      </c>
      <c r="C867" s="25" t="s">
        <v>62</v>
      </c>
      <c r="D867" s="25" t="s">
        <v>21</v>
      </c>
      <c r="E867" s="25" t="s">
        <v>88</v>
      </c>
      <c r="F867" s="25">
        <v>17</v>
      </c>
      <c r="G867" s="25" t="s">
        <v>89</v>
      </c>
      <c r="H867" s="25">
        <v>130</v>
      </c>
      <c r="I867" s="25">
        <v>100</v>
      </c>
      <c r="J867" s="25">
        <v>2210</v>
      </c>
      <c r="K867" s="25">
        <v>1700</v>
      </c>
      <c r="L867" s="25">
        <v>510</v>
      </c>
      <c r="M867" s="27">
        <v>30</v>
      </c>
      <c r="N867" s="25" t="s">
        <v>63</v>
      </c>
      <c r="O867" s="25" t="s">
        <v>27</v>
      </c>
      <c r="P867" s="25" t="s">
        <v>32</v>
      </c>
    </row>
    <row r="868" spans="1:16" x14ac:dyDescent="0.3">
      <c r="A868" s="25">
        <v>867</v>
      </c>
      <c r="B868" s="26">
        <v>45495</v>
      </c>
      <c r="C868" s="25" t="s">
        <v>62</v>
      </c>
      <c r="D868" s="25" t="s">
        <v>21</v>
      </c>
      <c r="E868" s="25" t="s">
        <v>88</v>
      </c>
      <c r="F868" s="25">
        <v>15</v>
      </c>
      <c r="G868" s="25" t="s">
        <v>89</v>
      </c>
      <c r="H868" s="25">
        <v>130</v>
      </c>
      <c r="I868" s="25">
        <v>100</v>
      </c>
      <c r="J868" s="25">
        <v>1950</v>
      </c>
      <c r="K868" s="25">
        <v>1500</v>
      </c>
      <c r="L868" s="25">
        <v>450</v>
      </c>
      <c r="M868" s="27">
        <v>30</v>
      </c>
      <c r="N868" s="25" t="s">
        <v>63</v>
      </c>
      <c r="O868" s="25" t="s">
        <v>27</v>
      </c>
      <c r="P868" s="25" t="s">
        <v>32</v>
      </c>
    </row>
    <row r="869" spans="1:16" x14ac:dyDescent="0.3">
      <c r="A869" s="25">
        <v>868</v>
      </c>
      <c r="B869" s="26">
        <v>45495</v>
      </c>
      <c r="C869" s="25" t="s">
        <v>62</v>
      </c>
      <c r="D869" s="25" t="s">
        <v>21</v>
      </c>
      <c r="E869" s="25" t="s">
        <v>95</v>
      </c>
      <c r="F869" s="25">
        <v>3</v>
      </c>
      <c r="G869" s="25" t="s">
        <v>89</v>
      </c>
      <c r="H869" s="25">
        <v>150</v>
      </c>
      <c r="I869" s="25">
        <v>100</v>
      </c>
      <c r="J869" s="25">
        <v>450</v>
      </c>
      <c r="K869" s="25">
        <v>300</v>
      </c>
      <c r="L869" s="25">
        <v>150</v>
      </c>
      <c r="M869" s="27">
        <v>50</v>
      </c>
      <c r="N869" s="25" t="s">
        <v>63</v>
      </c>
      <c r="O869" s="25" t="s">
        <v>28</v>
      </c>
      <c r="P869" s="25" t="s">
        <v>32</v>
      </c>
    </row>
    <row r="870" spans="1:16" x14ac:dyDescent="0.3">
      <c r="A870" s="25">
        <v>869</v>
      </c>
      <c r="B870" s="26">
        <v>45495</v>
      </c>
      <c r="C870" s="25" t="s">
        <v>62</v>
      </c>
      <c r="D870" s="25" t="s">
        <v>21</v>
      </c>
      <c r="E870" s="25" t="s">
        <v>93</v>
      </c>
      <c r="F870" s="25">
        <v>5</v>
      </c>
      <c r="G870" s="25" t="s">
        <v>89</v>
      </c>
      <c r="H870" s="25">
        <v>250</v>
      </c>
      <c r="I870" s="25">
        <v>180</v>
      </c>
      <c r="J870" s="25">
        <v>1250</v>
      </c>
      <c r="K870" s="25">
        <v>900</v>
      </c>
      <c r="L870" s="25">
        <v>350</v>
      </c>
      <c r="M870" s="27">
        <v>38.8888888888889</v>
      </c>
      <c r="N870" s="25" t="s">
        <v>63</v>
      </c>
      <c r="O870" s="25" t="s">
        <v>27</v>
      </c>
      <c r="P870" s="25" t="s">
        <v>32</v>
      </c>
    </row>
    <row r="871" spans="1:16" x14ac:dyDescent="0.3">
      <c r="A871" s="25">
        <v>870</v>
      </c>
      <c r="B871" s="26">
        <v>45495</v>
      </c>
      <c r="C871" s="25" t="s">
        <v>62</v>
      </c>
      <c r="D871" s="25" t="s">
        <v>21</v>
      </c>
      <c r="E871" s="25" t="s">
        <v>88</v>
      </c>
      <c r="F871" s="25">
        <v>16</v>
      </c>
      <c r="G871" s="25" t="s">
        <v>89</v>
      </c>
      <c r="H871" s="25">
        <v>130</v>
      </c>
      <c r="I871" s="25">
        <v>100</v>
      </c>
      <c r="J871" s="25">
        <v>2080</v>
      </c>
      <c r="K871" s="25">
        <v>1600</v>
      </c>
      <c r="L871" s="25">
        <v>480</v>
      </c>
      <c r="M871" s="27">
        <v>30</v>
      </c>
      <c r="N871" s="25" t="s">
        <v>63</v>
      </c>
      <c r="O871" s="25" t="s">
        <v>27</v>
      </c>
      <c r="P871" s="25" t="s">
        <v>32</v>
      </c>
    </row>
    <row r="872" spans="1:16" x14ac:dyDescent="0.3">
      <c r="A872" s="25">
        <v>871</v>
      </c>
      <c r="B872" s="26">
        <v>45495</v>
      </c>
      <c r="C872" s="25" t="s">
        <v>62</v>
      </c>
      <c r="D872" s="25" t="s">
        <v>21</v>
      </c>
      <c r="E872" s="25" t="s">
        <v>88</v>
      </c>
      <c r="F872" s="25">
        <v>16</v>
      </c>
      <c r="G872" s="25" t="s">
        <v>89</v>
      </c>
      <c r="H872" s="25">
        <v>130</v>
      </c>
      <c r="I872" s="25">
        <v>100</v>
      </c>
      <c r="J872" s="25">
        <v>2080</v>
      </c>
      <c r="K872" s="25">
        <v>1600</v>
      </c>
      <c r="L872" s="25">
        <v>480</v>
      </c>
      <c r="M872" s="27">
        <v>30</v>
      </c>
      <c r="N872" s="25" t="s">
        <v>63</v>
      </c>
      <c r="O872" s="25" t="s">
        <v>27</v>
      </c>
      <c r="P872" s="25" t="s">
        <v>32</v>
      </c>
    </row>
    <row r="873" spans="1:16" x14ac:dyDescent="0.3">
      <c r="A873" s="25">
        <v>872</v>
      </c>
      <c r="B873" s="26">
        <v>45495</v>
      </c>
      <c r="C873" s="25" t="s">
        <v>62</v>
      </c>
      <c r="D873" s="25" t="s">
        <v>21</v>
      </c>
      <c r="E873" s="25" t="s">
        <v>94</v>
      </c>
      <c r="F873" s="25">
        <v>26</v>
      </c>
      <c r="G873" s="25" t="s">
        <v>89</v>
      </c>
      <c r="H873" s="25">
        <v>30</v>
      </c>
      <c r="I873" s="25">
        <v>26</v>
      </c>
      <c r="J873" s="25">
        <v>780</v>
      </c>
      <c r="K873" s="25">
        <v>676</v>
      </c>
      <c r="L873" s="25">
        <v>104</v>
      </c>
      <c r="M873" s="27">
        <v>15.384615384615399</v>
      </c>
      <c r="N873" s="25" t="s">
        <v>63</v>
      </c>
      <c r="O873" s="25" t="s">
        <v>27</v>
      </c>
      <c r="P873" s="25" t="s">
        <v>32</v>
      </c>
    </row>
    <row r="874" spans="1:16" x14ac:dyDescent="0.3">
      <c r="A874" s="25">
        <v>873</v>
      </c>
      <c r="B874" s="26">
        <v>45495</v>
      </c>
      <c r="C874" s="25" t="s">
        <v>62</v>
      </c>
      <c r="D874" s="25" t="s">
        <v>21</v>
      </c>
      <c r="E874" s="25" t="s">
        <v>88</v>
      </c>
      <c r="F874" s="25">
        <v>7</v>
      </c>
      <c r="G874" s="25" t="s">
        <v>89</v>
      </c>
      <c r="H874" s="25">
        <v>130</v>
      </c>
      <c r="I874" s="25">
        <v>100</v>
      </c>
      <c r="J874" s="25">
        <v>910</v>
      </c>
      <c r="K874" s="25">
        <v>700</v>
      </c>
      <c r="L874" s="25">
        <v>210</v>
      </c>
      <c r="M874" s="27">
        <v>30</v>
      </c>
      <c r="N874" s="25" t="s">
        <v>63</v>
      </c>
      <c r="O874" s="25" t="s">
        <v>27</v>
      </c>
      <c r="P874" s="25" t="s">
        <v>32</v>
      </c>
    </row>
    <row r="875" spans="1:16" x14ac:dyDescent="0.3">
      <c r="A875" s="25">
        <v>874</v>
      </c>
      <c r="B875" s="26">
        <v>45495</v>
      </c>
      <c r="C875" s="25" t="s">
        <v>62</v>
      </c>
      <c r="D875" s="25" t="s">
        <v>21</v>
      </c>
      <c r="E875" s="25" t="s">
        <v>88</v>
      </c>
      <c r="F875" s="25">
        <v>9</v>
      </c>
      <c r="G875" s="25" t="s">
        <v>89</v>
      </c>
      <c r="H875" s="25">
        <v>130</v>
      </c>
      <c r="I875" s="25">
        <v>100</v>
      </c>
      <c r="J875" s="25">
        <v>1170</v>
      </c>
      <c r="K875" s="25">
        <v>900</v>
      </c>
      <c r="L875" s="25">
        <v>270</v>
      </c>
      <c r="M875" s="27">
        <v>30</v>
      </c>
      <c r="N875" s="25" t="s">
        <v>63</v>
      </c>
      <c r="O875" s="25" t="s">
        <v>27</v>
      </c>
      <c r="P875" s="25" t="s">
        <v>32</v>
      </c>
    </row>
    <row r="876" spans="1:16" x14ac:dyDescent="0.3">
      <c r="A876" s="25">
        <v>875</v>
      </c>
      <c r="B876" s="26">
        <v>45495</v>
      </c>
      <c r="C876" s="25" t="s">
        <v>62</v>
      </c>
      <c r="D876" s="25" t="s">
        <v>21</v>
      </c>
      <c r="E876" s="25" t="s">
        <v>88</v>
      </c>
      <c r="F876" s="25">
        <v>10</v>
      </c>
      <c r="G876" s="25" t="s">
        <v>89</v>
      </c>
      <c r="H876" s="25">
        <v>130</v>
      </c>
      <c r="I876" s="25">
        <v>100</v>
      </c>
      <c r="J876" s="25">
        <v>1300</v>
      </c>
      <c r="K876" s="25">
        <v>1000</v>
      </c>
      <c r="L876" s="25">
        <v>300</v>
      </c>
      <c r="M876" s="27">
        <v>30</v>
      </c>
      <c r="N876" s="25" t="s">
        <v>63</v>
      </c>
      <c r="O876" s="25" t="s">
        <v>27</v>
      </c>
      <c r="P876" s="25" t="s">
        <v>32</v>
      </c>
    </row>
    <row r="877" spans="1:16" x14ac:dyDescent="0.3">
      <c r="A877" s="25">
        <v>876</v>
      </c>
      <c r="B877" s="26">
        <v>45495</v>
      </c>
      <c r="C877" s="25" t="s">
        <v>62</v>
      </c>
      <c r="D877" s="25" t="s">
        <v>21</v>
      </c>
      <c r="E877" s="25" t="s">
        <v>94</v>
      </c>
      <c r="F877" s="25">
        <v>16</v>
      </c>
      <c r="G877" s="25" t="s">
        <v>89</v>
      </c>
      <c r="H877" s="25">
        <v>30</v>
      </c>
      <c r="I877" s="25">
        <v>26</v>
      </c>
      <c r="J877" s="25">
        <v>480</v>
      </c>
      <c r="K877" s="25">
        <v>416</v>
      </c>
      <c r="L877" s="25">
        <v>64</v>
      </c>
      <c r="M877" s="27">
        <v>15.384615384615399</v>
      </c>
      <c r="N877" s="25" t="s">
        <v>63</v>
      </c>
      <c r="O877" s="25" t="s">
        <v>27</v>
      </c>
      <c r="P877" s="25" t="s">
        <v>32</v>
      </c>
    </row>
    <row r="878" spans="1:16" x14ac:dyDescent="0.3">
      <c r="A878" s="25">
        <v>877</v>
      </c>
      <c r="B878" s="26">
        <v>45495</v>
      </c>
      <c r="C878" s="25" t="s">
        <v>62</v>
      </c>
      <c r="D878" s="25" t="s">
        <v>21</v>
      </c>
      <c r="E878" s="25" t="s">
        <v>93</v>
      </c>
      <c r="F878" s="25">
        <v>2</v>
      </c>
      <c r="G878" s="25" t="s">
        <v>89</v>
      </c>
      <c r="H878" s="25">
        <v>250</v>
      </c>
      <c r="I878" s="25">
        <v>180</v>
      </c>
      <c r="J878" s="25">
        <v>500</v>
      </c>
      <c r="K878" s="25">
        <v>360</v>
      </c>
      <c r="L878" s="25">
        <v>140</v>
      </c>
      <c r="M878" s="27">
        <v>38.8888888888889</v>
      </c>
      <c r="N878" s="25" t="s">
        <v>63</v>
      </c>
      <c r="O878" s="25" t="s">
        <v>27</v>
      </c>
      <c r="P878" s="25" t="s">
        <v>32</v>
      </c>
    </row>
    <row r="879" spans="1:16" x14ac:dyDescent="0.3">
      <c r="A879" s="25">
        <v>878</v>
      </c>
      <c r="B879" s="26">
        <v>45496</v>
      </c>
      <c r="C879" s="25" t="s">
        <v>62</v>
      </c>
      <c r="D879" s="25" t="s">
        <v>21</v>
      </c>
      <c r="E879" s="25" t="s">
        <v>93</v>
      </c>
      <c r="F879" s="25">
        <v>5</v>
      </c>
      <c r="G879" s="25" t="s">
        <v>89</v>
      </c>
      <c r="H879" s="25">
        <v>250</v>
      </c>
      <c r="I879" s="25">
        <v>180</v>
      </c>
      <c r="J879" s="25">
        <v>1250</v>
      </c>
      <c r="K879" s="25">
        <v>900</v>
      </c>
      <c r="L879" s="25">
        <v>350</v>
      </c>
      <c r="M879" s="27">
        <v>38.8888888888889</v>
      </c>
      <c r="N879" s="25" t="s">
        <v>63</v>
      </c>
      <c r="O879" s="25" t="s">
        <v>27</v>
      </c>
      <c r="P879" s="25" t="s">
        <v>32</v>
      </c>
    </row>
    <row r="880" spans="1:16" x14ac:dyDescent="0.3">
      <c r="A880" s="25">
        <v>879</v>
      </c>
      <c r="B880" s="26">
        <v>45496</v>
      </c>
      <c r="C880" s="25" t="s">
        <v>62</v>
      </c>
      <c r="D880" s="25" t="s">
        <v>21</v>
      </c>
      <c r="E880" s="25" t="s">
        <v>88</v>
      </c>
      <c r="F880" s="25">
        <v>5</v>
      </c>
      <c r="G880" s="25" t="s">
        <v>89</v>
      </c>
      <c r="H880" s="25">
        <v>130</v>
      </c>
      <c r="I880" s="25">
        <v>100</v>
      </c>
      <c r="J880" s="25">
        <v>650</v>
      </c>
      <c r="K880" s="25">
        <v>500</v>
      </c>
      <c r="L880" s="25">
        <v>150</v>
      </c>
      <c r="M880" s="27">
        <v>30</v>
      </c>
      <c r="N880" s="25" t="s">
        <v>63</v>
      </c>
      <c r="O880" s="25" t="s">
        <v>27</v>
      </c>
      <c r="P880" s="25" t="s">
        <v>32</v>
      </c>
    </row>
    <row r="881" spans="1:16" x14ac:dyDescent="0.3">
      <c r="A881" s="25">
        <v>880</v>
      </c>
      <c r="B881" s="26">
        <v>45496</v>
      </c>
      <c r="C881" s="25" t="s">
        <v>62</v>
      </c>
      <c r="D881" s="25" t="s">
        <v>21</v>
      </c>
      <c r="E881" s="25" t="s">
        <v>88</v>
      </c>
      <c r="F881" s="25">
        <v>8</v>
      </c>
      <c r="G881" s="25" t="s">
        <v>89</v>
      </c>
      <c r="H881" s="25">
        <v>130</v>
      </c>
      <c r="I881" s="25">
        <v>100</v>
      </c>
      <c r="J881" s="25">
        <v>1040</v>
      </c>
      <c r="K881" s="25">
        <v>800</v>
      </c>
      <c r="L881" s="25">
        <v>240</v>
      </c>
      <c r="M881" s="27">
        <v>30</v>
      </c>
      <c r="N881" s="25" t="s">
        <v>63</v>
      </c>
      <c r="O881" s="25" t="s">
        <v>27</v>
      </c>
      <c r="P881" s="25" t="s">
        <v>32</v>
      </c>
    </row>
    <row r="882" spans="1:16" x14ac:dyDescent="0.3">
      <c r="A882" s="25">
        <v>881</v>
      </c>
      <c r="B882" s="26">
        <v>45496</v>
      </c>
      <c r="C882" s="25" t="s">
        <v>62</v>
      </c>
      <c r="D882" s="25" t="s">
        <v>21</v>
      </c>
      <c r="E882" s="25" t="s">
        <v>88</v>
      </c>
      <c r="F882" s="25">
        <v>10</v>
      </c>
      <c r="G882" s="25" t="s">
        <v>89</v>
      </c>
      <c r="H882" s="25">
        <v>130</v>
      </c>
      <c r="I882" s="25">
        <v>100</v>
      </c>
      <c r="J882" s="25">
        <v>1300</v>
      </c>
      <c r="K882" s="25">
        <v>1000</v>
      </c>
      <c r="L882" s="25">
        <v>300</v>
      </c>
      <c r="M882" s="27">
        <v>30</v>
      </c>
      <c r="N882" s="25" t="s">
        <v>63</v>
      </c>
      <c r="O882" s="25" t="s">
        <v>27</v>
      </c>
      <c r="P882" s="25" t="s">
        <v>32</v>
      </c>
    </row>
    <row r="883" spans="1:16" x14ac:dyDescent="0.3">
      <c r="A883" s="25">
        <v>882</v>
      </c>
      <c r="B883" s="26">
        <v>45496</v>
      </c>
      <c r="C883" s="25" t="s">
        <v>62</v>
      </c>
      <c r="D883" s="25" t="s">
        <v>21</v>
      </c>
      <c r="E883" s="25" t="s">
        <v>88</v>
      </c>
      <c r="F883" s="25">
        <v>2</v>
      </c>
      <c r="G883" s="25" t="s">
        <v>89</v>
      </c>
      <c r="H883" s="25">
        <v>130</v>
      </c>
      <c r="I883" s="25">
        <v>100</v>
      </c>
      <c r="J883" s="25">
        <v>260</v>
      </c>
      <c r="K883" s="25">
        <v>200</v>
      </c>
      <c r="L883" s="25">
        <v>60</v>
      </c>
      <c r="M883" s="27">
        <v>30</v>
      </c>
      <c r="N883" s="25" t="s">
        <v>63</v>
      </c>
      <c r="O883" s="25" t="s">
        <v>27</v>
      </c>
      <c r="P883" s="25" t="s">
        <v>32</v>
      </c>
    </row>
    <row r="884" spans="1:16" x14ac:dyDescent="0.3">
      <c r="A884" s="25">
        <v>883</v>
      </c>
      <c r="B884" s="26">
        <v>45496</v>
      </c>
      <c r="C884" s="25" t="s">
        <v>62</v>
      </c>
      <c r="D884" s="25" t="s">
        <v>21</v>
      </c>
      <c r="E884" s="25" t="s">
        <v>95</v>
      </c>
      <c r="F884" s="25">
        <v>6</v>
      </c>
      <c r="G884" s="25" t="s">
        <v>89</v>
      </c>
      <c r="H884" s="25">
        <v>150</v>
      </c>
      <c r="I884" s="25">
        <v>100</v>
      </c>
      <c r="J884" s="25">
        <v>900</v>
      </c>
      <c r="K884" s="25">
        <v>600</v>
      </c>
      <c r="L884" s="25">
        <v>300</v>
      </c>
      <c r="M884" s="27">
        <v>50</v>
      </c>
      <c r="N884" s="25" t="s">
        <v>63</v>
      </c>
      <c r="O884" s="25" t="s">
        <v>28</v>
      </c>
      <c r="P884" s="25" t="s">
        <v>32</v>
      </c>
    </row>
    <row r="885" spans="1:16" x14ac:dyDescent="0.3">
      <c r="A885" s="25">
        <v>884</v>
      </c>
      <c r="B885" s="26">
        <v>45496</v>
      </c>
      <c r="C885" s="25" t="s">
        <v>62</v>
      </c>
      <c r="D885" s="25" t="s">
        <v>21</v>
      </c>
      <c r="E885" s="25" t="s">
        <v>88</v>
      </c>
      <c r="F885" s="25">
        <v>2</v>
      </c>
      <c r="G885" s="25" t="s">
        <v>89</v>
      </c>
      <c r="H885" s="25">
        <v>130</v>
      </c>
      <c r="I885" s="25">
        <v>100</v>
      </c>
      <c r="J885" s="25">
        <v>260</v>
      </c>
      <c r="K885" s="25">
        <v>200</v>
      </c>
      <c r="L885" s="25">
        <v>60</v>
      </c>
      <c r="M885" s="27">
        <v>30</v>
      </c>
      <c r="N885" s="25" t="s">
        <v>63</v>
      </c>
      <c r="O885" s="25" t="s">
        <v>27</v>
      </c>
      <c r="P885" s="25" t="s">
        <v>32</v>
      </c>
    </row>
    <row r="886" spans="1:16" x14ac:dyDescent="0.3">
      <c r="A886" s="25">
        <v>885</v>
      </c>
      <c r="B886" s="26">
        <v>45496</v>
      </c>
      <c r="C886" s="25" t="s">
        <v>62</v>
      </c>
      <c r="D886" s="25" t="s">
        <v>21</v>
      </c>
      <c r="E886" s="25" t="s">
        <v>93</v>
      </c>
      <c r="F886" s="25">
        <v>2</v>
      </c>
      <c r="G886" s="25" t="s">
        <v>89</v>
      </c>
      <c r="H886" s="25">
        <v>250</v>
      </c>
      <c r="I886" s="25">
        <v>180</v>
      </c>
      <c r="J886" s="25">
        <v>500</v>
      </c>
      <c r="K886" s="25">
        <v>360</v>
      </c>
      <c r="L886" s="25">
        <v>140</v>
      </c>
      <c r="M886" s="27">
        <v>38.8888888888889</v>
      </c>
      <c r="N886" s="25" t="s">
        <v>63</v>
      </c>
      <c r="O886" s="25" t="s">
        <v>27</v>
      </c>
      <c r="P886" s="25" t="s">
        <v>32</v>
      </c>
    </row>
    <row r="887" spans="1:16" x14ac:dyDescent="0.3">
      <c r="A887" s="25">
        <v>886</v>
      </c>
      <c r="B887" s="26">
        <v>45496</v>
      </c>
      <c r="C887" s="25" t="s">
        <v>62</v>
      </c>
      <c r="D887" s="25" t="s">
        <v>21</v>
      </c>
      <c r="E887" s="25" t="s">
        <v>95</v>
      </c>
      <c r="F887" s="25">
        <v>2</v>
      </c>
      <c r="G887" s="25" t="s">
        <v>89</v>
      </c>
      <c r="H887" s="25">
        <v>150</v>
      </c>
      <c r="I887" s="25">
        <v>100</v>
      </c>
      <c r="J887" s="25">
        <v>300</v>
      </c>
      <c r="K887" s="25">
        <v>200</v>
      </c>
      <c r="L887" s="25">
        <v>100</v>
      </c>
      <c r="M887" s="27">
        <v>50</v>
      </c>
      <c r="N887" s="25" t="s">
        <v>63</v>
      </c>
      <c r="O887" s="25" t="s">
        <v>28</v>
      </c>
      <c r="P887" s="25" t="s">
        <v>32</v>
      </c>
    </row>
    <row r="888" spans="1:16" x14ac:dyDescent="0.3">
      <c r="A888" s="25">
        <v>887</v>
      </c>
      <c r="B888" s="26">
        <v>45496</v>
      </c>
      <c r="C888" s="25" t="s">
        <v>62</v>
      </c>
      <c r="D888" s="25" t="s">
        <v>21</v>
      </c>
      <c r="E888" s="25" t="s">
        <v>88</v>
      </c>
      <c r="F888" s="25">
        <v>2</v>
      </c>
      <c r="G888" s="25" t="s">
        <v>89</v>
      </c>
      <c r="H888" s="25">
        <v>130</v>
      </c>
      <c r="I888" s="25">
        <v>100</v>
      </c>
      <c r="J888" s="25">
        <v>260</v>
      </c>
      <c r="K888" s="25">
        <v>200</v>
      </c>
      <c r="L888" s="25">
        <v>60</v>
      </c>
      <c r="M888" s="27">
        <v>30</v>
      </c>
      <c r="N888" s="25" t="s">
        <v>63</v>
      </c>
      <c r="O888" s="25" t="s">
        <v>27</v>
      </c>
      <c r="P888" s="25" t="s">
        <v>32</v>
      </c>
    </row>
    <row r="889" spans="1:16" x14ac:dyDescent="0.3">
      <c r="A889" s="25">
        <v>888</v>
      </c>
      <c r="B889" s="26">
        <v>45496</v>
      </c>
      <c r="C889" s="25" t="s">
        <v>62</v>
      </c>
      <c r="D889" s="25" t="s">
        <v>21</v>
      </c>
      <c r="E889" s="25" t="s">
        <v>88</v>
      </c>
      <c r="F889" s="25">
        <v>2</v>
      </c>
      <c r="G889" s="25" t="s">
        <v>89</v>
      </c>
      <c r="H889" s="25">
        <v>130</v>
      </c>
      <c r="I889" s="25">
        <v>100</v>
      </c>
      <c r="J889" s="25">
        <v>260</v>
      </c>
      <c r="K889" s="25">
        <v>200</v>
      </c>
      <c r="L889" s="25">
        <v>60</v>
      </c>
      <c r="M889" s="27">
        <v>30</v>
      </c>
      <c r="N889" s="25" t="s">
        <v>63</v>
      </c>
      <c r="O889" s="25" t="s">
        <v>27</v>
      </c>
      <c r="P889" s="25" t="s">
        <v>32</v>
      </c>
    </row>
    <row r="890" spans="1:16" x14ac:dyDescent="0.3">
      <c r="A890" s="25">
        <v>889</v>
      </c>
      <c r="B890" s="26">
        <v>45496</v>
      </c>
      <c r="C890" s="25" t="s">
        <v>62</v>
      </c>
      <c r="D890" s="25" t="s">
        <v>21</v>
      </c>
      <c r="E890" s="25" t="s">
        <v>88</v>
      </c>
      <c r="F890" s="25">
        <v>14</v>
      </c>
      <c r="G890" s="25" t="s">
        <v>89</v>
      </c>
      <c r="H890" s="25">
        <v>130</v>
      </c>
      <c r="I890" s="25">
        <v>100</v>
      </c>
      <c r="J890" s="25">
        <v>1820</v>
      </c>
      <c r="K890" s="25">
        <v>1400</v>
      </c>
      <c r="L890" s="25">
        <v>420</v>
      </c>
      <c r="M890" s="27">
        <v>30</v>
      </c>
      <c r="N890" s="25" t="s">
        <v>63</v>
      </c>
      <c r="O890" s="25" t="s">
        <v>27</v>
      </c>
      <c r="P890" s="25" t="s">
        <v>32</v>
      </c>
    </row>
    <row r="891" spans="1:16" x14ac:dyDescent="0.3">
      <c r="A891" s="25">
        <v>890</v>
      </c>
      <c r="B891" s="26">
        <v>45496</v>
      </c>
      <c r="C891" s="25" t="s">
        <v>62</v>
      </c>
      <c r="D891" s="25" t="s">
        <v>21</v>
      </c>
      <c r="E891" s="25" t="s">
        <v>95</v>
      </c>
      <c r="F891" s="25">
        <v>5</v>
      </c>
      <c r="G891" s="25" t="s">
        <v>89</v>
      </c>
      <c r="H891" s="25">
        <v>150</v>
      </c>
      <c r="I891" s="25">
        <v>100</v>
      </c>
      <c r="J891" s="25">
        <v>750</v>
      </c>
      <c r="K891" s="25">
        <v>500</v>
      </c>
      <c r="L891" s="25">
        <v>250</v>
      </c>
      <c r="M891" s="27">
        <v>50</v>
      </c>
      <c r="N891" s="25" t="s">
        <v>63</v>
      </c>
      <c r="O891" s="25" t="s">
        <v>28</v>
      </c>
      <c r="P891" s="25" t="s">
        <v>32</v>
      </c>
    </row>
    <row r="892" spans="1:16" x14ac:dyDescent="0.3">
      <c r="A892" s="25">
        <v>891</v>
      </c>
      <c r="B892" s="26">
        <v>45496</v>
      </c>
      <c r="C892" s="25" t="s">
        <v>62</v>
      </c>
      <c r="D892" s="25" t="s">
        <v>21</v>
      </c>
      <c r="E892" s="25" t="s">
        <v>93</v>
      </c>
      <c r="F892" s="25">
        <v>7</v>
      </c>
      <c r="G892" s="25" t="s">
        <v>89</v>
      </c>
      <c r="H892" s="25">
        <v>250</v>
      </c>
      <c r="I892" s="25">
        <v>180</v>
      </c>
      <c r="J892" s="25">
        <v>1750</v>
      </c>
      <c r="K892" s="25">
        <v>1260</v>
      </c>
      <c r="L892" s="25">
        <v>490</v>
      </c>
      <c r="M892" s="27">
        <v>38.8888888888889</v>
      </c>
      <c r="N892" s="25" t="s">
        <v>63</v>
      </c>
      <c r="O892" s="25" t="s">
        <v>27</v>
      </c>
      <c r="P892" s="25" t="s">
        <v>32</v>
      </c>
    </row>
    <row r="893" spans="1:16" x14ac:dyDescent="0.3">
      <c r="A893" s="25">
        <v>892</v>
      </c>
      <c r="B893" s="26">
        <v>45497</v>
      </c>
      <c r="C893" s="25" t="s">
        <v>62</v>
      </c>
      <c r="D893" s="25" t="s">
        <v>21</v>
      </c>
      <c r="E893" s="25" t="s">
        <v>94</v>
      </c>
      <c r="F893" s="25">
        <v>3</v>
      </c>
      <c r="G893" s="25" t="s">
        <v>89</v>
      </c>
      <c r="H893" s="25">
        <v>30</v>
      </c>
      <c r="I893" s="25">
        <v>26</v>
      </c>
      <c r="J893" s="25">
        <v>90</v>
      </c>
      <c r="K893" s="25">
        <v>78</v>
      </c>
      <c r="L893" s="25">
        <v>12</v>
      </c>
      <c r="M893" s="27">
        <v>15.384615384615399</v>
      </c>
      <c r="N893" s="25" t="s">
        <v>63</v>
      </c>
      <c r="O893" s="25" t="s">
        <v>27</v>
      </c>
      <c r="P893" s="25" t="s">
        <v>32</v>
      </c>
    </row>
    <row r="894" spans="1:16" x14ac:dyDescent="0.3">
      <c r="A894" s="25">
        <v>893</v>
      </c>
      <c r="B894" s="26">
        <v>45497</v>
      </c>
      <c r="C894" s="25" t="s">
        <v>62</v>
      </c>
      <c r="D894" s="25" t="s">
        <v>21</v>
      </c>
      <c r="E894" s="25" t="s">
        <v>88</v>
      </c>
      <c r="F894" s="25">
        <v>7</v>
      </c>
      <c r="G894" s="25" t="s">
        <v>89</v>
      </c>
      <c r="H894" s="25">
        <v>130</v>
      </c>
      <c r="I894" s="25">
        <v>100</v>
      </c>
      <c r="J894" s="25">
        <v>910</v>
      </c>
      <c r="K894" s="25">
        <v>700</v>
      </c>
      <c r="L894" s="25">
        <v>210</v>
      </c>
      <c r="M894" s="27">
        <v>30</v>
      </c>
      <c r="N894" s="25" t="s">
        <v>63</v>
      </c>
      <c r="O894" s="25" t="s">
        <v>27</v>
      </c>
      <c r="P894" s="25" t="s">
        <v>32</v>
      </c>
    </row>
    <row r="895" spans="1:16" x14ac:dyDescent="0.3">
      <c r="A895" s="25">
        <v>894</v>
      </c>
      <c r="B895" s="26">
        <v>45497</v>
      </c>
      <c r="C895" s="25" t="s">
        <v>62</v>
      </c>
      <c r="D895" s="25" t="s">
        <v>21</v>
      </c>
      <c r="E895" s="25" t="s">
        <v>95</v>
      </c>
      <c r="F895" s="25">
        <v>3</v>
      </c>
      <c r="G895" s="25" t="s">
        <v>89</v>
      </c>
      <c r="H895" s="25">
        <v>150</v>
      </c>
      <c r="I895" s="25">
        <v>100</v>
      </c>
      <c r="J895" s="25">
        <v>450</v>
      </c>
      <c r="K895" s="25">
        <v>300</v>
      </c>
      <c r="L895" s="25">
        <v>150</v>
      </c>
      <c r="M895" s="27">
        <v>50</v>
      </c>
      <c r="N895" s="25" t="s">
        <v>63</v>
      </c>
      <c r="O895" s="25" t="s">
        <v>28</v>
      </c>
      <c r="P895" s="25" t="s">
        <v>32</v>
      </c>
    </row>
    <row r="896" spans="1:16" x14ac:dyDescent="0.3">
      <c r="A896" s="25">
        <v>895</v>
      </c>
      <c r="B896" s="26">
        <v>45497</v>
      </c>
      <c r="C896" s="25" t="s">
        <v>62</v>
      </c>
      <c r="D896" s="25" t="s">
        <v>21</v>
      </c>
      <c r="E896" s="25" t="s">
        <v>94</v>
      </c>
      <c r="F896" s="25">
        <v>8</v>
      </c>
      <c r="G896" s="25" t="s">
        <v>89</v>
      </c>
      <c r="H896" s="25">
        <v>30</v>
      </c>
      <c r="I896" s="25">
        <v>26</v>
      </c>
      <c r="J896" s="25">
        <v>240</v>
      </c>
      <c r="K896" s="25">
        <v>208</v>
      </c>
      <c r="L896" s="25">
        <v>32</v>
      </c>
      <c r="M896" s="27">
        <v>15.384615384615399</v>
      </c>
      <c r="N896" s="25" t="s">
        <v>63</v>
      </c>
      <c r="O896" s="25" t="s">
        <v>27</v>
      </c>
      <c r="P896" s="25" t="s">
        <v>32</v>
      </c>
    </row>
    <row r="897" spans="1:16" x14ac:dyDescent="0.3">
      <c r="A897" s="25">
        <v>896</v>
      </c>
      <c r="B897" s="26">
        <v>45497</v>
      </c>
      <c r="C897" s="25" t="s">
        <v>62</v>
      </c>
      <c r="D897" s="25" t="s">
        <v>21</v>
      </c>
      <c r="E897" s="25" t="s">
        <v>88</v>
      </c>
      <c r="F897" s="25">
        <v>2</v>
      </c>
      <c r="G897" s="25" t="s">
        <v>89</v>
      </c>
      <c r="H897" s="25">
        <v>130</v>
      </c>
      <c r="I897" s="25">
        <v>100</v>
      </c>
      <c r="J897" s="25">
        <v>260</v>
      </c>
      <c r="K897" s="25">
        <v>200</v>
      </c>
      <c r="L897" s="25">
        <v>60</v>
      </c>
      <c r="M897" s="27">
        <v>30</v>
      </c>
      <c r="N897" s="25" t="s">
        <v>63</v>
      </c>
      <c r="O897" s="25" t="s">
        <v>27</v>
      </c>
      <c r="P897" s="25" t="s">
        <v>32</v>
      </c>
    </row>
    <row r="898" spans="1:16" x14ac:dyDescent="0.3">
      <c r="A898" s="25">
        <v>897</v>
      </c>
      <c r="B898" s="26">
        <v>45497</v>
      </c>
      <c r="C898" s="25" t="s">
        <v>62</v>
      </c>
      <c r="D898" s="25" t="s">
        <v>21</v>
      </c>
      <c r="E898" s="25" t="s">
        <v>95</v>
      </c>
      <c r="F898" s="25">
        <v>7</v>
      </c>
      <c r="G898" s="25" t="s">
        <v>89</v>
      </c>
      <c r="H898" s="25">
        <v>150</v>
      </c>
      <c r="I898" s="25">
        <v>100</v>
      </c>
      <c r="J898" s="25">
        <v>1050</v>
      </c>
      <c r="K898" s="25">
        <v>700</v>
      </c>
      <c r="L898" s="25">
        <v>350</v>
      </c>
      <c r="M898" s="27">
        <v>50</v>
      </c>
      <c r="N898" s="25" t="s">
        <v>63</v>
      </c>
      <c r="O898" s="25" t="s">
        <v>28</v>
      </c>
      <c r="P898" s="25" t="s">
        <v>32</v>
      </c>
    </row>
    <row r="899" spans="1:16" x14ac:dyDescent="0.3">
      <c r="A899" s="25">
        <v>898</v>
      </c>
      <c r="B899" s="26">
        <v>45497</v>
      </c>
      <c r="C899" s="25" t="s">
        <v>62</v>
      </c>
      <c r="D899" s="25" t="s">
        <v>21</v>
      </c>
      <c r="E899" s="25" t="s">
        <v>88</v>
      </c>
      <c r="F899" s="25">
        <v>2</v>
      </c>
      <c r="G899" s="25" t="s">
        <v>89</v>
      </c>
      <c r="H899" s="25">
        <v>130</v>
      </c>
      <c r="I899" s="25">
        <v>100</v>
      </c>
      <c r="J899" s="25">
        <v>260</v>
      </c>
      <c r="K899" s="25">
        <v>200</v>
      </c>
      <c r="L899" s="25">
        <v>60</v>
      </c>
      <c r="M899" s="27">
        <v>30</v>
      </c>
      <c r="N899" s="25" t="s">
        <v>63</v>
      </c>
      <c r="O899" s="25" t="s">
        <v>27</v>
      </c>
      <c r="P899" s="25" t="s">
        <v>32</v>
      </c>
    </row>
    <row r="900" spans="1:16" x14ac:dyDescent="0.3">
      <c r="A900" s="25">
        <v>899</v>
      </c>
      <c r="B900" s="26">
        <v>45497</v>
      </c>
      <c r="C900" s="25" t="s">
        <v>62</v>
      </c>
      <c r="D900" s="25" t="s">
        <v>21</v>
      </c>
      <c r="E900" s="25" t="s">
        <v>88</v>
      </c>
      <c r="F900" s="25">
        <v>7</v>
      </c>
      <c r="G900" s="25" t="s">
        <v>89</v>
      </c>
      <c r="H900" s="25">
        <v>130</v>
      </c>
      <c r="I900" s="25">
        <v>100</v>
      </c>
      <c r="J900" s="25">
        <v>910</v>
      </c>
      <c r="K900" s="25">
        <v>700</v>
      </c>
      <c r="L900" s="25">
        <v>210</v>
      </c>
      <c r="M900" s="27">
        <v>30</v>
      </c>
      <c r="N900" s="25" t="s">
        <v>63</v>
      </c>
      <c r="O900" s="25" t="s">
        <v>27</v>
      </c>
      <c r="P900" s="25" t="s">
        <v>32</v>
      </c>
    </row>
    <row r="901" spans="1:16" x14ac:dyDescent="0.3">
      <c r="A901" s="25">
        <v>900</v>
      </c>
      <c r="B901" s="26">
        <v>45497</v>
      </c>
      <c r="C901" s="25" t="s">
        <v>62</v>
      </c>
      <c r="D901" s="25" t="s">
        <v>21</v>
      </c>
      <c r="E901" s="25" t="s">
        <v>94</v>
      </c>
      <c r="F901" s="25">
        <v>22</v>
      </c>
      <c r="G901" s="25" t="s">
        <v>89</v>
      </c>
      <c r="H901" s="25">
        <v>30</v>
      </c>
      <c r="I901" s="25">
        <v>26</v>
      </c>
      <c r="J901" s="25">
        <v>660</v>
      </c>
      <c r="K901" s="25">
        <v>572</v>
      </c>
      <c r="L901" s="25">
        <v>88</v>
      </c>
      <c r="M901" s="27">
        <v>15.384615384615399</v>
      </c>
      <c r="N901" s="25" t="s">
        <v>63</v>
      </c>
      <c r="O901" s="25" t="s">
        <v>27</v>
      </c>
      <c r="P901" s="25" t="s">
        <v>32</v>
      </c>
    </row>
    <row r="902" spans="1:16" x14ac:dyDescent="0.3">
      <c r="A902" s="25">
        <v>901</v>
      </c>
      <c r="B902" s="26">
        <v>45497</v>
      </c>
      <c r="C902" s="25" t="s">
        <v>62</v>
      </c>
      <c r="D902" s="25" t="s">
        <v>21</v>
      </c>
      <c r="E902" s="25" t="s">
        <v>88</v>
      </c>
      <c r="F902" s="25">
        <v>6</v>
      </c>
      <c r="G902" s="25" t="s">
        <v>89</v>
      </c>
      <c r="H902" s="25">
        <v>130</v>
      </c>
      <c r="I902" s="25">
        <v>100</v>
      </c>
      <c r="J902" s="25">
        <v>780</v>
      </c>
      <c r="K902" s="25">
        <v>600</v>
      </c>
      <c r="L902" s="25">
        <v>180</v>
      </c>
      <c r="M902" s="27">
        <v>30</v>
      </c>
      <c r="N902" s="25" t="s">
        <v>63</v>
      </c>
      <c r="O902" s="25" t="s">
        <v>27</v>
      </c>
      <c r="P902" s="25" t="s">
        <v>32</v>
      </c>
    </row>
    <row r="903" spans="1:16" x14ac:dyDescent="0.3">
      <c r="A903" s="25">
        <v>902</v>
      </c>
      <c r="B903" s="26">
        <v>45497</v>
      </c>
      <c r="C903" s="25" t="s">
        <v>62</v>
      </c>
      <c r="D903" s="25" t="s">
        <v>21</v>
      </c>
      <c r="E903" s="25" t="s">
        <v>88</v>
      </c>
      <c r="F903" s="25">
        <v>4</v>
      </c>
      <c r="G903" s="25" t="s">
        <v>89</v>
      </c>
      <c r="H903" s="25">
        <v>130</v>
      </c>
      <c r="I903" s="25">
        <v>100</v>
      </c>
      <c r="J903" s="25">
        <v>520</v>
      </c>
      <c r="K903" s="25">
        <v>400</v>
      </c>
      <c r="L903" s="25">
        <v>120</v>
      </c>
      <c r="M903" s="27">
        <v>30</v>
      </c>
      <c r="N903" s="25" t="s">
        <v>63</v>
      </c>
      <c r="O903" s="25" t="s">
        <v>27</v>
      </c>
      <c r="P903" s="25" t="s">
        <v>32</v>
      </c>
    </row>
    <row r="904" spans="1:16" x14ac:dyDescent="0.3">
      <c r="A904" s="25">
        <v>903</v>
      </c>
      <c r="B904" s="26">
        <v>45497</v>
      </c>
      <c r="C904" s="25" t="s">
        <v>62</v>
      </c>
      <c r="D904" s="25" t="s">
        <v>21</v>
      </c>
      <c r="E904" s="25" t="s">
        <v>88</v>
      </c>
      <c r="F904" s="25">
        <v>7</v>
      </c>
      <c r="G904" s="25" t="s">
        <v>89</v>
      </c>
      <c r="H904" s="25">
        <v>130</v>
      </c>
      <c r="I904" s="25">
        <v>100</v>
      </c>
      <c r="J904" s="25">
        <v>910</v>
      </c>
      <c r="K904" s="25">
        <v>700</v>
      </c>
      <c r="L904" s="25">
        <v>210</v>
      </c>
      <c r="M904" s="27">
        <v>30</v>
      </c>
      <c r="N904" s="25" t="s">
        <v>63</v>
      </c>
      <c r="O904" s="25" t="s">
        <v>27</v>
      </c>
      <c r="P904" s="25" t="s">
        <v>32</v>
      </c>
    </row>
    <row r="905" spans="1:16" x14ac:dyDescent="0.3">
      <c r="A905" s="25">
        <v>904</v>
      </c>
      <c r="B905" s="26">
        <v>45497</v>
      </c>
      <c r="C905" s="25" t="s">
        <v>62</v>
      </c>
      <c r="D905" s="25" t="s">
        <v>21</v>
      </c>
      <c r="E905" s="25" t="s">
        <v>88</v>
      </c>
      <c r="F905" s="25">
        <v>3</v>
      </c>
      <c r="G905" s="25" t="s">
        <v>89</v>
      </c>
      <c r="H905" s="25">
        <v>130</v>
      </c>
      <c r="I905" s="25">
        <v>100</v>
      </c>
      <c r="J905" s="25">
        <v>390</v>
      </c>
      <c r="K905" s="25">
        <v>300</v>
      </c>
      <c r="L905" s="25">
        <v>90</v>
      </c>
      <c r="M905" s="27">
        <v>30</v>
      </c>
      <c r="N905" s="25" t="s">
        <v>63</v>
      </c>
      <c r="O905" s="25" t="s">
        <v>27</v>
      </c>
      <c r="P905" s="25" t="s">
        <v>32</v>
      </c>
    </row>
    <row r="906" spans="1:16" x14ac:dyDescent="0.3">
      <c r="A906" s="25">
        <v>905</v>
      </c>
      <c r="B906" s="26">
        <v>45497</v>
      </c>
      <c r="C906" s="25" t="s">
        <v>62</v>
      </c>
      <c r="D906" s="25" t="s">
        <v>21</v>
      </c>
      <c r="E906" s="25" t="s">
        <v>94</v>
      </c>
      <c r="F906" s="25">
        <v>12</v>
      </c>
      <c r="G906" s="25" t="s">
        <v>89</v>
      </c>
      <c r="H906" s="25">
        <v>30</v>
      </c>
      <c r="I906" s="25">
        <v>26</v>
      </c>
      <c r="J906" s="25">
        <v>360</v>
      </c>
      <c r="K906" s="25">
        <v>312</v>
      </c>
      <c r="L906" s="25">
        <v>48</v>
      </c>
      <c r="M906" s="27">
        <v>15.384615384615399</v>
      </c>
      <c r="N906" s="25" t="s">
        <v>63</v>
      </c>
      <c r="O906" s="25" t="s">
        <v>27</v>
      </c>
      <c r="P906" s="25" t="s">
        <v>32</v>
      </c>
    </row>
    <row r="907" spans="1:16" x14ac:dyDescent="0.3">
      <c r="A907" s="25">
        <v>906</v>
      </c>
      <c r="B907" s="26">
        <v>45497</v>
      </c>
      <c r="C907" s="25" t="s">
        <v>62</v>
      </c>
      <c r="D907" s="25" t="s">
        <v>21</v>
      </c>
      <c r="E907" s="25" t="s">
        <v>88</v>
      </c>
      <c r="F907" s="25">
        <v>8</v>
      </c>
      <c r="G907" s="25" t="s">
        <v>89</v>
      </c>
      <c r="H907" s="25">
        <v>130</v>
      </c>
      <c r="I907" s="25">
        <v>100</v>
      </c>
      <c r="J907" s="25">
        <v>1040</v>
      </c>
      <c r="K907" s="25">
        <v>800</v>
      </c>
      <c r="L907" s="25">
        <v>240</v>
      </c>
      <c r="M907" s="27">
        <v>30</v>
      </c>
      <c r="N907" s="25" t="s">
        <v>63</v>
      </c>
      <c r="O907" s="25" t="s">
        <v>27</v>
      </c>
      <c r="P907" s="25" t="s">
        <v>32</v>
      </c>
    </row>
    <row r="908" spans="1:16" x14ac:dyDescent="0.3">
      <c r="A908" s="25">
        <v>907</v>
      </c>
      <c r="B908" s="26">
        <v>45498</v>
      </c>
      <c r="C908" s="25" t="s">
        <v>62</v>
      </c>
      <c r="D908" s="25" t="s">
        <v>21</v>
      </c>
      <c r="E908" s="25" t="s">
        <v>88</v>
      </c>
      <c r="F908" s="25">
        <v>5</v>
      </c>
      <c r="G908" s="25" t="s">
        <v>89</v>
      </c>
      <c r="H908" s="25">
        <v>130</v>
      </c>
      <c r="I908" s="25">
        <v>100</v>
      </c>
      <c r="J908" s="25">
        <v>650</v>
      </c>
      <c r="K908" s="25">
        <v>500</v>
      </c>
      <c r="L908" s="25">
        <v>150</v>
      </c>
      <c r="M908" s="27">
        <v>30</v>
      </c>
      <c r="N908" s="25" t="s">
        <v>63</v>
      </c>
      <c r="O908" s="25" t="s">
        <v>27</v>
      </c>
      <c r="P908" s="25" t="s">
        <v>32</v>
      </c>
    </row>
    <row r="909" spans="1:16" x14ac:dyDescent="0.3">
      <c r="A909" s="25">
        <v>908</v>
      </c>
      <c r="B909" s="26">
        <v>45498</v>
      </c>
      <c r="C909" s="25" t="s">
        <v>62</v>
      </c>
      <c r="D909" s="25" t="s">
        <v>21</v>
      </c>
      <c r="E909" s="25" t="s">
        <v>88</v>
      </c>
      <c r="F909" s="25">
        <v>16</v>
      </c>
      <c r="G909" s="25" t="s">
        <v>89</v>
      </c>
      <c r="H909" s="25">
        <v>130</v>
      </c>
      <c r="I909" s="25">
        <v>100</v>
      </c>
      <c r="J909" s="25">
        <v>2080</v>
      </c>
      <c r="K909" s="25">
        <v>1600</v>
      </c>
      <c r="L909" s="25">
        <v>480</v>
      </c>
      <c r="M909" s="27">
        <v>30</v>
      </c>
      <c r="N909" s="25" t="s">
        <v>63</v>
      </c>
      <c r="O909" s="25" t="s">
        <v>27</v>
      </c>
      <c r="P909" s="25" t="s">
        <v>32</v>
      </c>
    </row>
    <row r="910" spans="1:16" x14ac:dyDescent="0.3">
      <c r="A910" s="25">
        <v>909</v>
      </c>
      <c r="B910" s="26">
        <v>45498</v>
      </c>
      <c r="C910" s="25" t="s">
        <v>62</v>
      </c>
      <c r="D910" s="25" t="s">
        <v>21</v>
      </c>
      <c r="E910" s="25" t="s">
        <v>88</v>
      </c>
      <c r="F910" s="25">
        <v>3</v>
      </c>
      <c r="G910" s="25" t="s">
        <v>89</v>
      </c>
      <c r="H910" s="25">
        <v>130</v>
      </c>
      <c r="I910" s="25">
        <v>100</v>
      </c>
      <c r="J910" s="25">
        <v>390</v>
      </c>
      <c r="K910" s="25">
        <v>300</v>
      </c>
      <c r="L910" s="25">
        <v>90</v>
      </c>
      <c r="M910" s="27">
        <v>30</v>
      </c>
      <c r="N910" s="25" t="s">
        <v>63</v>
      </c>
      <c r="O910" s="25" t="s">
        <v>27</v>
      </c>
      <c r="P910" s="25" t="s">
        <v>32</v>
      </c>
    </row>
    <row r="911" spans="1:16" x14ac:dyDescent="0.3">
      <c r="A911" s="25">
        <v>910</v>
      </c>
      <c r="B911" s="26">
        <v>45498</v>
      </c>
      <c r="C911" s="25" t="s">
        <v>62</v>
      </c>
      <c r="D911" s="25" t="s">
        <v>21</v>
      </c>
      <c r="E911" s="25" t="s">
        <v>94</v>
      </c>
      <c r="F911" s="25">
        <v>24</v>
      </c>
      <c r="G911" s="25" t="s">
        <v>89</v>
      </c>
      <c r="H911" s="25">
        <v>30</v>
      </c>
      <c r="I911" s="25">
        <v>26</v>
      </c>
      <c r="J911" s="25">
        <v>720</v>
      </c>
      <c r="K911" s="25">
        <v>624</v>
      </c>
      <c r="L911" s="25">
        <v>96</v>
      </c>
      <c r="M911" s="27">
        <v>15.384615384615399</v>
      </c>
      <c r="N911" s="25" t="s">
        <v>63</v>
      </c>
      <c r="O911" s="25" t="s">
        <v>27</v>
      </c>
      <c r="P911" s="25" t="s">
        <v>32</v>
      </c>
    </row>
    <row r="912" spans="1:16" x14ac:dyDescent="0.3">
      <c r="A912" s="25">
        <v>911</v>
      </c>
      <c r="B912" s="26">
        <v>45498</v>
      </c>
      <c r="C912" s="25" t="s">
        <v>62</v>
      </c>
      <c r="D912" s="25" t="s">
        <v>21</v>
      </c>
      <c r="E912" s="25" t="s">
        <v>88</v>
      </c>
      <c r="F912" s="25">
        <v>6</v>
      </c>
      <c r="G912" s="25" t="s">
        <v>89</v>
      </c>
      <c r="H912" s="25">
        <v>130</v>
      </c>
      <c r="I912" s="25">
        <v>100</v>
      </c>
      <c r="J912" s="25">
        <v>780</v>
      </c>
      <c r="K912" s="25">
        <v>600</v>
      </c>
      <c r="L912" s="25">
        <v>180</v>
      </c>
      <c r="M912" s="27">
        <v>30</v>
      </c>
      <c r="N912" s="25" t="s">
        <v>63</v>
      </c>
      <c r="O912" s="25" t="s">
        <v>27</v>
      </c>
      <c r="P912" s="25" t="s">
        <v>32</v>
      </c>
    </row>
    <row r="913" spans="1:16" x14ac:dyDescent="0.3">
      <c r="A913" s="25">
        <v>912</v>
      </c>
      <c r="B913" s="26">
        <v>45498</v>
      </c>
      <c r="C913" s="25" t="s">
        <v>62</v>
      </c>
      <c r="D913" s="25" t="s">
        <v>21</v>
      </c>
      <c r="E913" s="25" t="s">
        <v>93</v>
      </c>
      <c r="F913" s="25">
        <v>3</v>
      </c>
      <c r="G913" s="25" t="s">
        <v>89</v>
      </c>
      <c r="H913" s="25">
        <v>250</v>
      </c>
      <c r="I913" s="25">
        <v>180</v>
      </c>
      <c r="J913" s="25">
        <v>750</v>
      </c>
      <c r="K913" s="25">
        <v>540</v>
      </c>
      <c r="L913" s="25">
        <v>210</v>
      </c>
      <c r="M913" s="27">
        <v>38.8888888888889</v>
      </c>
      <c r="N913" s="25" t="s">
        <v>63</v>
      </c>
      <c r="O913" s="25" t="s">
        <v>27</v>
      </c>
      <c r="P913" s="25" t="s">
        <v>32</v>
      </c>
    </row>
    <row r="914" spans="1:16" x14ac:dyDescent="0.3">
      <c r="A914" s="25">
        <v>913</v>
      </c>
      <c r="B914" s="26">
        <v>45498</v>
      </c>
      <c r="C914" s="25" t="s">
        <v>62</v>
      </c>
      <c r="D914" s="25" t="s">
        <v>21</v>
      </c>
      <c r="E914" s="25" t="s">
        <v>88</v>
      </c>
      <c r="F914" s="25">
        <v>8</v>
      </c>
      <c r="G914" s="25" t="s">
        <v>89</v>
      </c>
      <c r="H914" s="25">
        <v>130</v>
      </c>
      <c r="I914" s="25">
        <v>100</v>
      </c>
      <c r="J914" s="25">
        <v>1040</v>
      </c>
      <c r="K914" s="25">
        <v>800</v>
      </c>
      <c r="L914" s="25">
        <v>240</v>
      </c>
      <c r="M914" s="27">
        <v>30</v>
      </c>
      <c r="N914" s="25" t="s">
        <v>63</v>
      </c>
      <c r="O914" s="25" t="s">
        <v>27</v>
      </c>
      <c r="P914" s="25" t="s">
        <v>32</v>
      </c>
    </row>
    <row r="915" spans="1:16" x14ac:dyDescent="0.3">
      <c r="A915" s="25">
        <v>914</v>
      </c>
      <c r="B915" s="26">
        <v>45498</v>
      </c>
      <c r="C915" s="25" t="s">
        <v>62</v>
      </c>
      <c r="D915" s="25" t="s">
        <v>21</v>
      </c>
      <c r="E915" s="25" t="s">
        <v>94</v>
      </c>
      <c r="F915" s="25">
        <v>28</v>
      </c>
      <c r="G915" s="25" t="s">
        <v>89</v>
      </c>
      <c r="H915" s="25">
        <v>30</v>
      </c>
      <c r="I915" s="25">
        <v>26</v>
      </c>
      <c r="J915" s="25">
        <v>840</v>
      </c>
      <c r="K915" s="25">
        <v>728</v>
      </c>
      <c r="L915" s="25">
        <v>112</v>
      </c>
      <c r="M915" s="27">
        <v>15.384615384615399</v>
      </c>
      <c r="N915" s="25" t="s">
        <v>63</v>
      </c>
      <c r="O915" s="25" t="s">
        <v>27</v>
      </c>
      <c r="P915" s="25" t="s">
        <v>32</v>
      </c>
    </row>
    <row r="916" spans="1:16" x14ac:dyDescent="0.3">
      <c r="A916" s="25">
        <v>915</v>
      </c>
      <c r="B916" s="26">
        <v>45498</v>
      </c>
      <c r="C916" s="25" t="s">
        <v>62</v>
      </c>
      <c r="D916" s="25" t="s">
        <v>21</v>
      </c>
      <c r="E916" s="25" t="s">
        <v>88</v>
      </c>
      <c r="F916" s="25">
        <v>4</v>
      </c>
      <c r="G916" s="25" t="s">
        <v>89</v>
      </c>
      <c r="H916" s="25">
        <v>130</v>
      </c>
      <c r="I916" s="25">
        <v>100</v>
      </c>
      <c r="J916" s="25">
        <v>520</v>
      </c>
      <c r="K916" s="25">
        <v>400</v>
      </c>
      <c r="L916" s="25">
        <v>120</v>
      </c>
      <c r="M916" s="27">
        <v>30</v>
      </c>
      <c r="N916" s="25" t="s">
        <v>63</v>
      </c>
      <c r="O916" s="25" t="s">
        <v>27</v>
      </c>
      <c r="P916" s="25" t="s">
        <v>32</v>
      </c>
    </row>
    <row r="917" spans="1:16" x14ac:dyDescent="0.3">
      <c r="A917" s="25">
        <v>916</v>
      </c>
      <c r="B917" s="26">
        <v>45498</v>
      </c>
      <c r="C917" s="25" t="s">
        <v>62</v>
      </c>
      <c r="D917" s="25" t="s">
        <v>21</v>
      </c>
      <c r="E917" s="25" t="s">
        <v>94</v>
      </c>
      <c r="F917" s="25">
        <v>16</v>
      </c>
      <c r="G917" s="25" t="s">
        <v>89</v>
      </c>
      <c r="H917" s="25">
        <v>30</v>
      </c>
      <c r="I917" s="25">
        <v>26</v>
      </c>
      <c r="J917" s="25">
        <v>480</v>
      </c>
      <c r="K917" s="25">
        <v>416</v>
      </c>
      <c r="L917" s="25">
        <v>64</v>
      </c>
      <c r="M917" s="27">
        <v>15.384615384615399</v>
      </c>
      <c r="N917" s="25" t="s">
        <v>63</v>
      </c>
      <c r="O917" s="25" t="s">
        <v>27</v>
      </c>
      <c r="P917" s="25" t="s">
        <v>32</v>
      </c>
    </row>
    <row r="918" spans="1:16" x14ac:dyDescent="0.3">
      <c r="A918" s="25">
        <v>917</v>
      </c>
      <c r="B918" s="26">
        <v>45498</v>
      </c>
      <c r="C918" s="25" t="s">
        <v>62</v>
      </c>
      <c r="D918" s="25" t="s">
        <v>21</v>
      </c>
      <c r="E918" s="25" t="s">
        <v>88</v>
      </c>
      <c r="F918" s="25">
        <v>3</v>
      </c>
      <c r="G918" s="25" t="s">
        <v>89</v>
      </c>
      <c r="H918" s="25">
        <v>130</v>
      </c>
      <c r="I918" s="25">
        <v>100</v>
      </c>
      <c r="J918" s="25">
        <v>390</v>
      </c>
      <c r="K918" s="25">
        <v>300</v>
      </c>
      <c r="L918" s="25">
        <v>90</v>
      </c>
      <c r="M918" s="27">
        <v>30</v>
      </c>
      <c r="N918" s="25" t="s">
        <v>63</v>
      </c>
      <c r="O918" s="25" t="s">
        <v>27</v>
      </c>
      <c r="P918" s="25" t="s">
        <v>32</v>
      </c>
    </row>
    <row r="919" spans="1:16" x14ac:dyDescent="0.3">
      <c r="A919" s="25">
        <v>918</v>
      </c>
      <c r="B919" s="26">
        <v>45498</v>
      </c>
      <c r="C919" s="25" t="s">
        <v>62</v>
      </c>
      <c r="D919" s="25" t="s">
        <v>21</v>
      </c>
      <c r="E919" s="25" t="s">
        <v>88</v>
      </c>
      <c r="F919" s="25">
        <v>6</v>
      </c>
      <c r="G919" s="25" t="s">
        <v>89</v>
      </c>
      <c r="H919" s="25">
        <v>130</v>
      </c>
      <c r="I919" s="25">
        <v>100</v>
      </c>
      <c r="J919" s="25">
        <v>780</v>
      </c>
      <c r="K919" s="25">
        <v>600</v>
      </c>
      <c r="L919" s="25">
        <v>180</v>
      </c>
      <c r="M919" s="27">
        <v>30</v>
      </c>
      <c r="N919" s="25" t="s">
        <v>63</v>
      </c>
      <c r="O919" s="25" t="s">
        <v>27</v>
      </c>
      <c r="P919" s="25" t="s">
        <v>32</v>
      </c>
    </row>
    <row r="920" spans="1:16" x14ac:dyDescent="0.3">
      <c r="A920" s="25">
        <v>919</v>
      </c>
      <c r="B920" s="26">
        <v>45498</v>
      </c>
      <c r="C920" s="25" t="s">
        <v>62</v>
      </c>
      <c r="D920" s="25" t="s">
        <v>21</v>
      </c>
      <c r="E920" s="25" t="s">
        <v>94</v>
      </c>
      <c r="F920" s="25">
        <v>16</v>
      </c>
      <c r="G920" s="25" t="s">
        <v>89</v>
      </c>
      <c r="H920" s="25">
        <v>30</v>
      </c>
      <c r="I920" s="25">
        <v>26</v>
      </c>
      <c r="J920" s="25">
        <v>480</v>
      </c>
      <c r="K920" s="25">
        <v>416</v>
      </c>
      <c r="L920" s="25">
        <v>64</v>
      </c>
      <c r="M920" s="27">
        <v>15.384615384615399</v>
      </c>
      <c r="N920" s="25" t="s">
        <v>63</v>
      </c>
      <c r="O920" s="25" t="s">
        <v>27</v>
      </c>
      <c r="P920" s="25" t="s">
        <v>32</v>
      </c>
    </row>
    <row r="921" spans="1:16" x14ac:dyDescent="0.3">
      <c r="A921" s="25">
        <v>920</v>
      </c>
      <c r="B921" s="26">
        <v>45498</v>
      </c>
      <c r="C921" s="25" t="s">
        <v>62</v>
      </c>
      <c r="D921" s="25" t="s">
        <v>21</v>
      </c>
      <c r="E921" s="25" t="s">
        <v>88</v>
      </c>
      <c r="F921" s="25">
        <v>3</v>
      </c>
      <c r="G921" s="25" t="s">
        <v>89</v>
      </c>
      <c r="H921" s="25">
        <v>130</v>
      </c>
      <c r="I921" s="25">
        <v>100</v>
      </c>
      <c r="J921" s="25">
        <v>390</v>
      </c>
      <c r="K921" s="25">
        <v>300</v>
      </c>
      <c r="L921" s="25">
        <v>90</v>
      </c>
      <c r="M921" s="27">
        <v>30</v>
      </c>
      <c r="N921" s="25" t="s">
        <v>63</v>
      </c>
      <c r="O921" s="25" t="s">
        <v>27</v>
      </c>
      <c r="P921" s="25" t="s">
        <v>32</v>
      </c>
    </row>
    <row r="922" spans="1:16" x14ac:dyDescent="0.3">
      <c r="A922" s="25">
        <v>921</v>
      </c>
      <c r="B922" s="26">
        <v>45498</v>
      </c>
      <c r="C922" s="25" t="s">
        <v>62</v>
      </c>
      <c r="D922" s="25" t="s">
        <v>21</v>
      </c>
      <c r="E922" s="25" t="s">
        <v>95</v>
      </c>
      <c r="F922" s="25">
        <v>5</v>
      </c>
      <c r="G922" s="25" t="s">
        <v>89</v>
      </c>
      <c r="H922" s="25">
        <v>150</v>
      </c>
      <c r="I922" s="25">
        <v>100</v>
      </c>
      <c r="J922" s="25">
        <v>750</v>
      </c>
      <c r="K922" s="25">
        <v>500</v>
      </c>
      <c r="L922" s="25">
        <v>250</v>
      </c>
      <c r="M922" s="27">
        <v>50</v>
      </c>
      <c r="N922" s="25" t="s">
        <v>63</v>
      </c>
      <c r="O922" s="25" t="s">
        <v>28</v>
      </c>
      <c r="P922" s="25" t="s">
        <v>32</v>
      </c>
    </row>
    <row r="923" spans="1:16" x14ac:dyDescent="0.3">
      <c r="A923" s="25">
        <v>922</v>
      </c>
      <c r="B923" s="26">
        <v>45498</v>
      </c>
      <c r="C923" s="25" t="s">
        <v>62</v>
      </c>
      <c r="D923" s="25" t="s">
        <v>21</v>
      </c>
      <c r="E923" s="25" t="s">
        <v>93</v>
      </c>
      <c r="F923" s="25">
        <v>3</v>
      </c>
      <c r="G923" s="25" t="s">
        <v>89</v>
      </c>
      <c r="H923" s="25">
        <v>250</v>
      </c>
      <c r="I923" s="25">
        <v>180</v>
      </c>
      <c r="J923" s="25">
        <v>750</v>
      </c>
      <c r="K923" s="25">
        <v>540</v>
      </c>
      <c r="L923" s="25">
        <v>210</v>
      </c>
      <c r="M923" s="27">
        <v>38.8888888888889</v>
      </c>
      <c r="N923" s="25" t="s">
        <v>63</v>
      </c>
      <c r="O923" s="25" t="s">
        <v>27</v>
      </c>
      <c r="P923" s="25" t="s">
        <v>32</v>
      </c>
    </row>
    <row r="924" spans="1:16" x14ac:dyDescent="0.3">
      <c r="A924" s="25">
        <v>923</v>
      </c>
      <c r="B924" s="26">
        <v>45498</v>
      </c>
      <c r="C924" s="25" t="s">
        <v>62</v>
      </c>
      <c r="D924" s="25" t="s">
        <v>21</v>
      </c>
      <c r="E924" s="25" t="s">
        <v>88</v>
      </c>
      <c r="F924" s="25">
        <v>7</v>
      </c>
      <c r="G924" s="25" t="s">
        <v>89</v>
      </c>
      <c r="H924" s="25">
        <v>130</v>
      </c>
      <c r="I924" s="25">
        <v>100</v>
      </c>
      <c r="J924" s="25">
        <v>910</v>
      </c>
      <c r="K924" s="25">
        <v>700</v>
      </c>
      <c r="L924" s="25">
        <v>210</v>
      </c>
      <c r="M924" s="27">
        <v>30</v>
      </c>
      <c r="N924" s="25" t="s">
        <v>63</v>
      </c>
      <c r="O924" s="25" t="s">
        <v>27</v>
      </c>
      <c r="P924" s="25" t="s">
        <v>32</v>
      </c>
    </row>
    <row r="925" spans="1:16" x14ac:dyDescent="0.3">
      <c r="A925" s="25">
        <v>924</v>
      </c>
      <c r="B925" s="26">
        <v>45498</v>
      </c>
      <c r="C925" s="25" t="s">
        <v>62</v>
      </c>
      <c r="D925" s="25" t="s">
        <v>21</v>
      </c>
      <c r="E925" s="25" t="s">
        <v>88</v>
      </c>
      <c r="F925" s="25">
        <v>9</v>
      </c>
      <c r="G925" s="25" t="s">
        <v>89</v>
      </c>
      <c r="H925" s="25">
        <v>130</v>
      </c>
      <c r="I925" s="25">
        <v>100</v>
      </c>
      <c r="J925" s="25">
        <v>1170</v>
      </c>
      <c r="K925" s="25">
        <v>900</v>
      </c>
      <c r="L925" s="25">
        <v>270</v>
      </c>
      <c r="M925" s="27">
        <v>30</v>
      </c>
      <c r="N925" s="25" t="s">
        <v>63</v>
      </c>
      <c r="O925" s="25" t="s">
        <v>27</v>
      </c>
      <c r="P925" s="25" t="s">
        <v>32</v>
      </c>
    </row>
    <row r="926" spans="1:16" x14ac:dyDescent="0.3">
      <c r="A926" s="25">
        <v>925</v>
      </c>
      <c r="B926" s="26">
        <v>45499</v>
      </c>
      <c r="C926" s="25" t="s">
        <v>62</v>
      </c>
      <c r="D926" s="25" t="s">
        <v>21</v>
      </c>
      <c r="E926" s="25" t="s">
        <v>94</v>
      </c>
      <c r="F926" s="25">
        <v>10</v>
      </c>
      <c r="G926" s="25" t="s">
        <v>89</v>
      </c>
      <c r="H926" s="25">
        <v>30</v>
      </c>
      <c r="I926" s="25">
        <v>26</v>
      </c>
      <c r="J926" s="25">
        <v>300</v>
      </c>
      <c r="K926" s="25">
        <v>260</v>
      </c>
      <c r="L926" s="25">
        <v>40</v>
      </c>
      <c r="M926" s="27">
        <v>15.384615384615399</v>
      </c>
      <c r="N926" s="25" t="s">
        <v>63</v>
      </c>
      <c r="O926" s="25" t="s">
        <v>27</v>
      </c>
      <c r="P926" s="25" t="s">
        <v>32</v>
      </c>
    </row>
    <row r="927" spans="1:16" x14ac:dyDescent="0.3">
      <c r="A927" s="25">
        <v>926</v>
      </c>
      <c r="B927" s="26">
        <v>45499</v>
      </c>
      <c r="C927" s="25" t="s">
        <v>62</v>
      </c>
      <c r="D927" s="25" t="s">
        <v>21</v>
      </c>
      <c r="E927" s="25" t="s">
        <v>88</v>
      </c>
      <c r="F927" s="25">
        <v>5</v>
      </c>
      <c r="G927" s="25" t="s">
        <v>89</v>
      </c>
      <c r="H927" s="25">
        <v>130</v>
      </c>
      <c r="I927" s="25">
        <v>100</v>
      </c>
      <c r="J927" s="25">
        <v>650</v>
      </c>
      <c r="K927" s="25">
        <v>500</v>
      </c>
      <c r="L927" s="25">
        <v>150</v>
      </c>
      <c r="M927" s="27">
        <v>30</v>
      </c>
      <c r="N927" s="25" t="s">
        <v>63</v>
      </c>
      <c r="O927" s="25" t="s">
        <v>27</v>
      </c>
      <c r="P927" s="25" t="s">
        <v>32</v>
      </c>
    </row>
    <row r="928" spans="1:16" x14ac:dyDescent="0.3">
      <c r="A928" s="25">
        <v>927</v>
      </c>
      <c r="B928" s="26">
        <v>45499</v>
      </c>
      <c r="C928" s="25" t="s">
        <v>62</v>
      </c>
      <c r="D928" s="25" t="s">
        <v>21</v>
      </c>
      <c r="E928" s="25" t="s">
        <v>88</v>
      </c>
      <c r="F928" s="25">
        <v>7</v>
      </c>
      <c r="G928" s="25" t="s">
        <v>89</v>
      </c>
      <c r="H928" s="25">
        <v>130</v>
      </c>
      <c r="I928" s="25">
        <v>100</v>
      </c>
      <c r="J928" s="25">
        <v>910</v>
      </c>
      <c r="K928" s="25">
        <v>700</v>
      </c>
      <c r="L928" s="25">
        <v>210</v>
      </c>
      <c r="M928" s="27">
        <v>30</v>
      </c>
      <c r="N928" s="25" t="s">
        <v>63</v>
      </c>
      <c r="O928" s="25" t="s">
        <v>27</v>
      </c>
      <c r="P928" s="25" t="s">
        <v>32</v>
      </c>
    </row>
    <row r="929" spans="1:16" x14ac:dyDescent="0.3">
      <c r="A929" s="25">
        <v>928</v>
      </c>
      <c r="B929" s="26">
        <v>45499</v>
      </c>
      <c r="C929" s="25" t="s">
        <v>62</v>
      </c>
      <c r="D929" s="25" t="s">
        <v>21</v>
      </c>
      <c r="E929" s="25" t="s">
        <v>88</v>
      </c>
      <c r="F929" s="25">
        <v>3</v>
      </c>
      <c r="G929" s="25" t="s">
        <v>89</v>
      </c>
      <c r="H929" s="25">
        <v>130</v>
      </c>
      <c r="I929" s="25">
        <v>100</v>
      </c>
      <c r="J929" s="25">
        <v>390</v>
      </c>
      <c r="K929" s="25">
        <v>300</v>
      </c>
      <c r="L929" s="25">
        <v>90</v>
      </c>
      <c r="M929" s="27">
        <v>30</v>
      </c>
      <c r="N929" s="25" t="s">
        <v>63</v>
      </c>
      <c r="O929" s="25" t="s">
        <v>27</v>
      </c>
      <c r="P929" s="25" t="s">
        <v>32</v>
      </c>
    </row>
    <row r="930" spans="1:16" x14ac:dyDescent="0.3">
      <c r="A930" s="25">
        <v>929</v>
      </c>
      <c r="B930" s="26">
        <v>45499</v>
      </c>
      <c r="C930" s="25" t="s">
        <v>62</v>
      </c>
      <c r="D930" s="25" t="s">
        <v>21</v>
      </c>
      <c r="E930" s="25" t="s">
        <v>94</v>
      </c>
      <c r="F930" s="25">
        <v>8</v>
      </c>
      <c r="G930" s="25" t="s">
        <v>89</v>
      </c>
      <c r="H930" s="25">
        <v>30</v>
      </c>
      <c r="I930" s="25">
        <v>26</v>
      </c>
      <c r="J930" s="25">
        <v>240</v>
      </c>
      <c r="K930" s="25">
        <v>208</v>
      </c>
      <c r="L930" s="25">
        <v>32</v>
      </c>
      <c r="M930" s="27">
        <v>15.384615384615399</v>
      </c>
      <c r="N930" s="25" t="s">
        <v>63</v>
      </c>
      <c r="O930" s="25" t="s">
        <v>27</v>
      </c>
      <c r="P930" s="25" t="s">
        <v>32</v>
      </c>
    </row>
    <row r="931" spans="1:16" x14ac:dyDescent="0.3">
      <c r="A931" s="25">
        <v>930</v>
      </c>
      <c r="B931" s="26">
        <v>45500</v>
      </c>
      <c r="C931" s="25" t="s">
        <v>62</v>
      </c>
      <c r="D931" s="25" t="s">
        <v>21</v>
      </c>
      <c r="E931" s="25" t="s">
        <v>95</v>
      </c>
      <c r="F931" s="25">
        <v>14</v>
      </c>
      <c r="G931" s="25" t="s">
        <v>89</v>
      </c>
      <c r="H931" s="25">
        <v>150</v>
      </c>
      <c r="I931" s="25">
        <v>100</v>
      </c>
      <c r="J931" s="25">
        <v>2100</v>
      </c>
      <c r="K931" s="25">
        <v>1400</v>
      </c>
      <c r="L931" s="25">
        <v>700</v>
      </c>
      <c r="M931" s="27">
        <v>50</v>
      </c>
      <c r="N931" s="25" t="s">
        <v>63</v>
      </c>
      <c r="O931" s="25" t="s">
        <v>28</v>
      </c>
      <c r="P931" s="25" t="s">
        <v>32</v>
      </c>
    </row>
    <row r="932" spans="1:16" x14ac:dyDescent="0.3">
      <c r="A932" s="25">
        <v>931</v>
      </c>
      <c r="B932" s="26">
        <v>45500</v>
      </c>
      <c r="C932" s="25" t="s">
        <v>62</v>
      </c>
      <c r="D932" s="25" t="s">
        <v>21</v>
      </c>
      <c r="E932" s="25" t="s">
        <v>93</v>
      </c>
      <c r="F932" s="25">
        <v>3</v>
      </c>
      <c r="G932" s="25" t="s">
        <v>89</v>
      </c>
      <c r="H932" s="25">
        <v>250</v>
      </c>
      <c r="I932" s="25">
        <v>180</v>
      </c>
      <c r="J932" s="25">
        <v>750</v>
      </c>
      <c r="K932" s="25">
        <v>540</v>
      </c>
      <c r="L932" s="25">
        <v>210</v>
      </c>
      <c r="M932" s="27">
        <v>38.8888888888889</v>
      </c>
      <c r="N932" s="25" t="s">
        <v>63</v>
      </c>
      <c r="O932" s="25" t="s">
        <v>27</v>
      </c>
      <c r="P932" s="25" t="s">
        <v>32</v>
      </c>
    </row>
    <row r="933" spans="1:16" x14ac:dyDescent="0.3">
      <c r="A933" s="25">
        <v>932</v>
      </c>
      <c r="B933" s="26">
        <v>45500</v>
      </c>
      <c r="C933" s="25" t="s">
        <v>62</v>
      </c>
      <c r="D933" s="25" t="s">
        <v>21</v>
      </c>
      <c r="E933" s="25" t="s">
        <v>88</v>
      </c>
      <c r="F933" s="25">
        <v>5</v>
      </c>
      <c r="G933" s="25" t="s">
        <v>89</v>
      </c>
      <c r="H933" s="25">
        <v>130</v>
      </c>
      <c r="I933" s="25">
        <v>100</v>
      </c>
      <c r="J933" s="25">
        <v>650</v>
      </c>
      <c r="K933" s="25">
        <v>500</v>
      </c>
      <c r="L933" s="25">
        <v>150</v>
      </c>
      <c r="M933" s="27">
        <v>30</v>
      </c>
      <c r="N933" s="25" t="s">
        <v>63</v>
      </c>
      <c r="O933" s="25" t="s">
        <v>27</v>
      </c>
      <c r="P933" s="25" t="s">
        <v>32</v>
      </c>
    </row>
    <row r="934" spans="1:16" x14ac:dyDescent="0.3">
      <c r="A934" s="25">
        <v>933</v>
      </c>
      <c r="B934" s="26">
        <v>45500</v>
      </c>
      <c r="C934" s="25" t="s">
        <v>62</v>
      </c>
      <c r="D934" s="25" t="s">
        <v>21</v>
      </c>
      <c r="E934" s="25" t="s">
        <v>94</v>
      </c>
      <c r="F934" s="25">
        <v>15</v>
      </c>
      <c r="G934" s="25" t="s">
        <v>89</v>
      </c>
      <c r="H934" s="25">
        <v>30</v>
      </c>
      <c r="I934" s="25">
        <v>26</v>
      </c>
      <c r="J934" s="25">
        <v>450</v>
      </c>
      <c r="K934" s="25">
        <v>390</v>
      </c>
      <c r="L934" s="25">
        <v>60</v>
      </c>
      <c r="M934" s="27">
        <v>15.384615384615399</v>
      </c>
      <c r="N934" s="25" t="s">
        <v>63</v>
      </c>
      <c r="O934" s="25" t="s">
        <v>27</v>
      </c>
      <c r="P934" s="25" t="s">
        <v>32</v>
      </c>
    </row>
    <row r="935" spans="1:16" x14ac:dyDescent="0.3">
      <c r="A935" s="25">
        <v>934</v>
      </c>
      <c r="B935" s="26">
        <v>45500</v>
      </c>
      <c r="C935" s="25" t="s">
        <v>62</v>
      </c>
      <c r="D935" s="25" t="s">
        <v>21</v>
      </c>
      <c r="E935" s="25" t="s">
        <v>88</v>
      </c>
      <c r="F935" s="25">
        <v>2</v>
      </c>
      <c r="G935" s="25" t="s">
        <v>89</v>
      </c>
      <c r="H935" s="25">
        <v>130</v>
      </c>
      <c r="I935" s="25">
        <v>100</v>
      </c>
      <c r="J935" s="25">
        <v>260</v>
      </c>
      <c r="K935" s="25">
        <v>200</v>
      </c>
      <c r="L935" s="25">
        <v>60</v>
      </c>
      <c r="M935" s="27">
        <v>30</v>
      </c>
      <c r="N935" s="25" t="s">
        <v>63</v>
      </c>
      <c r="O935" s="25" t="s">
        <v>27</v>
      </c>
      <c r="P935" s="25" t="s">
        <v>32</v>
      </c>
    </row>
    <row r="936" spans="1:16" x14ac:dyDescent="0.3">
      <c r="A936" s="25">
        <v>935</v>
      </c>
      <c r="B936" s="26">
        <v>45500</v>
      </c>
      <c r="C936" s="25" t="s">
        <v>62</v>
      </c>
      <c r="D936" s="25" t="s">
        <v>21</v>
      </c>
      <c r="E936" s="25" t="s">
        <v>88</v>
      </c>
      <c r="F936" s="25">
        <v>5</v>
      </c>
      <c r="G936" s="25" t="s">
        <v>89</v>
      </c>
      <c r="H936" s="25">
        <v>130</v>
      </c>
      <c r="I936" s="25">
        <v>100</v>
      </c>
      <c r="J936" s="25">
        <v>650</v>
      </c>
      <c r="K936" s="25">
        <v>500</v>
      </c>
      <c r="L936" s="25">
        <v>150</v>
      </c>
      <c r="M936" s="27">
        <v>30</v>
      </c>
      <c r="N936" s="25" t="s">
        <v>63</v>
      </c>
      <c r="O936" s="25" t="s">
        <v>27</v>
      </c>
      <c r="P936" s="25" t="s">
        <v>32</v>
      </c>
    </row>
    <row r="937" spans="1:16" x14ac:dyDescent="0.3">
      <c r="A937" s="25">
        <v>936</v>
      </c>
      <c r="B937" s="26">
        <v>45500</v>
      </c>
      <c r="C937" s="25" t="s">
        <v>62</v>
      </c>
      <c r="D937" s="25" t="s">
        <v>21</v>
      </c>
      <c r="E937" s="25" t="s">
        <v>88</v>
      </c>
      <c r="F937" s="25">
        <v>7</v>
      </c>
      <c r="G937" s="25" t="s">
        <v>89</v>
      </c>
      <c r="H937" s="25">
        <v>130</v>
      </c>
      <c r="I937" s="25">
        <v>100</v>
      </c>
      <c r="J937" s="25">
        <v>910</v>
      </c>
      <c r="K937" s="25">
        <v>700</v>
      </c>
      <c r="L937" s="25">
        <v>210</v>
      </c>
      <c r="M937" s="27">
        <v>30</v>
      </c>
      <c r="N937" s="25" t="s">
        <v>63</v>
      </c>
      <c r="O937" s="25" t="s">
        <v>27</v>
      </c>
      <c r="P937" s="25" t="s">
        <v>32</v>
      </c>
    </row>
    <row r="938" spans="1:16" x14ac:dyDescent="0.3">
      <c r="A938" s="25">
        <v>937</v>
      </c>
      <c r="B938" s="26">
        <v>45500</v>
      </c>
      <c r="C938" s="25" t="s">
        <v>62</v>
      </c>
      <c r="D938" s="25" t="s">
        <v>21</v>
      </c>
      <c r="E938" s="25" t="s">
        <v>94</v>
      </c>
      <c r="F938" s="25">
        <v>14</v>
      </c>
      <c r="G938" s="25" t="s">
        <v>89</v>
      </c>
      <c r="H938" s="25">
        <v>30</v>
      </c>
      <c r="I938" s="25">
        <v>26</v>
      </c>
      <c r="J938" s="25">
        <v>420</v>
      </c>
      <c r="K938" s="25">
        <v>364</v>
      </c>
      <c r="L938" s="25">
        <v>56</v>
      </c>
      <c r="M938" s="27">
        <v>15.384615384615399</v>
      </c>
      <c r="N938" s="25" t="s">
        <v>63</v>
      </c>
      <c r="O938" s="25" t="s">
        <v>27</v>
      </c>
      <c r="P938" s="25" t="s">
        <v>32</v>
      </c>
    </row>
    <row r="939" spans="1:16" x14ac:dyDescent="0.3">
      <c r="A939" s="25">
        <v>938</v>
      </c>
      <c r="B939" s="26">
        <v>45500</v>
      </c>
      <c r="C939" s="25" t="s">
        <v>62</v>
      </c>
      <c r="D939" s="25" t="s">
        <v>21</v>
      </c>
      <c r="E939" s="25" t="s">
        <v>88</v>
      </c>
      <c r="F939" s="25">
        <v>3</v>
      </c>
      <c r="G939" s="25" t="s">
        <v>89</v>
      </c>
      <c r="H939" s="25">
        <v>130</v>
      </c>
      <c r="I939" s="25">
        <v>100</v>
      </c>
      <c r="J939" s="25">
        <v>390</v>
      </c>
      <c r="K939" s="25">
        <v>300</v>
      </c>
      <c r="L939" s="25">
        <v>90</v>
      </c>
      <c r="M939" s="27">
        <v>30</v>
      </c>
      <c r="N939" s="25" t="s">
        <v>63</v>
      </c>
      <c r="O939" s="25" t="s">
        <v>27</v>
      </c>
      <c r="P939" s="25" t="s">
        <v>32</v>
      </c>
    </row>
    <row r="940" spans="1:16" x14ac:dyDescent="0.3">
      <c r="A940" s="25">
        <v>939</v>
      </c>
      <c r="B940" s="26">
        <v>45500</v>
      </c>
      <c r="C940" s="25" t="s">
        <v>62</v>
      </c>
      <c r="D940" s="25" t="s">
        <v>21</v>
      </c>
      <c r="E940" s="25" t="s">
        <v>88</v>
      </c>
      <c r="F940" s="25">
        <v>6</v>
      </c>
      <c r="G940" s="25" t="s">
        <v>89</v>
      </c>
      <c r="H940" s="25">
        <v>130</v>
      </c>
      <c r="I940" s="25">
        <v>100</v>
      </c>
      <c r="J940" s="25">
        <v>780</v>
      </c>
      <c r="K940" s="25">
        <v>600</v>
      </c>
      <c r="L940" s="25">
        <v>180</v>
      </c>
      <c r="M940" s="27">
        <v>30</v>
      </c>
      <c r="N940" s="25" t="s">
        <v>63</v>
      </c>
      <c r="O940" s="25" t="s">
        <v>27</v>
      </c>
      <c r="P940" s="25" t="s">
        <v>32</v>
      </c>
    </row>
    <row r="941" spans="1:16" x14ac:dyDescent="0.3">
      <c r="A941" s="25">
        <v>940</v>
      </c>
      <c r="B941" s="26">
        <v>45500</v>
      </c>
      <c r="C941" s="25" t="s">
        <v>62</v>
      </c>
      <c r="D941" s="25" t="s">
        <v>21</v>
      </c>
      <c r="E941" s="25" t="s">
        <v>94</v>
      </c>
      <c r="F941" s="25">
        <v>25</v>
      </c>
      <c r="G941" s="25" t="s">
        <v>89</v>
      </c>
      <c r="H941" s="25">
        <v>30</v>
      </c>
      <c r="I941" s="25">
        <v>26</v>
      </c>
      <c r="J941" s="25">
        <v>750</v>
      </c>
      <c r="K941" s="25">
        <v>650</v>
      </c>
      <c r="L941" s="25">
        <v>100</v>
      </c>
      <c r="M941" s="27">
        <v>15.384615384615399</v>
      </c>
      <c r="N941" s="25" t="s">
        <v>63</v>
      </c>
      <c r="O941" s="25" t="s">
        <v>27</v>
      </c>
      <c r="P941" s="25" t="s">
        <v>32</v>
      </c>
    </row>
    <row r="942" spans="1:16" x14ac:dyDescent="0.3">
      <c r="A942" s="25">
        <v>941</v>
      </c>
      <c r="B942" s="26">
        <v>45500</v>
      </c>
      <c r="C942" s="25" t="s">
        <v>62</v>
      </c>
      <c r="D942" s="25" t="s">
        <v>21</v>
      </c>
      <c r="E942" s="25" t="s">
        <v>95</v>
      </c>
      <c r="F942" s="25">
        <v>6</v>
      </c>
      <c r="G942" s="25" t="s">
        <v>89</v>
      </c>
      <c r="H942" s="25">
        <v>150</v>
      </c>
      <c r="I942" s="25">
        <v>100</v>
      </c>
      <c r="J942" s="25">
        <v>900</v>
      </c>
      <c r="K942" s="25">
        <v>600</v>
      </c>
      <c r="L942" s="25">
        <v>300</v>
      </c>
      <c r="M942" s="27">
        <v>50</v>
      </c>
      <c r="N942" s="25" t="s">
        <v>63</v>
      </c>
      <c r="O942" s="25" t="s">
        <v>28</v>
      </c>
      <c r="P942" s="25" t="s">
        <v>32</v>
      </c>
    </row>
    <row r="943" spans="1:16" x14ac:dyDescent="0.3">
      <c r="A943" s="25">
        <v>942</v>
      </c>
      <c r="B943" s="26">
        <v>45500</v>
      </c>
      <c r="C943" s="25" t="s">
        <v>62</v>
      </c>
      <c r="D943" s="25" t="s">
        <v>21</v>
      </c>
      <c r="E943" s="25" t="s">
        <v>94</v>
      </c>
      <c r="F943" s="25">
        <v>14</v>
      </c>
      <c r="G943" s="25" t="s">
        <v>89</v>
      </c>
      <c r="H943" s="25">
        <v>30</v>
      </c>
      <c r="I943" s="25">
        <v>26</v>
      </c>
      <c r="J943" s="25">
        <v>420</v>
      </c>
      <c r="K943" s="25">
        <v>364</v>
      </c>
      <c r="L943" s="25">
        <v>56</v>
      </c>
      <c r="M943" s="27">
        <v>15.384615384615399</v>
      </c>
      <c r="N943" s="25" t="s">
        <v>63</v>
      </c>
      <c r="O943" s="25" t="s">
        <v>27</v>
      </c>
      <c r="P943" s="25" t="s">
        <v>32</v>
      </c>
    </row>
    <row r="944" spans="1:16" x14ac:dyDescent="0.3">
      <c r="A944" s="25">
        <v>943</v>
      </c>
      <c r="B944" s="26">
        <v>45500</v>
      </c>
      <c r="C944" s="25" t="s">
        <v>62</v>
      </c>
      <c r="D944" s="25" t="s">
        <v>21</v>
      </c>
      <c r="E944" s="25" t="s">
        <v>93</v>
      </c>
      <c r="F944" s="25">
        <v>3</v>
      </c>
      <c r="G944" s="25" t="s">
        <v>89</v>
      </c>
      <c r="H944" s="25">
        <v>250</v>
      </c>
      <c r="I944" s="25">
        <v>180</v>
      </c>
      <c r="J944" s="25">
        <v>750</v>
      </c>
      <c r="K944" s="25">
        <v>540</v>
      </c>
      <c r="L944" s="25">
        <v>210</v>
      </c>
      <c r="M944" s="27">
        <v>38.8888888888889</v>
      </c>
      <c r="N944" s="25" t="s">
        <v>63</v>
      </c>
      <c r="O944" s="25" t="s">
        <v>27</v>
      </c>
      <c r="P944" s="25" t="s">
        <v>32</v>
      </c>
    </row>
    <row r="945" spans="1:16" x14ac:dyDescent="0.3">
      <c r="A945" s="25">
        <v>944</v>
      </c>
      <c r="B945" s="26">
        <v>45500</v>
      </c>
      <c r="C945" s="25" t="s">
        <v>62</v>
      </c>
      <c r="D945" s="25" t="s">
        <v>21</v>
      </c>
      <c r="E945" s="25" t="s">
        <v>88</v>
      </c>
      <c r="F945" s="25">
        <v>6</v>
      </c>
      <c r="G945" s="25" t="s">
        <v>89</v>
      </c>
      <c r="H945" s="25">
        <v>130</v>
      </c>
      <c r="I945" s="25">
        <v>100</v>
      </c>
      <c r="J945" s="25">
        <v>780</v>
      </c>
      <c r="K945" s="25">
        <v>600</v>
      </c>
      <c r="L945" s="25">
        <v>180</v>
      </c>
      <c r="M945" s="27">
        <v>30</v>
      </c>
      <c r="N945" s="25" t="s">
        <v>63</v>
      </c>
      <c r="O945" s="25" t="s">
        <v>27</v>
      </c>
      <c r="P945" s="25" t="s">
        <v>32</v>
      </c>
    </row>
    <row r="946" spans="1:16" x14ac:dyDescent="0.3">
      <c r="A946" s="25">
        <v>945</v>
      </c>
      <c r="B946" s="26">
        <v>45500</v>
      </c>
      <c r="C946" s="25" t="s">
        <v>62</v>
      </c>
      <c r="D946" s="25" t="s">
        <v>21</v>
      </c>
      <c r="E946" s="25" t="s">
        <v>94</v>
      </c>
      <c r="F946" s="25">
        <v>16</v>
      </c>
      <c r="G946" s="25" t="s">
        <v>89</v>
      </c>
      <c r="H946" s="25">
        <v>30</v>
      </c>
      <c r="I946" s="25">
        <v>26</v>
      </c>
      <c r="J946" s="25">
        <v>480</v>
      </c>
      <c r="K946" s="25">
        <v>416</v>
      </c>
      <c r="L946" s="25">
        <v>64</v>
      </c>
      <c r="M946" s="27">
        <v>15.384615384615399</v>
      </c>
      <c r="N946" s="25" t="s">
        <v>63</v>
      </c>
      <c r="O946" s="25" t="s">
        <v>27</v>
      </c>
      <c r="P946" s="25" t="s">
        <v>32</v>
      </c>
    </row>
    <row r="947" spans="1:16" x14ac:dyDescent="0.3">
      <c r="A947" s="25">
        <v>946</v>
      </c>
      <c r="B947" s="26">
        <v>45501</v>
      </c>
      <c r="C947" s="25" t="s">
        <v>62</v>
      </c>
      <c r="D947" s="25" t="s">
        <v>21</v>
      </c>
      <c r="E947" s="25" t="s">
        <v>95</v>
      </c>
      <c r="F947" s="25">
        <v>4</v>
      </c>
      <c r="G947" s="25" t="s">
        <v>89</v>
      </c>
      <c r="H947" s="25">
        <v>150</v>
      </c>
      <c r="I947" s="25">
        <v>100</v>
      </c>
      <c r="J947" s="25">
        <v>600</v>
      </c>
      <c r="K947" s="25">
        <v>400</v>
      </c>
      <c r="L947" s="25">
        <v>200</v>
      </c>
      <c r="M947" s="27">
        <v>50</v>
      </c>
      <c r="N947" s="25" t="s">
        <v>63</v>
      </c>
      <c r="O947" s="25" t="s">
        <v>28</v>
      </c>
      <c r="P947" s="25" t="s">
        <v>32</v>
      </c>
    </row>
    <row r="948" spans="1:16" x14ac:dyDescent="0.3">
      <c r="A948" s="25">
        <v>947</v>
      </c>
      <c r="B948" s="26">
        <v>45501</v>
      </c>
      <c r="C948" s="25" t="s">
        <v>62</v>
      </c>
      <c r="D948" s="25" t="s">
        <v>21</v>
      </c>
      <c r="E948" s="25" t="s">
        <v>88</v>
      </c>
      <c r="F948" s="25">
        <v>5</v>
      </c>
      <c r="G948" s="25" t="s">
        <v>89</v>
      </c>
      <c r="H948" s="25">
        <v>130</v>
      </c>
      <c r="I948" s="25">
        <v>100</v>
      </c>
      <c r="J948" s="25">
        <v>650</v>
      </c>
      <c r="K948" s="25">
        <v>500</v>
      </c>
      <c r="L948" s="25">
        <v>150</v>
      </c>
      <c r="M948" s="27">
        <v>30</v>
      </c>
      <c r="N948" s="25" t="s">
        <v>63</v>
      </c>
      <c r="O948" s="25" t="s">
        <v>27</v>
      </c>
      <c r="P948" s="25" t="s">
        <v>32</v>
      </c>
    </row>
    <row r="949" spans="1:16" x14ac:dyDescent="0.3">
      <c r="A949" s="25">
        <v>948</v>
      </c>
      <c r="B949" s="26">
        <v>45501</v>
      </c>
      <c r="C949" s="25" t="s">
        <v>62</v>
      </c>
      <c r="D949" s="25" t="s">
        <v>21</v>
      </c>
      <c r="E949" s="25" t="s">
        <v>88</v>
      </c>
      <c r="F949" s="25">
        <v>6</v>
      </c>
      <c r="G949" s="25" t="s">
        <v>89</v>
      </c>
      <c r="H949" s="25">
        <v>130</v>
      </c>
      <c r="I949" s="25">
        <v>100</v>
      </c>
      <c r="J949" s="25">
        <v>780</v>
      </c>
      <c r="K949" s="25">
        <v>600</v>
      </c>
      <c r="L949" s="25">
        <v>180</v>
      </c>
      <c r="M949" s="27">
        <v>30</v>
      </c>
      <c r="N949" s="25" t="s">
        <v>63</v>
      </c>
      <c r="O949" s="25" t="s">
        <v>27</v>
      </c>
      <c r="P949" s="25" t="s">
        <v>32</v>
      </c>
    </row>
    <row r="950" spans="1:16" x14ac:dyDescent="0.3">
      <c r="A950" s="25">
        <v>949</v>
      </c>
      <c r="B950" s="26">
        <v>45501</v>
      </c>
      <c r="C950" s="25" t="s">
        <v>62</v>
      </c>
      <c r="D950" s="25" t="s">
        <v>21</v>
      </c>
      <c r="E950" s="25" t="s">
        <v>88</v>
      </c>
      <c r="F950" s="25">
        <v>3</v>
      </c>
      <c r="G950" s="25" t="s">
        <v>89</v>
      </c>
      <c r="H950" s="25">
        <v>130</v>
      </c>
      <c r="I950" s="25">
        <v>100</v>
      </c>
      <c r="J950" s="25">
        <v>390</v>
      </c>
      <c r="K950" s="25">
        <v>300</v>
      </c>
      <c r="L950" s="25">
        <v>90</v>
      </c>
      <c r="M950" s="27">
        <v>30</v>
      </c>
      <c r="N950" s="25" t="s">
        <v>63</v>
      </c>
      <c r="O950" s="25" t="s">
        <v>27</v>
      </c>
      <c r="P950" s="25" t="s">
        <v>32</v>
      </c>
    </row>
    <row r="951" spans="1:16" x14ac:dyDescent="0.3">
      <c r="A951" s="25">
        <v>950</v>
      </c>
      <c r="B951" s="26">
        <v>45501</v>
      </c>
      <c r="C951" s="25" t="s">
        <v>62</v>
      </c>
      <c r="D951" s="25" t="s">
        <v>21</v>
      </c>
      <c r="E951" s="25" t="s">
        <v>88</v>
      </c>
      <c r="F951" s="25">
        <v>7</v>
      </c>
      <c r="G951" s="25" t="s">
        <v>89</v>
      </c>
      <c r="H951" s="25">
        <v>130</v>
      </c>
      <c r="I951" s="25">
        <v>100</v>
      </c>
      <c r="J951" s="25">
        <v>910</v>
      </c>
      <c r="K951" s="25">
        <v>700</v>
      </c>
      <c r="L951" s="25">
        <v>210</v>
      </c>
      <c r="M951" s="27">
        <v>30</v>
      </c>
      <c r="N951" s="25" t="s">
        <v>63</v>
      </c>
      <c r="O951" s="25" t="s">
        <v>27</v>
      </c>
      <c r="P951" s="25" t="s">
        <v>32</v>
      </c>
    </row>
    <row r="952" spans="1:16" x14ac:dyDescent="0.3">
      <c r="A952" s="25">
        <v>951</v>
      </c>
      <c r="B952" s="26">
        <v>45501</v>
      </c>
      <c r="C952" s="25" t="s">
        <v>62</v>
      </c>
      <c r="D952" s="25" t="s">
        <v>21</v>
      </c>
      <c r="E952" s="25" t="s">
        <v>94</v>
      </c>
      <c r="F952" s="25">
        <v>8</v>
      </c>
      <c r="G952" s="25" t="s">
        <v>89</v>
      </c>
      <c r="H952" s="25">
        <v>30</v>
      </c>
      <c r="I952" s="25">
        <v>26</v>
      </c>
      <c r="J952" s="25">
        <v>240</v>
      </c>
      <c r="K952" s="25">
        <v>208</v>
      </c>
      <c r="L952" s="25">
        <v>32</v>
      </c>
      <c r="M952" s="27">
        <v>15.384615384615399</v>
      </c>
      <c r="N952" s="25" t="s">
        <v>63</v>
      </c>
      <c r="O952" s="25" t="s">
        <v>27</v>
      </c>
      <c r="P952" s="25" t="s">
        <v>32</v>
      </c>
    </row>
    <row r="953" spans="1:16" x14ac:dyDescent="0.3">
      <c r="A953" s="25">
        <v>952</v>
      </c>
      <c r="B953" s="26">
        <v>45501</v>
      </c>
      <c r="C953" s="25" t="s">
        <v>62</v>
      </c>
      <c r="D953" s="25" t="s">
        <v>21</v>
      </c>
      <c r="E953" s="25" t="s">
        <v>93</v>
      </c>
      <c r="F953" s="25">
        <v>4</v>
      </c>
      <c r="G953" s="25" t="s">
        <v>89</v>
      </c>
      <c r="H953" s="25">
        <v>250</v>
      </c>
      <c r="I953" s="25">
        <v>180</v>
      </c>
      <c r="J953" s="25">
        <v>1000</v>
      </c>
      <c r="K953" s="25">
        <v>720</v>
      </c>
      <c r="L953" s="25">
        <v>280</v>
      </c>
      <c r="M953" s="27">
        <v>38.8888888888889</v>
      </c>
      <c r="N953" s="25" t="s">
        <v>63</v>
      </c>
      <c r="O953" s="25" t="s">
        <v>27</v>
      </c>
      <c r="P953" s="25" t="s">
        <v>32</v>
      </c>
    </row>
    <row r="954" spans="1:16" x14ac:dyDescent="0.3">
      <c r="A954" s="25">
        <v>953</v>
      </c>
      <c r="B954" s="26">
        <v>45501</v>
      </c>
      <c r="C954" s="25" t="s">
        <v>62</v>
      </c>
      <c r="D954" s="25" t="s">
        <v>21</v>
      </c>
      <c r="E954" s="25" t="s">
        <v>88</v>
      </c>
      <c r="F954" s="25">
        <v>6</v>
      </c>
      <c r="G954" s="25" t="s">
        <v>89</v>
      </c>
      <c r="H954" s="25">
        <v>130</v>
      </c>
      <c r="I954" s="25">
        <v>100</v>
      </c>
      <c r="J954" s="25">
        <v>780</v>
      </c>
      <c r="K954" s="25">
        <v>600</v>
      </c>
      <c r="L954" s="25">
        <v>180</v>
      </c>
      <c r="M954" s="27">
        <v>30</v>
      </c>
      <c r="N954" s="25" t="s">
        <v>63</v>
      </c>
      <c r="O954" s="25" t="s">
        <v>27</v>
      </c>
      <c r="P954" s="25" t="s">
        <v>32</v>
      </c>
    </row>
    <row r="955" spans="1:16" x14ac:dyDescent="0.3">
      <c r="A955" s="25">
        <v>954</v>
      </c>
      <c r="B955" s="26">
        <v>45501</v>
      </c>
      <c r="C955" s="25" t="s">
        <v>62</v>
      </c>
      <c r="D955" s="25" t="s">
        <v>21</v>
      </c>
      <c r="E955" s="25" t="s">
        <v>95</v>
      </c>
      <c r="F955" s="25">
        <v>6</v>
      </c>
      <c r="G955" s="25" t="s">
        <v>89</v>
      </c>
      <c r="H955" s="25">
        <v>150</v>
      </c>
      <c r="I955" s="25">
        <v>100</v>
      </c>
      <c r="J955" s="25">
        <v>900</v>
      </c>
      <c r="K955" s="25">
        <v>600</v>
      </c>
      <c r="L955" s="25">
        <v>300</v>
      </c>
      <c r="M955" s="27">
        <v>50</v>
      </c>
      <c r="N955" s="25" t="s">
        <v>63</v>
      </c>
      <c r="O955" s="25" t="s">
        <v>28</v>
      </c>
      <c r="P955" s="25" t="s">
        <v>32</v>
      </c>
    </row>
    <row r="956" spans="1:16" x14ac:dyDescent="0.3">
      <c r="A956" s="25">
        <v>955</v>
      </c>
      <c r="B956" s="26">
        <v>45501</v>
      </c>
      <c r="C956" s="25" t="s">
        <v>62</v>
      </c>
      <c r="D956" s="25" t="s">
        <v>21</v>
      </c>
      <c r="E956" s="25" t="s">
        <v>88</v>
      </c>
      <c r="F956" s="25">
        <v>4</v>
      </c>
      <c r="G956" s="25" t="s">
        <v>89</v>
      </c>
      <c r="H956" s="25">
        <v>130</v>
      </c>
      <c r="I956" s="25">
        <v>100</v>
      </c>
      <c r="J956" s="25">
        <v>520</v>
      </c>
      <c r="K956" s="25">
        <v>400</v>
      </c>
      <c r="L956" s="25">
        <v>120</v>
      </c>
      <c r="M956" s="27">
        <v>30</v>
      </c>
      <c r="N956" s="25" t="s">
        <v>63</v>
      </c>
      <c r="O956" s="25" t="s">
        <v>27</v>
      </c>
      <c r="P956" s="25" t="s">
        <v>32</v>
      </c>
    </row>
    <row r="957" spans="1:16" x14ac:dyDescent="0.3">
      <c r="A957" s="25">
        <v>956</v>
      </c>
      <c r="B957" s="26">
        <v>45501</v>
      </c>
      <c r="C957" s="25" t="s">
        <v>62</v>
      </c>
      <c r="D957" s="25" t="s">
        <v>21</v>
      </c>
      <c r="E957" s="25" t="s">
        <v>94</v>
      </c>
      <c r="F957" s="25">
        <v>25</v>
      </c>
      <c r="G957" s="25" t="s">
        <v>89</v>
      </c>
      <c r="H957" s="25">
        <v>30</v>
      </c>
      <c r="I957" s="25">
        <v>26</v>
      </c>
      <c r="J957" s="25">
        <v>750</v>
      </c>
      <c r="K957" s="25">
        <v>650</v>
      </c>
      <c r="L957" s="25">
        <v>100</v>
      </c>
      <c r="M957" s="27">
        <v>15.384615384615399</v>
      </c>
      <c r="N957" s="25" t="s">
        <v>63</v>
      </c>
      <c r="O957" s="25" t="s">
        <v>27</v>
      </c>
      <c r="P957" s="25" t="s">
        <v>32</v>
      </c>
    </row>
    <row r="958" spans="1:16" x14ac:dyDescent="0.3">
      <c r="A958" s="25">
        <v>957</v>
      </c>
      <c r="B958" s="26">
        <v>45501</v>
      </c>
      <c r="C958" s="25" t="s">
        <v>62</v>
      </c>
      <c r="D958" s="25" t="s">
        <v>21</v>
      </c>
      <c r="E958" s="25" t="s">
        <v>88</v>
      </c>
      <c r="F958" s="25">
        <v>4</v>
      </c>
      <c r="G958" s="25" t="s">
        <v>89</v>
      </c>
      <c r="H958" s="25">
        <v>130</v>
      </c>
      <c r="I958" s="25">
        <v>100</v>
      </c>
      <c r="J958" s="25">
        <v>520</v>
      </c>
      <c r="K958" s="25">
        <v>400</v>
      </c>
      <c r="L958" s="25">
        <v>120</v>
      </c>
      <c r="M958" s="27">
        <v>30</v>
      </c>
      <c r="N958" s="25" t="s">
        <v>63</v>
      </c>
      <c r="O958" s="25" t="s">
        <v>27</v>
      </c>
      <c r="P958" s="25" t="s">
        <v>32</v>
      </c>
    </row>
    <row r="959" spans="1:16" x14ac:dyDescent="0.3">
      <c r="A959" s="25">
        <v>958</v>
      </c>
      <c r="B959" s="26">
        <v>45501</v>
      </c>
      <c r="C959" s="25" t="s">
        <v>62</v>
      </c>
      <c r="D959" s="25" t="s">
        <v>21</v>
      </c>
      <c r="E959" s="25" t="s">
        <v>98</v>
      </c>
      <c r="F959" s="25">
        <v>7</v>
      </c>
      <c r="G959" s="25" t="s">
        <v>89</v>
      </c>
      <c r="H959" s="25">
        <v>95</v>
      </c>
      <c r="I959" s="25">
        <v>55</v>
      </c>
      <c r="J959" s="25">
        <v>665</v>
      </c>
      <c r="K959" s="25">
        <v>385</v>
      </c>
      <c r="L959" s="25">
        <v>280</v>
      </c>
      <c r="M959" s="27">
        <v>72.727272727272705</v>
      </c>
      <c r="N959" s="25" t="s">
        <v>63</v>
      </c>
      <c r="O959" s="25" t="s">
        <v>27</v>
      </c>
      <c r="P959" s="25" t="s">
        <v>32</v>
      </c>
    </row>
    <row r="960" spans="1:16" x14ac:dyDescent="0.3">
      <c r="A960" s="25">
        <v>959</v>
      </c>
      <c r="B960" s="26">
        <v>45501</v>
      </c>
      <c r="C960" s="25" t="s">
        <v>62</v>
      </c>
      <c r="D960" s="25" t="s">
        <v>21</v>
      </c>
      <c r="E960" s="25" t="s">
        <v>94</v>
      </c>
      <c r="F960" s="25">
        <v>4</v>
      </c>
      <c r="G960" s="25" t="s">
        <v>89</v>
      </c>
      <c r="H960" s="25">
        <v>30</v>
      </c>
      <c r="I960" s="25">
        <v>26</v>
      </c>
      <c r="J960" s="25">
        <v>120</v>
      </c>
      <c r="K960" s="25">
        <v>104</v>
      </c>
      <c r="L960" s="25">
        <v>16</v>
      </c>
      <c r="M960" s="27">
        <v>15.384615384615399</v>
      </c>
      <c r="N960" s="25" t="s">
        <v>63</v>
      </c>
      <c r="O960" s="25" t="s">
        <v>27</v>
      </c>
      <c r="P960" s="25" t="s">
        <v>32</v>
      </c>
    </row>
    <row r="961" spans="1:16" x14ac:dyDescent="0.3">
      <c r="A961" s="25">
        <v>960</v>
      </c>
      <c r="B961" s="26">
        <v>45501</v>
      </c>
      <c r="C961" s="25" t="s">
        <v>62</v>
      </c>
      <c r="D961" s="25" t="s">
        <v>21</v>
      </c>
      <c r="E961" s="25" t="s">
        <v>88</v>
      </c>
      <c r="F961" s="25">
        <v>3</v>
      </c>
      <c r="G961" s="25" t="s">
        <v>89</v>
      </c>
      <c r="H961" s="25">
        <v>130</v>
      </c>
      <c r="I961" s="25">
        <v>100</v>
      </c>
      <c r="J961" s="25">
        <v>390</v>
      </c>
      <c r="K961" s="25">
        <v>300</v>
      </c>
      <c r="L961" s="25">
        <v>90</v>
      </c>
      <c r="M961" s="27">
        <v>30</v>
      </c>
      <c r="N961" s="25" t="s">
        <v>63</v>
      </c>
      <c r="O961" s="25" t="s">
        <v>27</v>
      </c>
      <c r="P961" s="25" t="s">
        <v>32</v>
      </c>
    </row>
    <row r="962" spans="1:16" x14ac:dyDescent="0.3">
      <c r="A962" s="25">
        <v>961</v>
      </c>
      <c r="B962" s="26">
        <v>45501</v>
      </c>
      <c r="C962" s="25" t="s">
        <v>62</v>
      </c>
      <c r="D962" s="25" t="s">
        <v>21</v>
      </c>
      <c r="E962" s="25" t="s">
        <v>93</v>
      </c>
      <c r="F962" s="25">
        <v>4</v>
      </c>
      <c r="G962" s="25" t="s">
        <v>89</v>
      </c>
      <c r="H962" s="25">
        <v>250</v>
      </c>
      <c r="I962" s="25">
        <v>180</v>
      </c>
      <c r="J962" s="25">
        <v>1000</v>
      </c>
      <c r="K962" s="25">
        <v>720</v>
      </c>
      <c r="L962" s="25">
        <v>280</v>
      </c>
      <c r="M962" s="27">
        <v>38.8888888888889</v>
      </c>
      <c r="N962" s="25" t="s">
        <v>63</v>
      </c>
      <c r="O962" s="25" t="s">
        <v>27</v>
      </c>
      <c r="P962" s="25" t="s">
        <v>32</v>
      </c>
    </row>
    <row r="963" spans="1:16" x14ac:dyDescent="0.3">
      <c r="A963" s="25">
        <v>962</v>
      </c>
      <c r="B963" s="26">
        <v>45501</v>
      </c>
      <c r="C963" s="25" t="s">
        <v>62</v>
      </c>
      <c r="D963" s="25" t="s">
        <v>21</v>
      </c>
      <c r="E963" s="25" t="s">
        <v>88</v>
      </c>
      <c r="F963" s="25">
        <v>7</v>
      </c>
      <c r="G963" s="25" t="s">
        <v>89</v>
      </c>
      <c r="H963" s="25">
        <v>130</v>
      </c>
      <c r="I963" s="25">
        <v>100</v>
      </c>
      <c r="J963" s="25">
        <v>910</v>
      </c>
      <c r="K963" s="25">
        <v>700</v>
      </c>
      <c r="L963" s="25">
        <v>210</v>
      </c>
      <c r="M963" s="27">
        <v>30</v>
      </c>
      <c r="N963" s="25" t="s">
        <v>63</v>
      </c>
      <c r="O963" s="25" t="s">
        <v>27</v>
      </c>
      <c r="P963" s="25" t="s">
        <v>32</v>
      </c>
    </row>
    <row r="964" spans="1:16" x14ac:dyDescent="0.3">
      <c r="A964" s="25">
        <v>963</v>
      </c>
      <c r="B964" s="26">
        <v>45501</v>
      </c>
      <c r="C964" s="25" t="s">
        <v>62</v>
      </c>
      <c r="D964" s="25" t="s">
        <v>21</v>
      </c>
      <c r="E964" s="25" t="s">
        <v>98</v>
      </c>
      <c r="F964" s="25">
        <v>4</v>
      </c>
      <c r="G964" s="25" t="s">
        <v>89</v>
      </c>
      <c r="H964" s="25">
        <v>95</v>
      </c>
      <c r="I964" s="25">
        <v>55</v>
      </c>
      <c r="J964" s="25">
        <v>380</v>
      </c>
      <c r="K964" s="25">
        <v>220</v>
      </c>
      <c r="L964" s="25">
        <v>160</v>
      </c>
      <c r="M964" s="27">
        <v>72.727272727272705</v>
      </c>
      <c r="N964" s="25" t="s">
        <v>63</v>
      </c>
      <c r="O964" s="25" t="s">
        <v>27</v>
      </c>
      <c r="P964" s="25" t="s">
        <v>32</v>
      </c>
    </row>
    <row r="965" spans="1:16" x14ac:dyDescent="0.3">
      <c r="A965" s="25">
        <v>964</v>
      </c>
      <c r="B965" s="26">
        <v>45502</v>
      </c>
      <c r="C965" s="25" t="s">
        <v>62</v>
      </c>
      <c r="D965" s="25" t="s">
        <v>21</v>
      </c>
      <c r="E965" s="25" t="s">
        <v>94</v>
      </c>
      <c r="F965" s="25">
        <v>8</v>
      </c>
      <c r="G965" s="25" t="s">
        <v>89</v>
      </c>
      <c r="H965" s="25">
        <v>30</v>
      </c>
      <c r="I965" s="25">
        <v>26</v>
      </c>
      <c r="J965" s="25">
        <v>240</v>
      </c>
      <c r="K965" s="25">
        <v>208</v>
      </c>
      <c r="L965" s="25">
        <v>32</v>
      </c>
      <c r="M965" s="27">
        <v>15.384615384615399</v>
      </c>
      <c r="N965" s="25" t="s">
        <v>63</v>
      </c>
      <c r="O965" s="25" t="s">
        <v>27</v>
      </c>
      <c r="P965" s="25" t="s">
        <v>32</v>
      </c>
    </row>
    <row r="966" spans="1:16" x14ac:dyDescent="0.3">
      <c r="A966" s="25">
        <v>965</v>
      </c>
      <c r="B966" s="26">
        <v>45502</v>
      </c>
      <c r="C966" s="25" t="s">
        <v>62</v>
      </c>
      <c r="D966" s="25" t="s">
        <v>21</v>
      </c>
      <c r="E966" s="25" t="s">
        <v>95</v>
      </c>
      <c r="F966" s="25">
        <v>4</v>
      </c>
      <c r="G966" s="25" t="s">
        <v>89</v>
      </c>
      <c r="H966" s="25">
        <v>150</v>
      </c>
      <c r="I966" s="25">
        <v>100</v>
      </c>
      <c r="J966" s="25">
        <v>600</v>
      </c>
      <c r="K966" s="25">
        <v>400</v>
      </c>
      <c r="L966" s="25">
        <v>200</v>
      </c>
      <c r="M966" s="27">
        <v>50</v>
      </c>
      <c r="N966" s="25" t="s">
        <v>63</v>
      </c>
      <c r="O966" s="25" t="s">
        <v>28</v>
      </c>
      <c r="P966" s="25" t="s">
        <v>32</v>
      </c>
    </row>
    <row r="967" spans="1:16" x14ac:dyDescent="0.3">
      <c r="A967" s="25">
        <v>966</v>
      </c>
      <c r="B967" s="26">
        <v>45502</v>
      </c>
      <c r="C967" s="25" t="s">
        <v>62</v>
      </c>
      <c r="D967" s="25" t="s">
        <v>21</v>
      </c>
      <c r="E967" s="25" t="s">
        <v>93</v>
      </c>
      <c r="F967" s="25">
        <v>3</v>
      </c>
      <c r="G967" s="25" t="s">
        <v>89</v>
      </c>
      <c r="H967" s="25">
        <v>250</v>
      </c>
      <c r="I967" s="25">
        <v>180</v>
      </c>
      <c r="J967" s="25">
        <v>750</v>
      </c>
      <c r="K967" s="25">
        <v>540</v>
      </c>
      <c r="L967" s="25">
        <v>210</v>
      </c>
      <c r="M967" s="27">
        <v>38.8888888888889</v>
      </c>
      <c r="N967" s="25" t="s">
        <v>63</v>
      </c>
      <c r="O967" s="25" t="s">
        <v>27</v>
      </c>
      <c r="P967" s="25" t="s">
        <v>32</v>
      </c>
    </row>
    <row r="968" spans="1:16" x14ac:dyDescent="0.3">
      <c r="A968" s="25">
        <v>967</v>
      </c>
      <c r="B968" s="26">
        <v>45502</v>
      </c>
      <c r="C968" s="25" t="s">
        <v>62</v>
      </c>
      <c r="D968" s="25" t="s">
        <v>21</v>
      </c>
      <c r="E968" s="25" t="s">
        <v>88</v>
      </c>
      <c r="F968" s="25">
        <v>6</v>
      </c>
      <c r="G968" s="25" t="s">
        <v>89</v>
      </c>
      <c r="H968" s="25">
        <v>130</v>
      </c>
      <c r="I968" s="25">
        <v>100</v>
      </c>
      <c r="J968" s="25">
        <v>780</v>
      </c>
      <c r="K968" s="25">
        <v>600</v>
      </c>
      <c r="L968" s="25">
        <v>180</v>
      </c>
      <c r="M968" s="27">
        <v>30</v>
      </c>
      <c r="N968" s="25" t="s">
        <v>63</v>
      </c>
      <c r="O968" s="25" t="s">
        <v>27</v>
      </c>
      <c r="P968" s="25" t="s">
        <v>32</v>
      </c>
    </row>
    <row r="969" spans="1:16" x14ac:dyDescent="0.3">
      <c r="A969" s="25">
        <v>968</v>
      </c>
      <c r="B969" s="26">
        <v>45502</v>
      </c>
      <c r="C969" s="25" t="s">
        <v>62</v>
      </c>
      <c r="D969" s="25" t="s">
        <v>21</v>
      </c>
      <c r="E969" s="25" t="s">
        <v>88</v>
      </c>
      <c r="F969" s="25">
        <v>7</v>
      </c>
      <c r="G969" s="25" t="s">
        <v>89</v>
      </c>
      <c r="H969" s="25">
        <v>130</v>
      </c>
      <c r="I969" s="25">
        <v>100</v>
      </c>
      <c r="J969" s="25">
        <v>910</v>
      </c>
      <c r="K969" s="25">
        <v>700</v>
      </c>
      <c r="L969" s="25">
        <v>210</v>
      </c>
      <c r="M969" s="27">
        <v>30</v>
      </c>
      <c r="N969" s="25" t="s">
        <v>63</v>
      </c>
      <c r="O969" s="25" t="s">
        <v>27</v>
      </c>
      <c r="P969" s="25" t="s">
        <v>32</v>
      </c>
    </row>
    <row r="970" spans="1:16" x14ac:dyDescent="0.3">
      <c r="A970" s="25">
        <v>969</v>
      </c>
      <c r="B970" s="26">
        <v>45502</v>
      </c>
      <c r="C970" s="25" t="s">
        <v>62</v>
      </c>
      <c r="D970" s="25" t="s">
        <v>21</v>
      </c>
      <c r="E970" s="25" t="s">
        <v>94</v>
      </c>
      <c r="F970" s="25">
        <v>8</v>
      </c>
      <c r="G970" s="25" t="s">
        <v>89</v>
      </c>
      <c r="H970" s="25">
        <v>30</v>
      </c>
      <c r="I970" s="25">
        <v>26</v>
      </c>
      <c r="J970" s="25">
        <v>240</v>
      </c>
      <c r="K970" s="25">
        <v>208</v>
      </c>
      <c r="L970" s="25">
        <v>32</v>
      </c>
      <c r="M970" s="27">
        <v>15.384615384615399</v>
      </c>
      <c r="N970" s="25" t="s">
        <v>63</v>
      </c>
      <c r="O970" s="25" t="s">
        <v>27</v>
      </c>
      <c r="P970" s="25" t="s">
        <v>32</v>
      </c>
    </row>
    <row r="971" spans="1:16" x14ac:dyDescent="0.3">
      <c r="A971" s="25">
        <v>970</v>
      </c>
      <c r="B971" s="26">
        <v>45502</v>
      </c>
      <c r="C971" s="25" t="s">
        <v>62</v>
      </c>
      <c r="D971" s="25" t="s">
        <v>21</v>
      </c>
      <c r="E971" s="25" t="s">
        <v>88</v>
      </c>
      <c r="F971" s="25">
        <v>10</v>
      </c>
      <c r="G971" s="25" t="s">
        <v>89</v>
      </c>
      <c r="H971" s="25">
        <v>130</v>
      </c>
      <c r="I971" s="25">
        <v>100</v>
      </c>
      <c r="J971" s="25">
        <v>1300</v>
      </c>
      <c r="K971" s="25">
        <v>1000</v>
      </c>
      <c r="L971" s="25">
        <v>300</v>
      </c>
      <c r="M971" s="27">
        <v>30</v>
      </c>
      <c r="N971" s="25" t="s">
        <v>63</v>
      </c>
      <c r="O971" s="25" t="s">
        <v>27</v>
      </c>
      <c r="P971" s="25" t="s">
        <v>32</v>
      </c>
    </row>
    <row r="972" spans="1:16" x14ac:dyDescent="0.3">
      <c r="A972" s="25">
        <v>971</v>
      </c>
      <c r="B972" s="26">
        <v>45503</v>
      </c>
      <c r="C972" s="25" t="s">
        <v>62</v>
      </c>
      <c r="D972" s="25" t="s">
        <v>21</v>
      </c>
      <c r="E972" s="25" t="s">
        <v>95</v>
      </c>
      <c r="F972" s="25">
        <v>5</v>
      </c>
      <c r="G972" s="25" t="s">
        <v>89</v>
      </c>
      <c r="H972" s="25">
        <v>150</v>
      </c>
      <c r="I972" s="25">
        <v>100</v>
      </c>
      <c r="J972" s="25">
        <v>750</v>
      </c>
      <c r="K972" s="25">
        <v>500</v>
      </c>
      <c r="L972" s="25">
        <v>250</v>
      </c>
      <c r="M972" s="27">
        <v>50</v>
      </c>
      <c r="N972" s="25" t="s">
        <v>63</v>
      </c>
      <c r="O972" s="25" t="s">
        <v>28</v>
      </c>
      <c r="P972" s="25" t="s">
        <v>32</v>
      </c>
    </row>
    <row r="973" spans="1:16" x14ac:dyDescent="0.3">
      <c r="A973" s="25">
        <v>972</v>
      </c>
      <c r="B973" s="26">
        <v>45503</v>
      </c>
      <c r="C973" s="25" t="s">
        <v>62</v>
      </c>
      <c r="D973" s="25" t="s">
        <v>21</v>
      </c>
      <c r="E973" s="25" t="s">
        <v>93</v>
      </c>
      <c r="F973" s="25">
        <v>2</v>
      </c>
      <c r="G973" s="25" t="s">
        <v>89</v>
      </c>
      <c r="H973" s="25">
        <v>250</v>
      </c>
      <c r="I973" s="25">
        <v>180</v>
      </c>
      <c r="J973" s="25">
        <v>500</v>
      </c>
      <c r="K973" s="25">
        <v>360</v>
      </c>
      <c r="L973" s="25">
        <v>140</v>
      </c>
      <c r="M973" s="27">
        <v>38.8888888888889</v>
      </c>
      <c r="N973" s="25" t="s">
        <v>63</v>
      </c>
      <c r="O973" s="25" t="s">
        <v>27</v>
      </c>
      <c r="P973" s="25" t="s">
        <v>32</v>
      </c>
    </row>
    <row r="974" spans="1:16" x14ac:dyDescent="0.3">
      <c r="A974" s="25">
        <v>973</v>
      </c>
      <c r="B974" s="26">
        <v>45503</v>
      </c>
      <c r="C974" s="25" t="s">
        <v>62</v>
      </c>
      <c r="D974" s="25" t="s">
        <v>21</v>
      </c>
      <c r="E974" s="25" t="s">
        <v>94</v>
      </c>
      <c r="F974" s="25">
        <v>15</v>
      </c>
      <c r="G974" s="25" t="s">
        <v>89</v>
      </c>
      <c r="H974" s="25">
        <v>30</v>
      </c>
      <c r="I974" s="25">
        <v>26</v>
      </c>
      <c r="J974" s="25">
        <v>450</v>
      </c>
      <c r="K974" s="25">
        <v>390</v>
      </c>
      <c r="L974" s="25">
        <v>60</v>
      </c>
      <c r="M974" s="27">
        <v>15.384615384615399</v>
      </c>
      <c r="N974" s="25" t="s">
        <v>63</v>
      </c>
      <c r="O974" s="25" t="s">
        <v>27</v>
      </c>
      <c r="P974" s="25" t="s">
        <v>32</v>
      </c>
    </row>
    <row r="975" spans="1:16" x14ac:dyDescent="0.3">
      <c r="A975" s="25">
        <v>974</v>
      </c>
      <c r="B975" s="26">
        <v>45503</v>
      </c>
      <c r="C975" s="25" t="s">
        <v>62</v>
      </c>
      <c r="D975" s="25" t="s">
        <v>21</v>
      </c>
      <c r="E975" s="25" t="s">
        <v>95</v>
      </c>
      <c r="F975" s="25">
        <v>4</v>
      </c>
      <c r="G975" s="25" t="s">
        <v>89</v>
      </c>
      <c r="H975" s="25">
        <v>150</v>
      </c>
      <c r="I975" s="25">
        <v>100</v>
      </c>
      <c r="J975" s="25">
        <v>600</v>
      </c>
      <c r="K975" s="25">
        <v>400</v>
      </c>
      <c r="L975" s="25">
        <v>200</v>
      </c>
      <c r="M975" s="27">
        <v>50</v>
      </c>
      <c r="N975" s="25" t="s">
        <v>63</v>
      </c>
      <c r="O975" s="25" t="s">
        <v>28</v>
      </c>
      <c r="P975" s="25" t="s">
        <v>32</v>
      </c>
    </row>
    <row r="976" spans="1:16" x14ac:dyDescent="0.3">
      <c r="A976" s="25">
        <v>975</v>
      </c>
      <c r="B976" s="26">
        <v>45503</v>
      </c>
      <c r="C976" s="25" t="s">
        <v>62</v>
      </c>
      <c r="D976" s="25" t="s">
        <v>21</v>
      </c>
      <c r="E976" s="25" t="s">
        <v>88</v>
      </c>
      <c r="F976" s="25">
        <v>2</v>
      </c>
      <c r="G976" s="25" t="s">
        <v>89</v>
      </c>
      <c r="H976" s="25">
        <v>130</v>
      </c>
      <c r="I976" s="25">
        <v>100</v>
      </c>
      <c r="J976" s="25">
        <v>260</v>
      </c>
      <c r="K976" s="25">
        <v>200</v>
      </c>
      <c r="L976" s="25">
        <v>60</v>
      </c>
      <c r="M976" s="27">
        <v>30</v>
      </c>
      <c r="N976" s="25" t="s">
        <v>63</v>
      </c>
      <c r="O976" s="25" t="s">
        <v>27</v>
      </c>
      <c r="P976" s="25" t="s">
        <v>32</v>
      </c>
    </row>
    <row r="977" spans="1:16" x14ac:dyDescent="0.3">
      <c r="A977" s="25">
        <v>976</v>
      </c>
      <c r="B977" s="26">
        <v>45503</v>
      </c>
      <c r="C977" s="25" t="s">
        <v>62</v>
      </c>
      <c r="D977" s="25" t="s">
        <v>21</v>
      </c>
      <c r="E977" s="25" t="s">
        <v>88</v>
      </c>
      <c r="F977" s="25">
        <v>2</v>
      </c>
      <c r="G977" s="25" t="s">
        <v>89</v>
      </c>
      <c r="H977" s="25">
        <v>130</v>
      </c>
      <c r="I977" s="25">
        <v>100</v>
      </c>
      <c r="J977" s="25">
        <v>260</v>
      </c>
      <c r="K977" s="25">
        <v>200</v>
      </c>
      <c r="L977" s="25">
        <v>60</v>
      </c>
      <c r="M977" s="27">
        <v>30</v>
      </c>
      <c r="N977" s="25" t="s">
        <v>63</v>
      </c>
      <c r="O977" s="25" t="s">
        <v>27</v>
      </c>
      <c r="P977" s="25" t="s">
        <v>32</v>
      </c>
    </row>
    <row r="978" spans="1:16" x14ac:dyDescent="0.3">
      <c r="A978" s="25">
        <v>977</v>
      </c>
      <c r="B978" s="26">
        <v>45503</v>
      </c>
      <c r="C978" s="25" t="s">
        <v>62</v>
      </c>
      <c r="D978" s="25" t="s">
        <v>21</v>
      </c>
      <c r="E978" s="25" t="s">
        <v>98</v>
      </c>
      <c r="F978" s="25">
        <v>2</v>
      </c>
      <c r="G978" s="25" t="s">
        <v>89</v>
      </c>
      <c r="H978" s="25">
        <v>95</v>
      </c>
      <c r="I978" s="25">
        <v>55</v>
      </c>
      <c r="J978" s="25">
        <v>190</v>
      </c>
      <c r="K978" s="25">
        <v>110</v>
      </c>
      <c r="L978" s="25">
        <v>80</v>
      </c>
      <c r="M978" s="27">
        <v>72.727272727272705</v>
      </c>
      <c r="N978" s="25" t="s">
        <v>63</v>
      </c>
      <c r="O978" s="25" t="s">
        <v>27</v>
      </c>
      <c r="P978" s="25" t="s">
        <v>32</v>
      </c>
    </row>
    <row r="979" spans="1:16" x14ac:dyDescent="0.3">
      <c r="A979" s="25">
        <v>978</v>
      </c>
      <c r="B979" s="26">
        <v>45503</v>
      </c>
      <c r="C979" s="25" t="s">
        <v>62</v>
      </c>
      <c r="D979" s="25" t="s">
        <v>21</v>
      </c>
      <c r="E979" s="25" t="s">
        <v>94</v>
      </c>
      <c r="F979" s="25">
        <v>16</v>
      </c>
      <c r="G979" s="25" t="s">
        <v>89</v>
      </c>
      <c r="H979" s="25">
        <v>30</v>
      </c>
      <c r="I979" s="25">
        <v>26</v>
      </c>
      <c r="J979" s="25">
        <v>480</v>
      </c>
      <c r="K979" s="25">
        <v>416</v>
      </c>
      <c r="L979" s="25">
        <v>64</v>
      </c>
      <c r="M979" s="27">
        <v>15.384615384615399</v>
      </c>
      <c r="N979" s="25" t="s">
        <v>63</v>
      </c>
      <c r="O979" s="25" t="s">
        <v>27</v>
      </c>
      <c r="P979" s="25" t="s">
        <v>32</v>
      </c>
    </row>
    <row r="980" spans="1:16" x14ac:dyDescent="0.3">
      <c r="A980" s="25">
        <v>979</v>
      </c>
      <c r="B980" s="26">
        <v>45505</v>
      </c>
      <c r="C980" s="25" t="s">
        <v>64</v>
      </c>
      <c r="D980" s="25" t="s">
        <v>21</v>
      </c>
      <c r="E980" s="25" t="s">
        <v>88</v>
      </c>
      <c r="F980" s="25">
        <v>4</v>
      </c>
      <c r="G980" s="25" t="s">
        <v>89</v>
      </c>
      <c r="H980" s="25">
        <v>130</v>
      </c>
      <c r="I980" s="25">
        <v>100</v>
      </c>
      <c r="J980" s="25">
        <v>520</v>
      </c>
      <c r="K980" s="25">
        <v>400</v>
      </c>
      <c r="L980" s="25">
        <v>120</v>
      </c>
      <c r="M980" s="27">
        <v>30</v>
      </c>
      <c r="N980" s="25" t="s">
        <v>63</v>
      </c>
      <c r="O980" s="25" t="s">
        <v>27</v>
      </c>
      <c r="P980" s="25" t="s">
        <v>32</v>
      </c>
    </row>
    <row r="981" spans="1:16" x14ac:dyDescent="0.3">
      <c r="A981" s="25">
        <v>980</v>
      </c>
      <c r="B981" s="26">
        <v>45505</v>
      </c>
      <c r="C981" s="25" t="s">
        <v>64</v>
      </c>
      <c r="D981" s="25" t="s">
        <v>21</v>
      </c>
      <c r="E981" s="25" t="s">
        <v>88</v>
      </c>
      <c r="F981" s="25">
        <v>7</v>
      </c>
      <c r="G981" s="25" t="s">
        <v>89</v>
      </c>
      <c r="H981" s="25">
        <v>130</v>
      </c>
      <c r="I981" s="25">
        <v>100</v>
      </c>
      <c r="J981" s="25">
        <v>910</v>
      </c>
      <c r="K981" s="25">
        <v>700</v>
      </c>
      <c r="L981" s="25">
        <v>210</v>
      </c>
      <c r="M981" s="27">
        <v>30</v>
      </c>
      <c r="N981" s="25" t="s">
        <v>63</v>
      </c>
      <c r="O981" s="25" t="s">
        <v>27</v>
      </c>
      <c r="P981" s="25" t="s">
        <v>32</v>
      </c>
    </row>
    <row r="982" spans="1:16" x14ac:dyDescent="0.3">
      <c r="A982" s="25">
        <v>981</v>
      </c>
      <c r="B982" s="26">
        <v>45505</v>
      </c>
      <c r="C982" s="25" t="s">
        <v>64</v>
      </c>
      <c r="D982" s="25" t="s">
        <v>21</v>
      </c>
      <c r="E982" s="25" t="s">
        <v>94</v>
      </c>
      <c r="F982" s="25">
        <v>12</v>
      </c>
      <c r="G982" s="25" t="s">
        <v>89</v>
      </c>
      <c r="H982" s="25">
        <v>30</v>
      </c>
      <c r="I982" s="25">
        <v>26</v>
      </c>
      <c r="J982" s="25">
        <v>360</v>
      </c>
      <c r="K982" s="25">
        <v>312</v>
      </c>
      <c r="L982" s="25">
        <v>48</v>
      </c>
      <c r="M982" s="27">
        <v>15.384615384615399</v>
      </c>
      <c r="N982" s="25" t="s">
        <v>63</v>
      </c>
      <c r="O982" s="25" t="s">
        <v>27</v>
      </c>
      <c r="P982" s="25" t="s">
        <v>32</v>
      </c>
    </row>
    <row r="983" spans="1:16" x14ac:dyDescent="0.3">
      <c r="A983" s="25">
        <v>982</v>
      </c>
      <c r="B983" s="26">
        <v>45505</v>
      </c>
      <c r="C983" s="25" t="s">
        <v>64</v>
      </c>
      <c r="D983" s="25" t="s">
        <v>21</v>
      </c>
      <c r="E983" s="25" t="s">
        <v>88</v>
      </c>
      <c r="F983" s="25">
        <v>5</v>
      </c>
      <c r="G983" s="25" t="s">
        <v>89</v>
      </c>
      <c r="H983" s="25">
        <v>130</v>
      </c>
      <c r="I983" s="25">
        <v>100</v>
      </c>
      <c r="J983" s="25">
        <v>650</v>
      </c>
      <c r="K983" s="25">
        <v>500</v>
      </c>
      <c r="L983" s="25">
        <v>150</v>
      </c>
      <c r="M983" s="27">
        <v>30</v>
      </c>
      <c r="N983" s="25" t="s">
        <v>63</v>
      </c>
      <c r="O983" s="25" t="s">
        <v>27</v>
      </c>
      <c r="P983" s="25" t="s">
        <v>32</v>
      </c>
    </row>
    <row r="984" spans="1:16" x14ac:dyDescent="0.3">
      <c r="A984" s="25">
        <v>983</v>
      </c>
      <c r="B984" s="26">
        <v>45505</v>
      </c>
      <c r="C984" s="25" t="s">
        <v>64</v>
      </c>
      <c r="D984" s="25" t="s">
        <v>21</v>
      </c>
      <c r="E984" s="25" t="s">
        <v>93</v>
      </c>
      <c r="F984" s="25">
        <v>2</v>
      </c>
      <c r="G984" s="25" t="s">
        <v>89</v>
      </c>
      <c r="H984" s="25">
        <v>250</v>
      </c>
      <c r="I984" s="25">
        <v>180</v>
      </c>
      <c r="J984" s="25">
        <v>500</v>
      </c>
      <c r="K984" s="25">
        <v>360</v>
      </c>
      <c r="L984" s="25">
        <v>140</v>
      </c>
      <c r="M984" s="27">
        <v>38.8888888888889</v>
      </c>
      <c r="N984" s="25" t="s">
        <v>63</v>
      </c>
      <c r="O984" s="25" t="s">
        <v>27</v>
      </c>
      <c r="P984" s="25" t="s">
        <v>32</v>
      </c>
    </row>
    <row r="985" spans="1:16" x14ac:dyDescent="0.3">
      <c r="A985" s="25">
        <v>984</v>
      </c>
      <c r="B985" s="26">
        <v>45505</v>
      </c>
      <c r="C985" s="25" t="s">
        <v>64</v>
      </c>
      <c r="D985" s="25" t="s">
        <v>21</v>
      </c>
      <c r="E985" s="25" t="s">
        <v>88</v>
      </c>
      <c r="F985" s="25">
        <v>6</v>
      </c>
      <c r="G985" s="25" t="s">
        <v>89</v>
      </c>
      <c r="H985" s="25">
        <v>130</v>
      </c>
      <c r="I985" s="25">
        <v>100</v>
      </c>
      <c r="J985" s="25">
        <v>780</v>
      </c>
      <c r="K985" s="25">
        <v>600</v>
      </c>
      <c r="L985" s="25">
        <v>180</v>
      </c>
      <c r="M985" s="27">
        <v>30</v>
      </c>
      <c r="N985" s="25" t="s">
        <v>63</v>
      </c>
      <c r="O985" s="25" t="s">
        <v>27</v>
      </c>
      <c r="P985" s="25" t="s">
        <v>32</v>
      </c>
    </row>
    <row r="986" spans="1:16" x14ac:dyDescent="0.3">
      <c r="A986" s="25">
        <v>985</v>
      </c>
      <c r="B986" s="26">
        <v>45505</v>
      </c>
      <c r="C986" s="25" t="s">
        <v>64</v>
      </c>
      <c r="D986" s="25" t="s">
        <v>21</v>
      </c>
      <c r="E986" s="25" t="s">
        <v>95</v>
      </c>
      <c r="F986" s="25">
        <v>3</v>
      </c>
      <c r="G986" s="25" t="s">
        <v>89</v>
      </c>
      <c r="H986" s="25">
        <v>150</v>
      </c>
      <c r="I986" s="25">
        <v>100</v>
      </c>
      <c r="J986" s="25">
        <v>450</v>
      </c>
      <c r="K986" s="25">
        <v>300</v>
      </c>
      <c r="L986" s="25">
        <v>150</v>
      </c>
      <c r="M986" s="27">
        <v>50</v>
      </c>
      <c r="N986" s="25" t="s">
        <v>63</v>
      </c>
      <c r="O986" s="25" t="s">
        <v>28</v>
      </c>
      <c r="P986" s="25" t="s">
        <v>32</v>
      </c>
    </row>
    <row r="987" spans="1:16" x14ac:dyDescent="0.3">
      <c r="A987" s="25">
        <v>986</v>
      </c>
      <c r="B987" s="26">
        <v>45505</v>
      </c>
      <c r="C987" s="25" t="s">
        <v>64</v>
      </c>
      <c r="D987" s="25" t="s">
        <v>21</v>
      </c>
      <c r="E987" s="25" t="s">
        <v>88</v>
      </c>
      <c r="F987" s="25">
        <v>5</v>
      </c>
      <c r="G987" s="25" t="s">
        <v>89</v>
      </c>
      <c r="H987" s="25">
        <v>130</v>
      </c>
      <c r="I987" s="25">
        <v>100</v>
      </c>
      <c r="J987" s="25">
        <v>650</v>
      </c>
      <c r="K987" s="25">
        <v>500</v>
      </c>
      <c r="L987" s="25">
        <v>150</v>
      </c>
      <c r="M987" s="27">
        <v>30</v>
      </c>
      <c r="N987" s="25" t="s">
        <v>63</v>
      </c>
      <c r="O987" s="25" t="s">
        <v>27</v>
      </c>
      <c r="P987" s="25" t="s">
        <v>32</v>
      </c>
    </row>
    <row r="988" spans="1:16" x14ac:dyDescent="0.3">
      <c r="A988" s="25">
        <v>987</v>
      </c>
      <c r="B988" s="26">
        <v>45506</v>
      </c>
      <c r="C988" s="25" t="s">
        <v>64</v>
      </c>
      <c r="D988" s="25" t="s">
        <v>21</v>
      </c>
      <c r="E988" s="25" t="s">
        <v>88</v>
      </c>
      <c r="F988" s="25">
        <v>4</v>
      </c>
      <c r="G988" s="25" t="s">
        <v>89</v>
      </c>
      <c r="H988" s="25">
        <v>130</v>
      </c>
      <c r="I988" s="25">
        <v>100</v>
      </c>
      <c r="J988" s="25">
        <v>520</v>
      </c>
      <c r="K988" s="25">
        <v>400</v>
      </c>
      <c r="L988" s="25">
        <v>120</v>
      </c>
      <c r="M988" s="27">
        <v>30</v>
      </c>
      <c r="N988" s="25" t="s">
        <v>63</v>
      </c>
      <c r="O988" s="25" t="s">
        <v>27</v>
      </c>
      <c r="P988" s="25" t="s">
        <v>32</v>
      </c>
    </row>
    <row r="989" spans="1:16" x14ac:dyDescent="0.3">
      <c r="A989" s="25">
        <v>988</v>
      </c>
      <c r="B989" s="26">
        <v>45506</v>
      </c>
      <c r="C989" s="25" t="s">
        <v>64</v>
      </c>
      <c r="D989" s="25" t="s">
        <v>21</v>
      </c>
      <c r="E989" s="25" t="s">
        <v>94</v>
      </c>
      <c r="F989" s="25">
        <v>12</v>
      </c>
      <c r="G989" s="25" t="s">
        <v>89</v>
      </c>
      <c r="H989" s="25">
        <v>30</v>
      </c>
      <c r="I989" s="25">
        <v>26</v>
      </c>
      <c r="J989" s="25">
        <v>360</v>
      </c>
      <c r="K989" s="25">
        <v>312</v>
      </c>
      <c r="L989" s="25">
        <v>48</v>
      </c>
      <c r="M989" s="27">
        <v>15.384615384615399</v>
      </c>
      <c r="N989" s="25" t="s">
        <v>63</v>
      </c>
      <c r="O989" s="25" t="s">
        <v>27</v>
      </c>
      <c r="P989" s="25" t="s">
        <v>32</v>
      </c>
    </row>
    <row r="990" spans="1:16" x14ac:dyDescent="0.3">
      <c r="A990" s="25">
        <v>989</v>
      </c>
      <c r="B990" s="26">
        <v>45506</v>
      </c>
      <c r="C990" s="25" t="s">
        <v>64</v>
      </c>
      <c r="D990" s="25" t="s">
        <v>21</v>
      </c>
      <c r="E990" s="25" t="s">
        <v>95</v>
      </c>
      <c r="F990" s="25">
        <v>3</v>
      </c>
      <c r="G990" s="25" t="s">
        <v>89</v>
      </c>
      <c r="H990" s="25">
        <v>150</v>
      </c>
      <c r="I990" s="25">
        <v>100</v>
      </c>
      <c r="J990" s="25">
        <v>450</v>
      </c>
      <c r="K990" s="25">
        <v>300</v>
      </c>
      <c r="L990" s="25">
        <v>150</v>
      </c>
      <c r="M990" s="27">
        <v>50</v>
      </c>
      <c r="N990" s="25" t="s">
        <v>63</v>
      </c>
      <c r="O990" s="25" t="s">
        <v>28</v>
      </c>
      <c r="P990" s="25" t="s">
        <v>32</v>
      </c>
    </row>
    <row r="991" spans="1:16" x14ac:dyDescent="0.3">
      <c r="A991" s="25">
        <v>990</v>
      </c>
      <c r="B991" s="26">
        <v>45506</v>
      </c>
      <c r="C991" s="25" t="s">
        <v>64</v>
      </c>
      <c r="D991" s="25" t="s">
        <v>21</v>
      </c>
      <c r="E991" s="25" t="s">
        <v>93</v>
      </c>
      <c r="F991" s="25">
        <v>2</v>
      </c>
      <c r="G991" s="25" t="s">
        <v>89</v>
      </c>
      <c r="H991" s="25">
        <v>250</v>
      </c>
      <c r="I991" s="25">
        <v>180</v>
      </c>
      <c r="J991" s="25">
        <v>500</v>
      </c>
      <c r="K991" s="25">
        <v>360</v>
      </c>
      <c r="L991" s="25">
        <v>140</v>
      </c>
      <c r="M991" s="27">
        <v>38.8888888888889</v>
      </c>
      <c r="N991" s="25" t="s">
        <v>63</v>
      </c>
      <c r="O991" s="25" t="s">
        <v>27</v>
      </c>
      <c r="P991" s="25" t="s">
        <v>32</v>
      </c>
    </row>
    <row r="992" spans="1:16" x14ac:dyDescent="0.3">
      <c r="A992" s="25">
        <v>991</v>
      </c>
      <c r="B992" s="26">
        <v>45506</v>
      </c>
      <c r="C992" s="25" t="s">
        <v>64</v>
      </c>
      <c r="D992" s="25" t="s">
        <v>21</v>
      </c>
      <c r="E992" s="25" t="s">
        <v>88</v>
      </c>
      <c r="F992" s="25">
        <v>15</v>
      </c>
      <c r="G992" s="25" t="s">
        <v>89</v>
      </c>
      <c r="H992" s="25">
        <v>130</v>
      </c>
      <c r="I992" s="25">
        <v>100</v>
      </c>
      <c r="J992" s="25">
        <v>1950</v>
      </c>
      <c r="K992" s="25">
        <v>1500</v>
      </c>
      <c r="L992" s="25">
        <v>450</v>
      </c>
      <c r="M992" s="27">
        <v>30</v>
      </c>
      <c r="N992" s="25" t="s">
        <v>63</v>
      </c>
      <c r="O992" s="25" t="s">
        <v>27</v>
      </c>
      <c r="P992" s="25" t="s">
        <v>32</v>
      </c>
    </row>
    <row r="993" spans="1:16" x14ac:dyDescent="0.3">
      <c r="A993" s="25">
        <v>992</v>
      </c>
      <c r="B993" s="26">
        <v>45506</v>
      </c>
      <c r="C993" s="25" t="s">
        <v>64</v>
      </c>
      <c r="D993" s="25" t="s">
        <v>21</v>
      </c>
      <c r="E993" s="25" t="s">
        <v>88</v>
      </c>
      <c r="F993" s="25">
        <v>14</v>
      </c>
      <c r="G993" s="25" t="s">
        <v>89</v>
      </c>
      <c r="H993" s="25">
        <v>130</v>
      </c>
      <c r="I993" s="25">
        <v>100</v>
      </c>
      <c r="J993" s="25">
        <v>1820</v>
      </c>
      <c r="K993" s="25">
        <v>1400</v>
      </c>
      <c r="L993" s="25">
        <v>420</v>
      </c>
      <c r="M993" s="27">
        <v>30</v>
      </c>
      <c r="N993" s="25" t="s">
        <v>63</v>
      </c>
      <c r="O993" s="25" t="s">
        <v>27</v>
      </c>
      <c r="P993" s="25" t="s">
        <v>32</v>
      </c>
    </row>
    <row r="994" spans="1:16" x14ac:dyDescent="0.3">
      <c r="A994" s="25">
        <v>993</v>
      </c>
      <c r="B994" s="26">
        <v>45506</v>
      </c>
      <c r="C994" s="25" t="s">
        <v>64</v>
      </c>
      <c r="D994" s="25" t="s">
        <v>21</v>
      </c>
      <c r="E994" s="25" t="s">
        <v>88</v>
      </c>
      <c r="F994" s="25">
        <v>2</v>
      </c>
      <c r="G994" s="25" t="s">
        <v>89</v>
      </c>
      <c r="H994" s="25">
        <v>130</v>
      </c>
      <c r="I994" s="25">
        <v>100</v>
      </c>
      <c r="J994" s="25">
        <v>260</v>
      </c>
      <c r="K994" s="25">
        <v>200</v>
      </c>
      <c r="L994" s="25">
        <v>60</v>
      </c>
      <c r="M994" s="27">
        <v>30</v>
      </c>
      <c r="N994" s="25" t="s">
        <v>63</v>
      </c>
      <c r="O994" s="25" t="s">
        <v>27</v>
      </c>
      <c r="P994" s="25" t="s">
        <v>32</v>
      </c>
    </row>
    <row r="995" spans="1:16" x14ac:dyDescent="0.3">
      <c r="A995" s="25">
        <v>994</v>
      </c>
      <c r="B995" s="26">
        <v>45506</v>
      </c>
      <c r="C995" s="25" t="s">
        <v>64</v>
      </c>
      <c r="D995" s="25" t="s">
        <v>21</v>
      </c>
      <c r="E995" s="25" t="s">
        <v>94</v>
      </c>
      <c r="F995" s="25">
        <v>16</v>
      </c>
      <c r="G995" s="25" t="s">
        <v>89</v>
      </c>
      <c r="H995" s="25">
        <v>30</v>
      </c>
      <c r="I995" s="25">
        <v>26</v>
      </c>
      <c r="J995" s="25">
        <v>480</v>
      </c>
      <c r="K995" s="25">
        <v>416</v>
      </c>
      <c r="L995" s="25">
        <v>64</v>
      </c>
      <c r="M995" s="27">
        <v>15.384615384615399</v>
      </c>
      <c r="N995" s="25" t="s">
        <v>63</v>
      </c>
      <c r="O995" s="25" t="s">
        <v>27</v>
      </c>
      <c r="P995" s="25" t="s">
        <v>32</v>
      </c>
    </row>
    <row r="996" spans="1:16" x14ac:dyDescent="0.3">
      <c r="A996" s="25">
        <v>995</v>
      </c>
      <c r="B996" s="26">
        <v>45507</v>
      </c>
      <c r="C996" s="25" t="s">
        <v>64</v>
      </c>
      <c r="D996" s="25" t="s">
        <v>21</v>
      </c>
      <c r="E996" s="25" t="s">
        <v>95</v>
      </c>
      <c r="F996" s="25">
        <v>2</v>
      </c>
      <c r="G996" s="25" t="s">
        <v>89</v>
      </c>
      <c r="H996" s="25">
        <v>150</v>
      </c>
      <c r="I996" s="25">
        <v>100</v>
      </c>
      <c r="J996" s="25">
        <v>300</v>
      </c>
      <c r="K996" s="25">
        <v>200</v>
      </c>
      <c r="L996" s="25">
        <v>100</v>
      </c>
      <c r="M996" s="27">
        <v>50</v>
      </c>
      <c r="N996" s="25" t="s">
        <v>63</v>
      </c>
      <c r="O996" s="25" t="s">
        <v>28</v>
      </c>
      <c r="P996" s="25" t="s">
        <v>32</v>
      </c>
    </row>
    <row r="997" spans="1:16" x14ac:dyDescent="0.3">
      <c r="A997" s="25">
        <v>996</v>
      </c>
      <c r="B997" s="26">
        <v>45507</v>
      </c>
      <c r="C997" s="25" t="s">
        <v>64</v>
      </c>
      <c r="D997" s="25" t="s">
        <v>21</v>
      </c>
      <c r="E997" s="25" t="s">
        <v>88</v>
      </c>
      <c r="F997" s="25">
        <v>6</v>
      </c>
      <c r="G997" s="25" t="s">
        <v>89</v>
      </c>
      <c r="H997" s="25">
        <v>130</v>
      </c>
      <c r="I997" s="25">
        <v>100</v>
      </c>
      <c r="J997" s="25">
        <v>780</v>
      </c>
      <c r="K997" s="25">
        <v>600</v>
      </c>
      <c r="L997" s="25">
        <v>180</v>
      </c>
      <c r="M997" s="27">
        <v>30</v>
      </c>
      <c r="N997" s="25" t="s">
        <v>63</v>
      </c>
      <c r="O997" s="25" t="s">
        <v>27</v>
      </c>
      <c r="P997" s="25" t="s">
        <v>32</v>
      </c>
    </row>
    <row r="998" spans="1:16" x14ac:dyDescent="0.3">
      <c r="A998" s="25">
        <v>997</v>
      </c>
      <c r="B998" s="26">
        <v>45507</v>
      </c>
      <c r="C998" s="25" t="s">
        <v>64</v>
      </c>
      <c r="D998" s="25" t="s">
        <v>21</v>
      </c>
      <c r="E998" s="25" t="s">
        <v>93</v>
      </c>
      <c r="F998" s="25">
        <v>2</v>
      </c>
      <c r="G998" s="25" t="s">
        <v>89</v>
      </c>
      <c r="H998" s="25">
        <v>250</v>
      </c>
      <c r="I998" s="25">
        <v>180</v>
      </c>
      <c r="J998" s="25">
        <v>500</v>
      </c>
      <c r="K998" s="25">
        <v>360</v>
      </c>
      <c r="L998" s="25">
        <v>140</v>
      </c>
      <c r="M998" s="27">
        <v>38.8888888888889</v>
      </c>
      <c r="N998" s="25" t="s">
        <v>63</v>
      </c>
      <c r="O998" s="25" t="s">
        <v>27</v>
      </c>
      <c r="P998" s="25" t="s">
        <v>32</v>
      </c>
    </row>
    <row r="999" spans="1:16" x14ac:dyDescent="0.3">
      <c r="A999" s="25">
        <v>998</v>
      </c>
      <c r="B999" s="26">
        <v>45507</v>
      </c>
      <c r="C999" s="25" t="s">
        <v>64</v>
      </c>
      <c r="D999" s="25" t="s">
        <v>21</v>
      </c>
      <c r="E999" s="25" t="s">
        <v>88</v>
      </c>
      <c r="F999" s="25">
        <v>7</v>
      </c>
      <c r="G999" s="25" t="s">
        <v>89</v>
      </c>
      <c r="H999" s="25">
        <v>130</v>
      </c>
      <c r="I999" s="25">
        <v>100</v>
      </c>
      <c r="J999" s="25">
        <v>910</v>
      </c>
      <c r="K999" s="25">
        <v>700</v>
      </c>
      <c r="L999" s="25">
        <v>210</v>
      </c>
      <c r="M999" s="27">
        <v>30</v>
      </c>
      <c r="N999" s="25" t="s">
        <v>63</v>
      </c>
      <c r="O999" s="25" t="s">
        <v>27</v>
      </c>
      <c r="P999" s="25" t="s">
        <v>32</v>
      </c>
    </row>
    <row r="1000" spans="1:16" x14ac:dyDescent="0.3">
      <c r="A1000" s="25">
        <v>999</v>
      </c>
      <c r="B1000" s="26">
        <v>45507</v>
      </c>
      <c r="C1000" s="25" t="s">
        <v>64</v>
      </c>
      <c r="D1000" s="25" t="s">
        <v>21</v>
      </c>
      <c r="E1000" s="25" t="s">
        <v>88</v>
      </c>
      <c r="F1000" s="25">
        <v>8</v>
      </c>
      <c r="G1000" s="25" t="s">
        <v>89</v>
      </c>
      <c r="H1000" s="25">
        <v>130</v>
      </c>
      <c r="I1000" s="25">
        <v>100</v>
      </c>
      <c r="J1000" s="25">
        <v>1040</v>
      </c>
      <c r="K1000" s="25">
        <v>800</v>
      </c>
      <c r="L1000" s="25">
        <v>240</v>
      </c>
      <c r="M1000" s="27">
        <v>30</v>
      </c>
      <c r="N1000" s="25" t="s">
        <v>63</v>
      </c>
      <c r="O1000" s="25" t="s">
        <v>27</v>
      </c>
      <c r="P1000" s="25" t="s">
        <v>32</v>
      </c>
    </row>
    <row r="1001" spans="1:16" x14ac:dyDescent="0.3">
      <c r="A1001" s="25">
        <v>1000</v>
      </c>
      <c r="B1001" s="26">
        <v>45508</v>
      </c>
      <c r="C1001" s="25" t="s">
        <v>64</v>
      </c>
      <c r="D1001" s="25" t="s">
        <v>21</v>
      </c>
      <c r="E1001" s="25" t="s">
        <v>88</v>
      </c>
      <c r="F1001" s="25">
        <v>3</v>
      </c>
      <c r="G1001" s="25" t="s">
        <v>89</v>
      </c>
      <c r="H1001" s="25">
        <v>130</v>
      </c>
      <c r="I1001" s="25">
        <v>100</v>
      </c>
      <c r="J1001" s="25">
        <v>390</v>
      </c>
      <c r="K1001" s="25">
        <v>300</v>
      </c>
      <c r="L1001" s="25">
        <v>90</v>
      </c>
      <c r="M1001" s="27">
        <v>30</v>
      </c>
      <c r="N1001" s="25" t="s">
        <v>63</v>
      </c>
      <c r="O1001" s="25" t="s">
        <v>27</v>
      </c>
      <c r="P1001" s="25" t="s">
        <v>32</v>
      </c>
    </row>
    <row r="1002" spans="1:16" x14ac:dyDescent="0.3">
      <c r="A1002" s="25">
        <v>1001</v>
      </c>
      <c r="B1002" s="26">
        <v>45508</v>
      </c>
      <c r="C1002" s="25" t="s">
        <v>64</v>
      </c>
      <c r="D1002" s="25" t="s">
        <v>21</v>
      </c>
      <c r="E1002" s="25" t="s">
        <v>94</v>
      </c>
      <c r="F1002" s="25">
        <v>15</v>
      </c>
      <c r="G1002" s="25" t="s">
        <v>89</v>
      </c>
      <c r="H1002" s="25">
        <v>30</v>
      </c>
      <c r="I1002" s="25">
        <v>26</v>
      </c>
      <c r="J1002" s="25">
        <v>450</v>
      </c>
      <c r="K1002" s="25">
        <v>390</v>
      </c>
      <c r="L1002" s="25">
        <v>60</v>
      </c>
      <c r="M1002" s="27">
        <v>15.384615384615399</v>
      </c>
      <c r="N1002" s="25" t="s">
        <v>63</v>
      </c>
      <c r="O1002" s="25" t="s">
        <v>27</v>
      </c>
      <c r="P1002" s="25" t="s">
        <v>32</v>
      </c>
    </row>
    <row r="1003" spans="1:16" x14ac:dyDescent="0.3">
      <c r="A1003" s="25">
        <v>1002</v>
      </c>
      <c r="B1003" s="26">
        <v>45508</v>
      </c>
      <c r="C1003" s="25" t="s">
        <v>64</v>
      </c>
      <c r="D1003" s="25" t="s">
        <v>21</v>
      </c>
      <c r="E1003" s="25" t="s">
        <v>88</v>
      </c>
      <c r="F1003" s="25">
        <v>3</v>
      </c>
      <c r="G1003" s="25" t="s">
        <v>89</v>
      </c>
      <c r="H1003" s="25">
        <v>130</v>
      </c>
      <c r="I1003" s="25">
        <v>100</v>
      </c>
      <c r="J1003" s="25">
        <v>390</v>
      </c>
      <c r="K1003" s="25">
        <v>300</v>
      </c>
      <c r="L1003" s="25">
        <v>90</v>
      </c>
      <c r="M1003" s="27">
        <v>30</v>
      </c>
      <c r="N1003" s="25" t="s">
        <v>63</v>
      </c>
      <c r="O1003" s="25" t="s">
        <v>27</v>
      </c>
      <c r="P1003" s="25" t="s">
        <v>32</v>
      </c>
    </row>
    <row r="1004" spans="1:16" x14ac:dyDescent="0.3">
      <c r="A1004" s="25">
        <v>1003</v>
      </c>
      <c r="B1004" s="26">
        <v>45508</v>
      </c>
      <c r="C1004" s="25" t="s">
        <v>64</v>
      </c>
      <c r="D1004" s="25" t="s">
        <v>21</v>
      </c>
      <c r="E1004" s="25" t="s">
        <v>93</v>
      </c>
      <c r="F1004" s="25">
        <v>3</v>
      </c>
      <c r="G1004" s="25" t="s">
        <v>89</v>
      </c>
      <c r="H1004" s="25">
        <v>250</v>
      </c>
      <c r="I1004" s="25">
        <v>180</v>
      </c>
      <c r="J1004" s="25">
        <v>750</v>
      </c>
      <c r="K1004" s="25">
        <v>540</v>
      </c>
      <c r="L1004" s="25">
        <v>210</v>
      </c>
      <c r="M1004" s="27">
        <v>38.8888888888889</v>
      </c>
      <c r="N1004" s="25" t="s">
        <v>63</v>
      </c>
      <c r="O1004" s="25" t="s">
        <v>27</v>
      </c>
      <c r="P1004" s="25" t="s">
        <v>32</v>
      </c>
    </row>
    <row r="1005" spans="1:16" x14ac:dyDescent="0.3">
      <c r="A1005" s="25">
        <v>1004</v>
      </c>
      <c r="B1005" s="26">
        <v>45508</v>
      </c>
      <c r="C1005" s="25" t="s">
        <v>64</v>
      </c>
      <c r="D1005" s="25" t="s">
        <v>22</v>
      </c>
      <c r="E1005" s="25" t="s">
        <v>96</v>
      </c>
      <c r="F1005" s="25">
        <v>1</v>
      </c>
      <c r="G1005" s="25" t="s">
        <v>97</v>
      </c>
      <c r="H1005" s="25">
        <v>300</v>
      </c>
      <c r="I1005" s="25">
        <v>265</v>
      </c>
      <c r="J1005" s="25">
        <v>300</v>
      </c>
      <c r="K1005" s="25">
        <v>265</v>
      </c>
      <c r="L1005" s="25">
        <v>35</v>
      </c>
      <c r="M1005" s="27">
        <v>13.207547169811299</v>
      </c>
      <c r="N1005" s="25" t="s">
        <v>63</v>
      </c>
      <c r="O1005" s="25" t="s">
        <v>28</v>
      </c>
      <c r="P1005" s="25" t="s">
        <v>32</v>
      </c>
    </row>
    <row r="1006" spans="1:16" x14ac:dyDescent="0.3">
      <c r="A1006" s="25">
        <v>1005</v>
      </c>
      <c r="B1006" s="26">
        <v>45508</v>
      </c>
      <c r="C1006" s="25" t="s">
        <v>64</v>
      </c>
      <c r="D1006" s="25" t="s">
        <v>21</v>
      </c>
      <c r="E1006" s="25" t="s">
        <v>95</v>
      </c>
      <c r="F1006" s="25">
        <v>5</v>
      </c>
      <c r="G1006" s="25" t="s">
        <v>89</v>
      </c>
      <c r="H1006" s="25">
        <v>150</v>
      </c>
      <c r="I1006" s="25">
        <v>100</v>
      </c>
      <c r="J1006" s="25">
        <v>750</v>
      </c>
      <c r="K1006" s="25">
        <v>500</v>
      </c>
      <c r="L1006" s="25">
        <v>250</v>
      </c>
      <c r="M1006" s="27">
        <v>50</v>
      </c>
      <c r="N1006" s="25" t="s">
        <v>63</v>
      </c>
      <c r="O1006" s="25" t="s">
        <v>28</v>
      </c>
      <c r="P1006" s="25" t="s">
        <v>32</v>
      </c>
    </row>
    <row r="1007" spans="1:16" x14ac:dyDescent="0.3">
      <c r="A1007" s="25">
        <v>1006</v>
      </c>
      <c r="B1007" s="26">
        <v>45509</v>
      </c>
      <c r="C1007" s="25" t="s">
        <v>64</v>
      </c>
      <c r="D1007" s="25" t="s">
        <v>21</v>
      </c>
      <c r="E1007" s="25" t="s">
        <v>88</v>
      </c>
      <c r="F1007" s="25">
        <v>6</v>
      </c>
      <c r="G1007" s="25" t="s">
        <v>89</v>
      </c>
      <c r="H1007" s="25">
        <v>130</v>
      </c>
      <c r="I1007" s="25">
        <v>100</v>
      </c>
      <c r="J1007" s="25">
        <v>780</v>
      </c>
      <c r="K1007" s="25">
        <v>600</v>
      </c>
      <c r="L1007" s="25">
        <v>180</v>
      </c>
      <c r="M1007" s="27">
        <v>30</v>
      </c>
      <c r="N1007" s="25" t="s">
        <v>63</v>
      </c>
      <c r="O1007" s="25" t="s">
        <v>27</v>
      </c>
      <c r="P1007" s="25" t="s">
        <v>32</v>
      </c>
    </row>
    <row r="1008" spans="1:16" x14ac:dyDescent="0.3">
      <c r="A1008" s="25">
        <v>1007</v>
      </c>
      <c r="B1008" s="26">
        <v>45509</v>
      </c>
      <c r="C1008" s="25" t="s">
        <v>64</v>
      </c>
      <c r="D1008" s="25" t="s">
        <v>21</v>
      </c>
      <c r="E1008" s="25" t="s">
        <v>88</v>
      </c>
      <c r="F1008" s="25">
        <v>4</v>
      </c>
      <c r="G1008" s="25" t="s">
        <v>89</v>
      </c>
      <c r="H1008" s="25">
        <v>130</v>
      </c>
      <c r="I1008" s="25">
        <v>100</v>
      </c>
      <c r="J1008" s="25">
        <v>520</v>
      </c>
      <c r="K1008" s="25">
        <v>400</v>
      </c>
      <c r="L1008" s="25">
        <v>120</v>
      </c>
      <c r="M1008" s="27">
        <v>30</v>
      </c>
      <c r="N1008" s="25" t="s">
        <v>63</v>
      </c>
      <c r="O1008" s="25" t="s">
        <v>27</v>
      </c>
      <c r="P1008" s="25" t="s">
        <v>32</v>
      </c>
    </row>
    <row r="1009" spans="1:16" x14ac:dyDescent="0.3">
      <c r="A1009" s="25">
        <v>1008</v>
      </c>
      <c r="B1009" s="26">
        <v>45509</v>
      </c>
      <c r="C1009" s="25" t="s">
        <v>64</v>
      </c>
      <c r="D1009" s="25" t="s">
        <v>21</v>
      </c>
      <c r="E1009" s="25" t="s">
        <v>94</v>
      </c>
      <c r="F1009" s="25">
        <v>15</v>
      </c>
      <c r="G1009" s="25" t="s">
        <v>89</v>
      </c>
      <c r="H1009" s="25">
        <v>30</v>
      </c>
      <c r="I1009" s="25">
        <v>26</v>
      </c>
      <c r="J1009" s="25">
        <v>450</v>
      </c>
      <c r="K1009" s="25">
        <v>390</v>
      </c>
      <c r="L1009" s="25">
        <v>60</v>
      </c>
      <c r="M1009" s="27">
        <v>15.384615384615399</v>
      </c>
      <c r="N1009" s="25" t="s">
        <v>63</v>
      </c>
      <c r="O1009" s="25" t="s">
        <v>27</v>
      </c>
      <c r="P1009" s="25" t="s">
        <v>32</v>
      </c>
    </row>
    <row r="1010" spans="1:16" x14ac:dyDescent="0.3">
      <c r="A1010" s="25">
        <v>1009</v>
      </c>
      <c r="B1010" s="26">
        <v>45509</v>
      </c>
      <c r="C1010" s="25" t="s">
        <v>64</v>
      </c>
      <c r="D1010" s="25" t="s">
        <v>21</v>
      </c>
      <c r="E1010" s="25" t="s">
        <v>88</v>
      </c>
      <c r="F1010" s="25">
        <v>3</v>
      </c>
      <c r="G1010" s="25" t="s">
        <v>89</v>
      </c>
      <c r="H1010" s="25">
        <v>130</v>
      </c>
      <c r="I1010" s="25">
        <v>100</v>
      </c>
      <c r="J1010" s="25">
        <v>390</v>
      </c>
      <c r="K1010" s="25">
        <v>300</v>
      </c>
      <c r="L1010" s="25">
        <v>90</v>
      </c>
      <c r="M1010" s="27">
        <v>30</v>
      </c>
      <c r="N1010" s="25" t="s">
        <v>63</v>
      </c>
      <c r="O1010" s="25" t="s">
        <v>27</v>
      </c>
      <c r="P1010" s="25" t="s">
        <v>32</v>
      </c>
    </row>
    <row r="1011" spans="1:16" x14ac:dyDescent="0.3">
      <c r="A1011" s="25">
        <v>1010</v>
      </c>
      <c r="B1011" s="26">
        <v>45509</v>
      </c>
      <c r="C1011" s="25" t="s">
        <v>64</v>
      </c>
      <c r="D1011" s="25" t="s">
        <v>21</v>
      </c>
      <c r="E1011" s="25" t="s">
        <v>88</v>
      </c>
      <c r="F1011" s="25">
        <v>4</v>
      </c>
      <c r="G1011" s="25" t="s">
        <v>89</v>
      </c>
      <c r="H1011" s="25">
        <v>130</v>
      </c>
      <c r="I1011" s="25">
        <v>100</v>
      </c>
      <c r="J1011" s="25">
        <v>520</v>
      </c>
      <c r="K1011" s="25">
        <v>400</v>
      </c>
      <c r="L1011" s="25">
        <v>120</v>
      </c>
      <c r="M1011" s="27">
        <v>30</v>
      </c>
      <c r="N1011" s="25" t="s">
        <v>63</v>
      </c>
      <c r="O1011" s="25" t="s">
        <v>27</v>
      </c>
      <c r="P1011" s="25" t="s">
        <v>32</v>
      </c>
    </row>
    <row r="1012" spans="1:16" x14ac:dyDescent="0.3">
      <c r="A1012" s="25">
        <v>1011</v>
      </c>
      <c r="B1012" s="26">
        <v>45509</v>
      </c>
      <c r="C1012" s="25" t="s">
        <v>64</v>
      </c>
      <c r="D1012" s="25" t="s">
        <v>21</v>
      </c>
      <c r="E1012" s="25" t="s">
        <v>88</v>
      </c>
      <c r="F1012" s="25">
        <v>3</v>
      </c>
      <c r="G1012" s="25" t="s">
        <v>89</v>
      </c>
      <c r="H1012" s="25">
        <v>130</v>
      </c>
      <c r="I1012" s="25">
        <v>100</v>
      </c>
      <c r="J1012" s="25">
        <v>390</v>
      </c>
      <c r="K1012" s="25">
        <v>300</v>
      </c>
      <c r="L1012" s="25">
        <v>90</v>
      </c>
      <c r="M1012" s="27">
        <v>30</v>
      </c>
      <c r="N1012" s="25" t="s">
        <v>63</v>
      </c>
      <c r="O1012" s="25" t="s">
        <v>27</v>
      </c>
      <c r="P1012" s="25" t="s">
        <v>32</v>
      </c>
    </row>
    <row r="1013" spans="1:16" x14ac:dyDescent="0.3">
      <c r="A1013" s="25">
        <v>1012</v>
      </c>
      <c r="B1013" s="26">
        <v>45509</v>
      </c>
      <c r="C1013" s="25" t="s">
        <v>64</v>
      </c>
      <c r="D1013" s="25" t="s">
        <v>21</v>
      </c>
      <c r="E1013" s="25" t="s">
        <v>94</v>
      </c>
      <c r="F1013" s="25">
        <v>15</v>
      </c>
      <c r="G1013" s="25" t="s">
        <v>89</v>
      </c>
      <c r="H1013" s="25">
        <v>30</v>
      </c>
      <c r="I1013" s="25">
        <v>26</v>
      </c>
      <c r="J1013" s="25">
        <v>450</v>
      </c>
      <c r="K1013" s="25">
        <v>390</v>
      </c>
      <c r="L1013" s="25">
        <v>60</v>
      </c>
      <c r="M1013" s="27">
        <v>15.384615384615399</v>
      </c>
      <c r="N1013" s="25" t="s">
        <v>63</v>
      </c>
      <c r="O1013" s="25" t="s">
        <v>27</v>
      </c>
      <c r="P1013" s="25" t="s">
        <v>32</v>
      </c>
    </row>
    <row r="1014" spans="1:16" x14ac:dyDescent="0.3">
      <c r="A1014" s="25">
        <v>1013</v>
      </c>
      <c r="B1014" s="26">
        <v>45509</v>
      </c>
      <c r="C1014" s="25" t="s">
        <v>64</v>
      </c>
      <c r="D1014" s="25" t="s">
        <v>21</v>
      </c>
      <c r="E1014" s="25" t="s">
        <v>95</v>
      </c>
      <c r="F1014" s="25">
        <v>6</v>
      </c>
      <c r="G1014" s="25" t="s">
        <v>89</v>
      </c>
      <c r="H1014" s="25">
        <v>150</v>
      </c>
      <c r="I1014" s="25">
        <v>100</v>
      </c>
      <c r="J1014" s="25">
        <v>900</v>
      </c>
      <c r="K1014" s="25">
        <v>600</v>
      </c>
      <c r="L1014" s="25">
        <v>300</v>
      </c>
      <c r="M1014" s="27">
        <v>50</v>
      </c>
      <c r="N1014" s="25" t="s">
        <v>63</v>
      </c>
      <c r="O1014" s="25" t="s">
        <v>28</v>
      </c>
      <c r="P1014" s="25" t="s">
        <v>32</v>
      </c>
    </row>
    <row r="1015" spans="1:16" x14ac:dyDescent="0.3">
      <c r="A1015" s="25">
        <v>1014</v>
      </c>
      <c r="B1015" s="26">
        <v>45509</v>
      </c>
      <c r="C1015" s="25" t="s">
        <v>64</v>
      </c>
      <c r="D1015" s="25" t="s">
        <v>21</v>
      </c>
      <c r="E1015" s="25" t="s">
        <v>93</v>
      </c>
      <c r="F1015" s="25">
        <v>7</v>
      </c>
      <c r="G1015" s="25" t="s">
        <v>89</v>
      </c>
      <c r="H1015" s="25">
        <v>250</v>
      </c>
      <c r="I1015" s="25">
        <v>180</v>
      </c>
      <c r="J1015" s="25">
        <v>1750</v>
      </c>
      <c r="K1015" s="25">
        <v>1260</v>
      </c>
      <c r="L1015" s="25">
        <v>490</v>
      </c>
      <c r="M1015" s="27">
        <v>38.8888888888889</v>
      </c>
      <c r="N1015" s="25" t="s">
        <v>63</v>
      </c>
      <c r="O1015" s="25" t="s">
        <v>27</v>
      </c>
      <c r="P1015" s="25" t="s">
        <v>32</v>
      </c>
    </row>
    <row r="1016" spans="1:16" x14ac:dyDescent="0.3">
      <c r="A1016" s="25">
        <v>1015</v>
      </c>
      <c r="B1016" s="26">
        <v>45510</v>
      </c>
      <c r="C1016" s="25" t="s">
        <v>64</v>
      </c>
      <c r="D1016" s="25" t="s">
        <v>21</v>
      </c>
      <c r="E1016" s="25" t="s">
        <v>94</v>
      </c>
      <c r="F1016" s="25">
        <v>24</v>
      </c>
      <c r="G1016" s="25" t="s">
        <v>89</v>
      </c>
      <c r="H1016" s="25">
        <v>30</v>
      </c>
      <c r="I1016" s="25">
        <v>26</v>
      </c>
      <c r="J1016" s="25">
        <v>720</v>
      </c>
      <c r="K1016" s="25">
        <v>624</v>
      </c>
      <c r="L1016" s="25">
        <v>96</v>
      </c>
      <c r="M1016" s="27">
        <v>15.384615384615399</v>
      </c>
      <c r="N1016" s="25" t="s">
        <v>63</v>
      </c>
      <c r="O1016" s="25" t="s">
        <v>27</v>
      </c>
      <c r="P1016" s="25" t="s">
        <v>32</v>
      </c>
    </row>
    <row r="1017" spans="1:16" x14ac:dyDescent="0.3">
      <c r="A1017" s="25">
        <v>1016</v>
      </c>
      <c r="B1017" s="26">
        <v>45510</v>
      </c>
      <c r="C1017" s="25" t="s">
        <v>64</v>
      </c>
      <c r="D1017" s="25" t="s">
        <v>21</v>
      </c>
      <c r="E1017" s="25" t="s">
        <v>88</v>
      </c>
      <c r="F1017" s="25">
        <v>4</v>
      </c>
      <c r="G1017" s="25" t="s">
        <v>89</v>
      </c>
      <c r="H1017" s="25">
        <v>130</v>
      </c>
      <c r="I1017" s="25">
        <v>100</v>
      </c>
      <c r="J1017" s="25">
        <v>520</v>
      </c>
      <c r="K1017" s="25">
        <v>400</v>
      </c>
      <c r="L1017" s="25">
        <v>120</v>
      </c>
      <c r="M1017" s="27">
        <v>30</v>
      </c>
      <c r="N1017" s="25" t="s">
        <v>63</v>
      </c>
      <c r="O1017" s="25" t="s">
        <v>27</v>
      </c>
      <c r="P1017" s="25" t="s">
        <v>32</v>
      </c>
    </row>
    <row r="1018" spans="1:16" x14ac:dyDescent="0.3">
      <c r="A1018" s="25">
        <v>1017</v>
      </c>
      <c r="B1018" s="26">
        <v>45510</v>
      </c>
      <c r="C1018" s="25" t="s">
        <v>64</v>
      </c>
      <c r="D1018" s="25" t="s">
        <v>21</v>
      </c>
      <c r="E1018" s="25" t="s">
        <v>94</v>
      </c>
      <c r="F1018" s="25">
        <v>16</v>
      </c>
      <c r="G1018" s="25" t="s">
        <v>89</v>
      </c>
      <c r="H1018" s="25">
        <v>30</v>
      </c>
      <c r="I1018" s="25">
        <v>26</v>
      </c>
      <c r="J1018" s="25">
        <v>480</v>
      </c>
      <c r="K1018" s="25">
        <v>416</v>
      </c>
      <c r="L1018" s="25">
        <v>64</v>
      </c>
      <c r="M1018" s="27">
        <v>15.384615384615399</v>
      </c>
      <c r="N1018" s="25" t="s">
        <v>63</v>
      </c>
      <c r="O1018" s="25" t="s">
        <v>27</v>
      </c>
      <c r="P1018" s="25" t="s">
        <v>32</v>
      </c>
    </row>
    <row r="1019" spans="1:16" x14ac:dyDescent="0.3">
      <c r="A1019" s="25">
        <v>1018</v>
      </c>
      <c r="B1019" s="26">
        <v>45510</v>
      </c>
      <c r="C1019" s="25" t="s">
        <v>64</v>
      </c>
      <c r="D1019" s="25" t="s">
        <v>21</v>
      </c>
      <c r="E1019" s="25" t="s">
        <v>95</v>
      </c>
      <c r="F1019" s="25">
        <v>4</v>
      </c>
      <c r="G1019" s="25" t="s">
        <v>89</v>
      </c>
      <c r="H1019" s="25">
        <v>150</v>
      </c>
      <c r="I1019" s="25">
        <v>100</v>
      </c>
      <c r="J1019" s="25">
        <v>600</v>
      </c>
      <c r="K1019" s="25">
        <v>400</v>
      </c>
      <c r="L1019" s="25">
        <v>200</v>
      </c>
      <c r="M1019" s="27">
        <v>50</v>
      </c>
      <c r="N1019" s="25" t="s">
        <v>63</v>
      </c>
      <c r="O1019" s="25" t="s">
        <v>28</v>
      </c>
      <c r="P1019" s="25" t="s">
        <v>32</v>
      </c>
    </row>
    <row r="1020" spans="1:16" x14ac:dyDescent="0.3">
      <c r="A1020" s="25">
        <v>1019</v>
      </c>
      <c r="B1020" s="26">
        <v>45510</v>
      </c>
      <c r="C1020" s="25" t="s">
        <v>64</v>
      </c>
      <c r="D1020" s="25" t="s">
        <v>21</v>
      </c>
      <c r="E1020" s="25" t="s">
        <v>88</v>
      </c>
      <c r="F1020" s="25">
        <v>7</v>
      </c>
      <c r="G1020" s="25" t="s">
        <v>89</v>
      </c>
      <c r="H1020" s="25">
        <v>130</v>
      </c>
      <c r="I1020" s="25">
        <v>100</v>
      </c>
      <c r="J1020" s="25">
        <v>910</v>
      </c>
      <c r="K1020" s="25">
        <v>700</v>
      </c>
      <c r="L1020" s="25">
        <v>210</v>
      </c>
      <c r="M1020" s="27">
        <v>30</v>
      </c>
      <c r="N1020" s="25" t="s">
        <v>63</v>
      </c>
      <c r="O1020" s="25" t="s">
        <v>27</v>
      </c>
      <c r="P1020" s="25" t="s">
        <v>32</v>
      </c>
    </row>
    <row r="1021" spans="1:16" x14ac:dyDescent="0.3">
      <c r="A1021" s="25">
        <v>1020</v>
      </c>
      <c r="B1021" s="26">
        <v>45510</v>
      </c>
      <c r="C1021" s="25" t="s">
        <v>64</v>
      </c>
      <c r="D1021" s="25" t="s">
        <v>21</v>
      </c>
      <c r="E1021" s="25" t="s">
        <v>93</v>
      </c>
      <c r="F1021" s="25">
        <v>4</v>
      </c>
      <c r="G1021" s="25" t="s">
        <v>89</v>
      </c>
      <c r="H1021" s="25">
        <v>250</v>
      </c>
      <c r="I1021" s="25">
        <v>180</v>
      </c>
      <c r="J1021" s="25">
        <v>1000</v>
      </c>
      <c r="K1021" s="25">
        <v>720</v>
      </c>
      <c r="L1021" s="25">
        <v>280</v>
      </c>
      <c r="M1021" s="27">
        <v>38.8888888888889</v>
      </c>
      <c r="N1021" s="25" t="s">
        <v>63</v>
      </c>
      <c r="O1021" s="25" t="s">
        <v>27</v>
      </c>
      <c r="P1021" s="25" t="s">
        <v>32</v>
      </c>
    </row>
    <row r="1022" spans="1:16" x14ac:dyDescent="0.3">
      <c r="A1022" s="25">
        <v>1021</v>
      </c>
      <c r="B1022" s="26">
        <v>45510</v>
      </c>
      <c r="C1022" s="25" t="s">
        <v>64</v>
      </c>
      <c r="D1022" s="25" t="s">
        <v>21</v>
      </c>
      <c r="E1022" s="25" t="s">
        <v>88</v>
      </c>
      <c r="F1022" s="25">
        <v>8</v>
      </c>
      <c r="G1022" s="25" t="s">
        <v>89</v>
      </c>
      <c r="H1022" s="25">
        <v>130</v>
      </c>
      <c r="I1022" s="25">
        <v>100</v>
      </c>
      <c r="J1022" s="25">
        <v>1040</v>
      </c>
      <c r="K1022" s="25">
        <v>800</v>
      </c>
      <c r="L1022" s="25">
        <v>240</v>
      </c>
      <c r="M1022" s="27">
        <v>30</v>
      </c>
      <c r="N1022" s="25" t="s">
        <v>63</v>
      </c>
      <c r="O1022" s="25" t="s">
        <v>27</v>
      </c>
      <c r="P1022" s="25" t="s">
        <v>32</v>
      </c>
    </row>
    <row r="1023" spans="1:16" x14ac:dyDescent="0.3">
      <c r="A1023" s="25">
        <v>1022</v>
      </c>
      <c r="B1023" s="26">
        <v>45511</v>
      </c>
      <c r="C1023" s="25" t="s">
        <v>64</v>
      </c>
      <c r="D1023" s="25" t="s">
        <v>21</v>
      </c>
      <c r="E1023" s="25" t="s">
        <v>94</v>
      </c>
      <c r="F1023" s="25">
        <v>10</v>
      </c>
      <c r="G1023" s="25" t="s">
        <v>89</v>
      </c>
      <c r="H1023" s="25">
        <v>30</v>
      </c>
      <c r="I1023" s="25">
        <v>26</v>
      </c>
      <c r="J1023" s="25">
        <v>300</v>
      </c>
      <c r="K1023" s="25">
        <v>260</v>
      </c>
      <c r="L1023" s="25">
        <v>40</v>
      </c>
      <c r="M1023" s="27">
        <v>15.384615384615399</v>
      </c>
      <c r="N1023" s="25" t="s">
        <v>63</v>
      </c>
      <c r="O1023" s="25" t="s">
        <v>27</v>
      </c>
      <c r="P1023" s="25" t="s">
        <v>32</v>
      </c>
    </row>
    <row r="1024" spans="1:16" x14ac:dyDescent="0.3">
      <c r="A1024" s="25">
        <v>1023</v>
      </c>
      <c r="B1024" s="26">
        <v>45511</v>
      </c>
      <c r="C1024" s="25" t="s">
        <v>64</v>
      </c>
      <c r="D1024" s="25" t="s">
        <v>21</v>
      </c>
      <c r="E1024" s="25" t="s">
        <v>88</v>
      </c>
      <c r="F1024" s="25">
        <v>2</v>
      </c>
      <c r="G1024" s="25" t="s">
        <v>89</v>
      </c>
      <c r="H1024" s="25">
        <v>130</v>
      </c>
      <c r="I1024" s="25">
        <v>100</v>
      </c>
      <c r="J1024" s="25">
        <v>260</v>
      </c>
      <c r="K1024" s="25">
        <v>200</v>
      </c>
      <c r="L1024" s="25">
        <v>60</v>
      </c>
      <c r="M1024" s="27">
        <v>30</v>
      </c>
      <c r="N1024" s="25" t="s">
        <v>63</v>
      </c>
      <c r="O1024" s="25" t="s">
        <v>27</v>
      </c>
      <c r="P1024" s="25" t="s">
        <v>32</v>
      </c>
    </row>
    <row r="1025" spans="1:16" x14ac:dyDescent="0.3">
      <c r="A1025" s="25">
        <v>1024</v>
      </c>
      <c r="B1025" s="26">
        <v>45511</v>
      </c>
      <c r="C1025" s="25" t="s">
        <v>64</v>
      </c>
      <c r="D1025" s="25" t="s">
        <v>21</v>
      </c>
      <c r="E1025" s="25" t="s">
        <v>88</v>
      </c>
      <c r="F1025" s="25">
        <v>3</v>
      </c>
      <c r="G1025" s="25" t="s">
        <v>89</v>
      </c>
      <c r="H1025" s="25">
        <v>130</v>
      </c>
      <c r="I1025" s="25">
        <v>100</v>
      </c>
      <c r="J1025" s="25">
        <v>390</v>
      </c>
      <c r="K1025" s="25">
        <v>300</v>
      </c>
      <c r="L1025" s="25">
        <v>90</v>
      </c>
      <c r="M1025" s="27">
        <v>30</v>
      </c>
      <c r="N1025" s="25" t="s">
        <v>63</v>
      </c>
      <c r="O1025" s="25" t="s">
        <v>27</v>
      </c>
      <c r="P1025" s="25" t="s">
        <v>32</v>
      </c>
    </row>
    <row r="1026" spans="1:16" x14ac:dyDescent="0.3">
      <c r="A1026" s="25">
        <v>1025</v>
      </c>
      <c r="B1026" s="26">
        <v>45511</v>
      </c>
      <c r="C1026" s="25" t="s">
        <v>64</v>
      </c>
      <c r="D1026" s="25" t="s">
        <v>21</v>
      </c>
      <c r="E1026" s="25" t="s">
        <v>95</v>
      </c>
      <c r="F1026" s="25">
        <v>5</v>
      </c>
      <c r="G1026" s="25" t="s">
        <v>89</v>
      </c>
      <c r="H1026" s="25">
        <v>150</v>
      </c>
      <c r="I1026" s="25">
        <v>100</v>
      </c>
      <c r="J1026" s="25">
        <v>750</v>
      </c>
      <c r="K1026" s="25">
        <v>500</v>
      </c>
      <c r="L1026" s="25">
        <v>250</v>
      </c>
      <c r="M1026" s="27">
        <v>50</v>
      </c>
      <c r="N1026" s="25" t="s">
        <v>63</v>
      </c>
      <c r="O1026" s="25" t="s">
        <v>28</v>
      </c>
      <c r="P1026" s="25" t="s">
        <v>32</v>
      </c>
    </row>
    <row r="1027" spans="1:16" x14ac:dyDescent="0.3">
      <c r="A1027" s="25">
        <v>1026</v>
      </c>
      <c r="B1027" s="26">
        <v>45511</v>
      </c>
      <c r="C1027" s="25" t="s">
        <v>64</v>
      </c>
      <c r="D1027" s="25" t="s">
        <v>21</v>
      </c>
      <c r="E1027" s="25" t="s">
        <v>94</v>
      </c>
      <c r="F1027" s="25">
        <v>26</v>
      </c>
      <c r="G1027" s="25" t="s">
        <v>89</v>
      </c>
      <c r="H1027" s="25">
        <v>30</v>
      </c>
      <c r="I1027" s="25">
        <v>26</v>
      </c>
      <c r="J1027" s="25">
        <v>780</v>
      </c>
      <c r="K1027" s="25">
        <v>676</v>
      </c>
      <c r="L1027" s="25">
        <v>104</v>
      </c>
      <c r="M1027" s="27">
        <v>15.384615384615399</v>
      </c>
      <c r="N1027" s="25" t="s">
        <v>63</v>
      </c>
      <c r="O1027" s="25" t="s">
        <v>27</v>
      </c>
      <c r="P1027" s="25" t="s">
        <v>32</v>
      </c>
    </row>
    <row r="1028" spans="1:16" x14ac:dyDescent="0.3">
      <c r="A1028" s="25">
        <v>1027</v>
      </c>
      <c r="B1028" s="26">
        <v>45511</v>
      </c>
      <c r="C1028" s="25" t="s">
        <v>64</v>
      </c>
      <c r="D1028" s="25" t="s">
        <v>21</v>
      </c>
      <c r="E1028" s="25" t="s">
        <v>88</v>
      </c>
      <c r="F1028" s="25">
        <v>6</v>
      </c>
      <c r="G1028" s="25" t="s">
        <v>89</v>
      </c>
      <c r="H1028" s="25">
        <v>130</v>
      </c>
      <c r="I1028" s="25">
        <v>100</v>
      </c>
      <c r="J1028" s="25">
        <v>780</v>
      </c>
      <c r="K1028" s="25">
        <v>600</v>
      </c>
      <c r="L1028" s="25">
        <v>180</v>
      </c>
      <c r="M1028" s="27">
        <v>30</v>
      </c>
      <c r="N1028" s="25" t="s">
        <v>63</v>
      </c>
      <c r="O1028" s="25" t="s">
        <v>27</v>
      </c>
      <c r="P1028" s="25" t="s">
        <v>32</v>
      </c>
    </row>
    <row r="1029" spans="1:16" x14ac:dyDescent="0.3">
      <c r="A1029" s="25">
        <v>1028</v>
      </c>
      <c r="B1029" s="26">
        <v>45511</v>
      </c>
      <c r="C1029" s="25" t="s">
        <v>64</v>
      </c>
      <c r="D1029" s="25" t="s">
        <v>21</v>
      </c>
      <c r="E1029" s="25" t="s">
        <v>93</v>
      </c>
      <c r="F1029" s="25">
        <v>4</v>
      </c>
      <c r="G1029" s="25" t="s">
        <v>89</v>
      </c>
      <c r="H1029" s="25">
        <v>250</v>
      </c>
      <c r="I1029" s="25">
        <v>180</v>
      </c>
      <c r="J1029" s="25">
        <v>1000</v>
      </c>
      <c r="K1029" s="25">
        <v>720</v>
      </c>
      <c r="L1029" s="25">
        <v>280</v>
      </c>
      <c r="M1029" s="27">
        <v>38.8888888888889</v>
      </c>
      <c r="N1029" s="25" t="s">
        <v>63</v>
      </c>
      <c r="O1029" s="25" t="s">
        <v>27</v>
      </c>
      <c r="P1029" s="25" t="s">
        <v>32</v>
      </c>
    </row>
    <row r="1030" spans="1:16" x14ac:dyDescent="0.3">
      <c r="A1030" s="25">
        <v>1029</v>
      </c>
      <c r="B1030" s="26">
        <v>45513</v>
      </c>
      <c r="C1030" s="25" t="s">
        <v>64</v>
      </c>
      <c r="D1030" s="25" t="s">
        <v>21</v>
      </c>
      <c r="E1030" s="25" t="s">
        <v>88</v>
      </c>
      <c r="F1030" s="25">
        <v>7</v>
      </c>
      <c r="G1030" s="25" t="s">
        <v>89</v>
      </c>
      <c r="H1030" s="25">
        <v>130</v>
      </c>
      <c r="I1030" s="25">
        <v>100</v>
      </c>
      <c r="J1030" s="25">
        <v>910</v>
      </c>
      <c r="K1030" s="25">
        <v>700</v>
      </c>
      <c r="L1030" s="25">
        <v>210</v>
      </c>
      <c r="M1030" s="27">
        <v>30</v>
      </c>
      <c r="N1030" s="25" t="s">
        <v>63</v>
      </c>
      <c r="O1030" s="25" t="s">
        <v>27</v>
      </c>
      <c r="P1030" s="25" t="s">
        <v>32</v>
      </c>
    </row>
    <row r="1031" spans="1:16" x14ac:dyDescent="0.3">
      <c r="A1031" s="25">
        <v>1030</v>
      </c>
      <c r="B1031" s="26">
        <v>45513</v>
      </c>
      <c r="C1031" s="25" t="s">
        <v>64</v>
      </c>
      <c r="D1031" s="25" t="s">
        <v>21</v>
      </c>
      <c r="E1031" s="25" t="s">
        <v>88</v>
      </c>
      <c r="F1031" s="25">
        <v>4</v>
      </c>
      <c r="G1031" s="25" t="s">
        <v>89</v>
      </c>
      <c r="H1031" s="25">
        <v>130</v>
      </c>
      <c r="I1031" s="25">
        <v>100</v>
      </c>
      <c r="J1031" s="25">
        <v>520</v>
      </c>
      <c r="K1031" s="25">
        <v>400</v>
      </c>
      <c r="L1031" s="25">
        <v>120</v>
      </c>
      <c r="M1031" s="27">
        <v>30</v>
      </c>
      <c r="N1031" s="25" t="s">
        <v>63</v>
      </c>
      <c r="O1031" s="25" t="s">
        <v>27</v>
      </c>
      <c r="P1031" s="25" t="s">
        <v>32</v>
      </c>
    </row>
    <row r="1032" spans="1:16" x14ac:dyDescent="0.3">
      <c r="A1032" s="25">
        <v>1031</v>
      </c>
      <c r="B1032" s="26">
        <v>45513</v>
      </c>
      <c r="C1032" s="25" t="s">
        <v>64</v>
      </c>
      <c r="D1032" s="25" t="s">
        <v>21</v>
      </c>
      <c r="E1032" s="25" t="s">
        <v>95</v>
      </c>
      <c r="F1032" s="25">
        <v>7</v>
      </c>
      <c r="G1032" s="25" t="s">
        <v>89</v>
      </c>
      <c r="H1032" s="25">
        <v>150</v>
      </c>
      <c r="I1032" s="25">
        <v>100</v>
      </c>
      <c r="J1032" s="25">
        <v>1050</v>
      </c>
      <c r="K1032" s="25">
        <v>700</v>
      </c>
      <c r="L1032" s="25">
        <v>350</v>
      </c>
      <c r="M1032" s="27">
        <v>50</v>
      </c>
      <c r="N1032" s="25" t="s">
        <v>63</v>
      </c>
      <c r="O1032" s="25" t="s">
        <v>28</v>
      </c>
      <c r="P1032" s="25" t="s">
        <v>32</v>
      </c>
    </row>
    <row r="1033" spans="1:16" x14ac:dyDescent="0.3">
      <c r="A1033" s="25">
        <v>1032</v>
      </c>
      <c r="B1033" s="26">
        <v>45513</v>
      </c>
      <c r="C1033" s="25" t="s">
        <v>64</v>
      </c>
      <c r="D1033" s="25" t="s">
        <v>21</v>
      </c>
      <c r="E1033" s="25" t="s">
        <v>88</v>
      </c>
      <c r="F1033" s="25">
        <v>8</v>
      </c>
      <c r="G1033" s="25" t="s">
        <v>89</v>
      </c>
      <c r="H1033" s="25">
        <v>130</v>
      </c>
      <c r="I1033" s="25">
        <v>100</v>
      </c>
      <c r="J1033" s="25">
        <v>1040</v>
      </c>
      <c r="K1033" s="25">
        <v>800</v>
      </c>
      <c r="L1033" s="25">
        <v>240</v>
      </c>
      <c r="M1033" s="27">
        <v>30</v>
      </c>
      <c r="N1033" s="25" t="s">
        <v>63</v>
      </c>
      <c r="O1033" s="25" t="s">
        <v>27</v>
      </c>
      <c r="P1033" s="25" t="s">
        <v>32</v>
      </c>
    </row>
    <row r="1034" spans="1:16" x14ac:dyDescent="0.3">
      <c r="A1034" s="25">
        <v>1033</v>
      </c>
      <c r="B1034" s="26">
        <v>45514</v>
      </c>
      <c r="C1034" s="25" t="s">
        <v>64</v>
      </c>
      <c r="D1034" s="25" t="s">
        <v>21</v>
      </c>
      <c r="E1034" s="25" t="s">
        <v>88</v>
      </c>
      <c r="F1034" s="25">
        <v>8</v>
      </c>
      <c r="G1034" s="25" t="s">
        <v>89</v>
      </c>
      <c r="H1034" s="25">
        <v>130</v>
      </c>
      <c r="I1034" s="25">
        <v>100</v>
      </c>
      <c r="J1034" s="25">
        <v>1040</v>
      </c>
      <c r="K1034" s="25">
        <v>800</v>
      </c>
      <c r="L1034" s="25">
        <v>240</v>
      </c>
      <c r="M1034" s="27">
        <v>30</v>
      </c>
      <c r="N1034" s="25" t="s">
        <v>63</v>
      </c>
      <c r="O1034" s="25" t="s">
        <v>27</v>
      </c>
      <c r="P1034" s="25" t="s">
        <v>32</v>
      </c>
    </row>
    <row r="1035" spans="1:16" x14ac:dyDescent="0.3">
      <c r="A1035" s="25">
        <v>1034</v>
      </c>
      <c r="B1035" s="26">
        <v>45514</v>
      </c>
      <c r="C1035" s="25" t="s">
        <v>64</v>
      </c>
      <c r="D1035" s="25" t="s">
        <v>21</v>
      </c>
      <c r="E1035" s="25" t="s">
        <v>88</v>
      </c>
      <c r="F1035" s="25">
        <v>6</v>
      </c>
      <c r="G1035" s="25" t="s">
        <v>89</v>
      </c>
      <c r="H1035" s="25">
        <v>130</v>
      </c>
      <c r="I1035" s="25">
        <v>100</v>
      </c>
      <c r="J1035" s="25">
        <v>780</v>
      </c>
      <c r="K1035" s="25">
        <v>600</v>
      </c>
      <c r="L1035" s="25">
        <v>180</v>
      </c>
      <c r="M1035" s="27">
        <v>30</v>
      </c>
      <c r="N1035" s="25" t="s">
        <v>63</v>
      </c>
      <c r="O1035" s="25" t="s">
        <v>27</v>
      </c>
      <c r="P1035" s="25" t="s">
        <v>32</v>
      </c>
    </row>
    <row r="1036" spans="1:16" x14ac:dyDescent="0.3">
      <c r="A1036" s="25">
        <v>1035</v>
      </c>
      <c r="B1036" s="26">
        <v>45514</v>
      </c>
      <c r="C1036" s="25" t="s">
        <v>64</v>
      </c>
      <c r="D1036" s="25" t="s">
        <v>21</v>
      </c>
      <c r="E1036" s="25" t="s">
        <v>94</v>
      </c>
      <c r="F1036" s="25">
        <v>18</v>
      </c>
      <c r="G1036" s="25" t="s">
        <v>89</v>
      </c>
      <c r="H1036" s="25">
        <v>30</v>
      </c>
      <c r="I1036" s="25">
        <v>26</v>
      </c>
      <c r="J1036" s="25">
        <v>540</v>
      </c>
      <c r="K1036" s="25">
        <v>468</v>
      </c>
      <c r="L1036" s="25">
        <v>72</v>
      </c>
      <c r="M1036" s="27">
        <v>15.384615384615399</v>
      </c>
      <c r="N1036" s="25" t="s">
        <v>63</v>
      </c>
      <c r="O1036" s="25" t="s">
        <v>27</v>
      </c>
      <c r="P1036" s="25" t="s">
        <v>32</v>
      </c>
    </row>
    <row r="1037" spans="1:16" x14ac:dyDescent="0.3">
      <c r="A1037" s="25">
        <v>1036</v>
      </c>
      <c r="B1037" s="26">
        <v>45514</v>
      </c>
      <c r="C1037" s="25" t="s">
        <v>64</v>
      </c>
      <c r="D1037" s="25" t="s">
        <v>21</v>
      </c>
      <c r="E1037" s="25" t="s">
        <v>93</v>
      </c>
      <c r="F1037" s="25">
        <v>4</v>
      </c>
      <c r="G1037" s="25" t="s">
        <v>89</v>
      </c>
      <c r="H1037" s="25">
        <v>250</v>
      </c>
      <c r="I1037" s="25">
        <v>180</v>
      </c>
      <c r="J1037" s="25">
        <v>1000</v>
      </c>
      <c r="K1037" s="25">
        <v>720</v>
      </c>
      <c r="L1037" s="25">
        <v>280</v>
      </c>
      <c r="M1037" s="27">
        <v>38.8888888888889</v>
      </c>
      <c r="N1037" s="25" t="s">
        <v>63</v>
      </c>
      <c r="O1037" s="25" t="s">
        <v>27</v>
      </c>
      <c r="P1037" s="25" t="s">
        <v>32</v>
      </c>
    </row>
    <row r="1038" spans="1:16" x14ac:dyDescent="0.3">
      <c r="A1038" s="25">
        <v>1037</v>
      </c>
      <c r="B1038" s="26">
        <v>45514</v>
      </c>
      <c r="C1038" s="25" t="s">
        <v>64</v>
      </c>
      <c r="D1038" s="25" t="s">
        <v>21</v>
      </c>
      <c r="E1038" s="25" t="s">
        <v>94</v>
      </c>
      <c r="F1038" s="25">
        <v>10</v>
      </c>
      <c r="G1038" s="25" t="s">
        <v>89</v>
      </c>
      <c r="H1038" s="25">
        <v>30</v>
      </c>
      <c r="I1038" s="25">
        <v>26</v>
      </c>
      <c r="J1038" s="25">
        <v>300</v>
      </c>
      <c r="K1038" s="25">
        <v>260</v>
      </c>
      <c r="L1038" s="25">
        <v>40</v>
      </c>
      <c r="M1038" s="27">
        <v>15.384615384615399</v>
      </c>
      <c r="N1038" s="25" t="s">
        <v>63</v>
      </c>
      <c r="O1038" s="25" t="s">
        <v>27</v>
      </c>
      <c r="P1038" s="25" t="s">
        <v>32</v>
      </c>
    </row>
    <row r="1039" spans="1:16" x14ac:dyDescent="0.3">
      <c r="A1039" s="25">
        <v>1038</v>
      </c>
      <c r="B1039" s="26">
        <v>45516</v>
      </c>
      <c r="C1039" s="25" t="s">
        <v>64</v>
      </c>
      <c r="D1039" s="25" t="s">
        <v>21</v>
      </c>
      <c r="E1039" s="25" t="s">
        <v>88</v>
      </c>
      <c r="F1039" s="25">
        <v>3</v>
      </c>
      <c r="G1039" s="25" t="s">
        <v>89</v>
      </c>
      <c r="H1039" s="25">
        <v>130</v>
      </c>
      <c r="I1039" s="25">
        <v>100</v>
      </c>
      <c r="J1039" s="25">
        <v>390</v>
      </c>
      <c r="K1039" s="25">
        <v>300</v>
      </c>
      <c r="L1039" s="25">
        <v>90</v>
      </c>
      <c r="M1039" s="27">
        <v>30</v>
      </c>
      <c r="N1039" s="25" t="s">
        <v>63</v>
      </c>
      <c r="O1039" s="25" t="s">
        <v>27</v>
      </c>
      <c r="P1039" s="25" t="s">
        <v>32</v>
      </c>
    </row>
    <row r="1040" spans="1:16" x14ac:dyDescent="0.3">
      <c r="A1040" s="25">
        <v>1039</v>
      </c>
      <c r="B1040" s="26">
        <v>45516</v>
      </c>
      <c r="C1040" s="25" t="s">
        <v>64</v>
      </c>
      <c r="D1040" s="25" t="s">
        <v>21</v>
      </c>
      <c r="E1040" s="25" t="s">
        <v>95</v>
      </c>
      <c r="F1040" s="25">
        <v>5</v>
      </c>
      <c r="G1040" s="25" t="s">
        <v>89</v>
      </c>
      <c r="H1040" s="25">
        <v>150</v>
      </c>
      <c r="I1040" s="25">
        <v>100</v>
      </c>
      <c r="J1040" s="25">
        <v>750</v>
      </c>
      <c r="K1040" s="25">
        <v>500</v>
      </c>
      <c r="L1040" s="25">
        <v>250</v>
      </c>
      <c r="M1040" s="27">
        <v>50</v>
      </c>
      <c r="N1040" s="25" t="s">
        <v>63</v>
      </c>
      <c r="O1040" s="25" t="s">
        <v>28</v>
      </c>
      <c r="P1040" s="25" t="s">
        <v>32</v>
      </c>
    </row>
    <row r="1041" spans="1:16" x14ac:dyDescent="0.3">
      <c r="A1041" s="25">
        <v>1040</v>
      </c>
      <c r="B1041" s="26">
        <v>45516</v>
      </c>
      <c r="C1041" s="25" t="s">
        <v>64</v>
      </c>
      <c r="D1041" s="25" t="s">
        <v>21</v>
      </c>
      <c r="E1041" s="25" t="s">
        <v>94</v>
      </c>
      <c r="F1041" s="25">
        <v>14</v>
      </c>
      <c r="G1041" s="25" t="s">
        <v>89</v>
      </c>
      <c r="H1041" s="25">
        <v>30</v>
      </c>
      <c r="I1041" s="25">
        <v>26</v>
      </c>
      <c r="J1041" s="25">
        <v>420</v>
      </c>
      <c r="K1041" s="25">
        <v>364</v>
      </c>
      <c r="L1041" s="25">
        <v>56</v>
      </c>
      <c r="M1041" s="27">
        <v>15.384615384615399</v>
      </c>
      <c r="N1041" s="25" t="s">
        <v>63</v>
      </c>
      <c r="O1041" s="25" t="s">
        <v>27</v>
      </c>
      <c r="P1041" s="25" t="s">
        <v>32</v>
      </c>
    </row>
    <row r="1042" spans="1:16" x14ac:dyDescent="0.3">
      <c r="A1042" s="25">
        <v>1041</v>
      </c>
      <c r="B1042" s="26">
        <v>45516</v>
      </c>
      <c r="C1042" s="25" t="s">
        <v>64</v>
      </c>
      <c r="D1042" s="25" t="s">
        <v>21</v>
      </c>
      <c r="E1042" s="25" t="s">
        <v>88</v>
      </c>
      <c r="F1042" s="25">
        <v>3</v>
      </c>
      <c r="G1042" s="25" t="s">
        <v>89</v>
      </c>
      <c r="H1042" s="25">
        <v>130</v>
      </c>
      <c r="I1042" s="25">
        <v>100</v>
      </c>
      <c r="J1042" s="25">
        <v>390</v>
      </c>
      <c r="K1042" s="25">
        <v>300</v>
      </c>
      <c r="L1042" s="25">
        <v>90</v>
      </c>
      <c r="M1042" s="27">
        <v>30</v>
      </c>
      <c r="N1042" s="25" t="s">
        <v>63</v>
      </c>
      <c r="O1042" s="25" t="s">
        <v>27</v>
      </c>
      <c r="P1042" s="25" t="s">
        <v>32</v>
      </c>
    </row>
    <row r="1043" spans="1:16" x14ac:dyDescent="0.3">
      <c r="A1043" s="25">
        <v>1042</v>
      </c>
      <c r="B1043" s="26">
        <v>45516</v>
      </c>
      <c r="C1043" s="25" t="s">
        <v>64</v>
      </c>
      <c r="D1043" s="25" t="s">
        <v>21</v>
      </c>
      <c r="E1043" s="25" t="s">
        <v>88</v>
      </c>
      <c r="F1043" s="25">
        <v>6</v>
      </c>
      <c r="G1043" s="25" t="s">
        <v>89</v>
      </c>
      <c r="H1043" s="25">
        <v>130</v>
      </c>
      <c r="I1043" s="25">
        <v>100</v>
      </c>
      <c r="J1043" s="25">
        <v>780</v>
      </c>
      <c r="K1043" s="25">
        <v>600</v>
      </c>
      <c r="L1043" s="25">
        <v>180</v>
      </c>
      <c r="M1043" s="27">
        <v>30</v>
      </c>
      <c r="N1043" s="25" t="s">
        <v>63</v>
      </c>
      <c r="O1043" s="25" t="s">
        <v>27</v>
      </c>
      <c r="P1043" s="25" t="s">
        <v>32</v>
      </c>
    </row>
    <row r="1044" spans="1:16" x14ac:dyDescent="0.3">
      <c r="A1044" s="25">
        <v>1043</v>
      </c>
      <c r="B1044" s="26">
        <v>45519</v>
      </c>
      <c r="C1044" s="25" t="s">
        <v>64</v>
      </c>
      <c r="D1044" s="25" t="s">
        <v>21</v>
      </c>
      <c r="E1044" s="25" t="s">
        <v>93</v>
      </c>
      <c r="F1044" s="25">
        <v>8</v>
      </c>
      <c r="G1044" s="25" t="s">
        <v>89</v>
      </c>
      <c r="H1044" s="25">
        <v>250</v>
      </c>
      <c r="I1044" s="25">
        <v>180</v>
      </c>
      <c r="J1044" s="25">
        <v>2000</v>
      </c>
      <c r="K1044" s="25">
        <v>1440</v>
      </c>
      <c r="L1044" s="25">
        <v>560</v>
      </c>
      <c r="M1044" s="27">
        <v>38.8888888888889</v>
      </c>
      <c r="N1044" s="25" t="s">
        <v>63</v>
      </c>
      <c r="O1044" s="25" t="s">
        <v>27</v>
      </c>
      <c r="P1044" s="25" t="s">
        <v>32</v>
      </c>
    </row>
    <row r="1045" spans="1:16" x14ac:dyDescent="0.3">
      <c r="A1045" s="25">
        <v>1044</v>
      </c>
      <c r="B1045" s="26">
        <v>45519</v>
      </c>
      <c r="C1045" s="25" t="s">
        <v>64</v>
      </c>
      <c r="D1045" s="25" t="s">
        <v>21</v>
      </c>
      <c r="E1045" s="25" t="s">
        <v>88</v>
      </c>
      <c r="F1045" s="25">
        <v>4</v>
      </c>
      <c r="G1045" s="25" t="s">
        <v>89</v>
      </c>
      <c r="H1045" s="25">
        <v>130</v>
      </c>
      <c r="I1045" s="25">
        <v>100</v>
      </c>
      <c r="J1045" s="25">
        <v>520</v>
      </c>
      <c r="K1045" s="25">
        <v>400</v>
      </c>
      <c r="L1045" s="25">
        <v>120</v>
      </c>
      <c r="M1045" s="27">
        <v>30</v>
      </c>
      <c r="N1045" s="25" t="s">
        <v>63</v>
      </c>
      <c r="O1045" s="25" t="s">
        <v>27</v>
      </c>
      <c r="P1045" s="25" t="s">
        <v>32</v>
      </c>
    </row>
    <row r="1046" spans="1:16" x14ac:dyDescent="0.3">
      <c r="A1046" s="25">
        <v>1045</v>
      </c>
      <c r="B1046" s="26">
        <v>45519</v>
      </c>
      <c r="C1046" s="25" t="s">
        <v>64</v>
      </c>
      <c r="D1046" s="25" t="s">
        <v>21</v>
      </c>
      <c r="E1046" s="25" t="s">
        <v>88</v>
      </c>
      <c r="F1046" s="25">
        <v>2</v>
      </c>
      <c r="G1046" s="25" t="s">
        <v>89</v>
      </c>
      <c r="H1046" s="25">
        <v>130</v>
      </c>
      <c r="I1046" s="25">
        <v>100</v>
      </c>
      <c r="J1046" s="25">
        <v>260</v>
      </c>
      <c r="K1046" s="25">
        <v>200</v>
      </c>
      <c r="L1046" s="25">
        <v>60</v>
      </c>
      <c r="M1046" s="27">
        <v>30</v>
      </c>
      <c r="N1046" s="25" t="s">
        <v>63</v>
      </c>
      <c r="O1046" s="25" t="s">
        <v>27</v>
      </c>
      <c r="P1046" s="25" t="s">
        <v>32</v>
      </c>
    </row>
    <row r="1047" spans="1:16" x14ac:dyDescent="0.3">
      <c r="A1047" s="25">
        <v>1046</v>
      </c>
      <c r="B1047" s="26">
        <v>45519</v>
      </c>
      <c r="C1047" s="25" t="s">
        <v>64</v>
      </c>
      <c r="D1047" s="25" t="s">
        <v>21</v>
      </c>
      <c r="E1047" s="25" t="s">
        <v>88</v>
      </c>
      <c r="F1047" s="25">
        <v>5</v>
      </c>
      <c r="G1047" s="25" t="s">
        <v>89</v>
      </c>
      <c r="H1047" s="25">
        <v>130</v>
      </c>
      <c r="I1047" s="25">
        <v>100</v>
      </c>
      <c r="J1047" s="25">
        <v>650</v>
      </c>
      <c r="K1047" s="25">
        <v>500</v>
      </c>
      <c r="L1047" s="25">
        <v>150</v>
      </c>
      <c r="M1047" s="27">
        <v>30</v>
      </c>
      <c r="N1047" s="25" t="s">
        <v>63</v>
      </c>
      <c r="O1047" s="25" t="s">
        <v>27</v>
      </c>
      <c r="P1047" s="25" t="s">
        <v>32</v>
      </c>
    </row>
    <row r="1048" spans="1:16" x14ac:dyDescent="0.3">
      <c r="A1048" s="25">
        <v>1047</v>
      </c>
      <c r="B1048" s="26">
        <v>45520</v>
      </c>
      <c r="C1048" s="25" t="s">
        <v>64</v>
      </c>
      <c r="D1048" s="25" t="s">
        <v>21</v>
      </c>
      <c r="E1048" s="25" t="s">
        <v>95</v>
      </c>
      <c r="F1048" s="25">
        <v>4</v>
      </c>
      <c r="G1048" s="25" t="s">
        <v>89</v>
      </c>
      <c r="H1048" s="25">
        <v>150</v>
      </c>
      <c r="I1048" s="25">
        <v>100</v>
      </c>
      <c r="J1048" s="25">
        <v>600</v>
      </c>
      <c r="K1048" s="25">
        <v>400</v>
      </c>
      <c r="L1048" s="25">
        <v>200</v>
      </c>
      <c r="M1048" s="27">
        <v>50</v>
      </c>
      <c r="N1048" s="25" t="s">
        <v>63</v>
      </c>
      <c r="O1048" s="25" t="s">
        <v>28</v>
      </c>
      <c r="P1048" s="25" t="s">
        <v>32</v>
      </c>
    </row>
    <row r="1049" spans="1:16" x14ac:dyDescent="0.3">
      <c r="A1049" s="25">
        <v>1048</v>
      </c>
      <c r="B1049" s="26">
        <v>45520</v>
      </c>
      <c r="C1049" s="25" t="s">
        <v>64</v>
      </c>
      <c r="D1049" s="25" t="s">
        <v>21</v>
      </c>
      <c r="E1049" s="25" t="s">
        <v>88</v>
      </c>
      <c r="F1049" s="25">
        <v>8</v>
      </c>
      <c r="G1049" s="25" t="s">
        <v>89</v>
      </c>
      <c r="H1049" s="25">
        <v>130</v>
      </c>
      <c r="I1049" s="25">
        <v>100</v>
      </c>
      <c r="J1049" s="25">
        <v>1040</v>
      </c>
      <c r="K1049" s="25">
        <v>800</v>
      </c>
      <c r="L1049" s="25">
        <v>240</v>
      </c>
      <c r="M1049" s="27">
        <v>30</v>
      </c>
      <c r="N1049" s="25" t="s">
        <v>63</v>
      </c>
      <c r="O1049" s="25" t="s">
        <v>27</v>
      </c>
      <c r="P1049" s="25" t="s">
        <v>32</v>
      </c>
    </row>
    <row r="1050" spans="1:16" x14ac:dyDescent="0.3">
      <c r="A1050" s="25">
        <v>1049</v>
      </c>
      <c r="B1050" s="26">
        <v>45520</v>
      </c>
      <c r="C1050" s="25" t="s">
        <v>64</v>
      </c>
      <c r="D1050" s="25" t="s">
        <v>21</v>
      </c>
      <c r="E1050" s="25" t="s">
        <v>94</v>
      </c>
      <c r="F1050" s="25">
        <v>14</v>
      </c>
      <c r="G1050" s="25" t="s">
        <v>89</v>
      </c>
      <c r="H1050" s="25">
        <v>30</v>
      </c>
      <c r="I1050" s="25">
        <v>26</v>
      </c>
      <c r="J1050" s="25">
        <v>420</v>
      </c>
      <c r="K1050" s="25">
        <v>364</v>
      </c>
      <c r="L1050" s="25">
        <v>56</v>
      </c>
      <c r="M1050" s="27">
        <v>15.384615384615399</v>
      </c>
      <c r="N1050" s="25" t="s">
        <v>63</v>
      </c>
      <c r="O1050" s="25" t="s">
        <v>27</v>
      </c>
      <c r="P1050" s="25" t="s">
        <v>32</v>
      </c>
    </row>
    <row r="1051" spans="1:16" x14ac:dyDescent="0.3">
      <c r="A1051" s="25">
        <v>1050</v>
      </c>
      <c r="B1051" s="26">
        <v>45520</v>
      </c>
      <c r="C1051" s="25" t="s">
        <v>64</v>
      </c>
      <c r="D1051" s="25" t="s">
        <v>21</v>
      </c>
      <c r="E1051" s="25" t="s">
        <v>93</v>
      </c>
      <c r="F1051" s="25">
        <v>3</v>
      </c>
      <c r="G1051" s="25" t="s">
        <v>89</v>
      </c>
      <c r="H1051" s="25">
        <v>250</v>
      </c>
      <c r="I1051" s="25">
        <v>180</v>
      </c>
      <c r="J1051" s="25">
        <v>750</v>
      </c>
      <c r="K1051" s="25">
        <v>540</v>
      </c>
      <c r="L1051" s="25">
        <v>210</v>
      </c>
      <c r="M1051" s="27">
        <v>38.8888888888889</v>
      </c>
      <c r="N1051" s="25" t="s">
        <v>63</v>
      </c>
      <c r="O1051" s="25" t="s">
        <v>27</v>
      </c>
      <c r="P1051" s="25" t="s">
        <v>32</v>
      </c>
    </row>
    <row r="1052" spans="1:16" x14ac:dyDescent="0.3">
      <c r="A1052" s="25">
        <v>1051</v>
      </c>
      <c r="B1052" s="26">
        <v>45520</v>
      </c>
      <c r="C1052" s="25" t="s">
        <v>64</v>
      </c>
      <c r="D1052" s="25" t="s">
        <v>21</v>
      </c>
      <c r="E1052" s="25" t="s">
        <v>88</v>
      </c>
      <c r="F1052" s="25">
        <v>7</v>
      </c>
      <c r="G1052" s="25" t="s">
        <v>89</v>
      </c>
      <c r="H1052" s="25">
        <v>130</v>
      </c>
      <c r="I1052" s="25">
        <v>100</v>
      </c>
      <c r="J1052" s="25">
        <v>910</v>
      </c>
      <c r="K1052" s="25">
        <v>700</v>
      </c>
      <c r="L1052" s="25">
        <v>210</v>
      </c>
      <c r="M1052" s="27">
        <v>30</v>
      </c>
      <c r="N1052" s="25" t="s">
        <v>63</v>
      </c>
      <c r="O1052" s="25" t="s">
        <v>27</v>
      </c>
      <c r="P1052" s="25" t="s">
        <v>32</v>
      </c>
    </row>
    <row r="1053" spans="1:16" x14ac:dyDescent="0.3">
      <c r="A1053" s="25">
        <v>1052</v>
      </c>
      <c r="B1053" s="26">
        <v>45521</v>
      </c>
      <c r="C1053" s="25" t="s">
        <v>64</v>
      </c>
      <c r="D1053" s="25" t="s">
        <v>21</v>
      </c>
      <c r="E1053" s="25" t="s">
        <v>88</v>
      </c>
      <c r="F1053" s="25">
        <v>8</v>
      </c>
      <c r="G1053" s="25" t="s">
        <v>89</v>
      </c>
      <c r="H1053" s="25">
        <v>130</v>
      </c>
      <c r="I1053" s="25">
        <v>100</v>
      </c>
      <c r="J1053" s="25">
        <v>1040</v>
      </c>
      <c r="K1053" s="25">
        <v>800</v>
      </c>
      <c r="L1053" s="25">
        <v>240</v>
      </c>
      <c r="M1053" s="27">
        <v>30</v>
      </c>
      <c r="N1053" s="25" t="s">
        <v>63</v>
      </c>
      <c r="O1053" s="25" t="s">
        <v>27</v>
      </c>
      <c r="P1053" s="25" t="s">
        <v>32</v>
      </c>
    </row>
    <row r="1054" spans="1:16" x14ac:dyDescent="0.3">
      <c r="A1054" s="25">
        <v>1053</v>
      </c>
      <c r="B1054" s="26">
        <v>45521</v>
      </c>
      <c r="C1054" s="25" t="s">
        <v>64</v>
      </c>
      <c r="D1054" s="25" t="s">
        <v>21</v>
      </c>
      <c r="E1054" s="25" t="s">
        <v>88</v>
      </c>
      <c r="F1054" s="25">
        <v>4</v>
      </c>
      <c r="G1054" s="25" t="s">
        <v>89</v>
      </c>
      <c r="H1054" s="25">
        <v>130</v>
      </c>
      <c r="I1054" s="25">
        <v>100</v>
      </c>
      <c r="J1054" s="25">
        <v>520</v>
      </c>
      <c r="K1054" s="25">
        <v>400</v>
      </c>
      <c r="L1054" s="25">
        <v>120</v>
      </c>
      <c r="M1054" s="27">
        <v>30</v>
      </c>
      <c r="N1054" s="25" t="s">
        <v>63</v>
      </c>
      <c r="O1054" s="25" t="s">
        <v>27</v>
      </c>
      <c r="P1054" s="25" t="s">
        <v>32</v>
      </c>
    </row>
    <row r="1055" spans="1:16" x14ac:dyDescent="0.3">
      <c r="A1055" s="25">
        <v>1054</v>
      </c>
      <c r="B1055" s="26">
        <v>45521</v>
      </c>
      <c r="C1055" s="25" t="s">
        <v>64</v>
      </c>
      <c r="D1055" s="25" t="s">
        <v>21</v>
      </c>
      <c r="E1055" s="25" t="s">
        <v>88</v>
      </c>
      <c r="F1055" s="25">
        <v>9</v>
      </c>
      <c r="G1055" s="25" t="s">
        <v>89</v>
      </c>
      <c r="H1055" s="25">
        <v>130</v>
      </c>
      <c r="I1055" s="25">
        <v>100</v>
      </c>
      <c r="J1055" s="25">
        <v>1170</v>
      </c>
      <c r="K1055" s="25">
        <v>900</v>
      </c>
      <c r="L1055" s="25">
        <v>270</v>
      </c>
      <c r="M1055" s="27">
        <v>30</v>
      </c>
      <c r="N1055" s="25" t="s">
        <v>63</v>
      </c>
      <c r="O1055" s="25" t="s">
        <v>27</v>
      </c>
      <c r="P1055" s="25" t="s">
        <v>32</v>
      </c>
    </row>
    <row r="1056" spans="1:16" x14ac:dyDescent="0.3">
      <c r="A1056" s="25">
        <v>1055</v>
      </c>
      <c r="B1056" s="26">
        <v>45521</v>
      </c>
      <c r="C1056" s="25" t="s">
        <v>64</v>
      </c>
      <c r="D1056" s="25" t="s">
        <v>21</v>
      </c>
      <c r="E1056" s="25" t="s">
        <v>94</v>
      </c>
      <c r="F1056" s="25">
        <v>18</v>
      </c>
      <c r="G1056" s="25" t="s">
        <v>89</v>
      </c>
      <c r="H1056" s="25">
        <v>30</v>
      </c>
      <c r="I1056" s="25">
        <v>26</v>
      </c>
      <c r="J1056" s="25">
        <v>540</v>
      </c>
      <c r="K1056" s="25">
        <v>468</v>
      </c>
      <c r="L1056" s="25">
        <v>72</v>
      </c>
      <c r="M1056" s="27">
        <v>15.384615384615399</v>
      </c>
      <c r="N1056" s="25" t="s">
        <v>63</v>
      </c>
      <c r="O1056" s="25" t="s">
        <v>27</v>
      </c>
      <c r="P1056" s="25" t="s">
        <v>32</v>
      </c>
    </row>
    <row r="1057" spans="1:16" x14ac:dyDescent="0.3">
      <c r="A1057" s="25">
        <v>1056</v>
      </c>
      <c r="B1057" s="26">
        <v>45521</v>
      </c>
      <c r="C1057" s="25" t="s">
        <v>64</v>
      </c>
      <c r="D1057" s="25" t="s">
        <v>21</v>
      </c>
      <c r="E1057" s="25" t="s">
        <v>95</v>
      </c>
      <c r="F1057" s="25">
        <v>4</v>
      </c>
      <c r="G1057" s="25" t="s">
        <v>89</v>
      </c>
      <c r="H1057" s="25">
        <v>150</v>
      </c>
      <c r="I1057" s="25">
        <v>100</v>
      </c>
      <c r="J1057" s="25">
        <v>600</v>
      </c>
      <c r="K1057" s="25">
        <v>400</v>
      </c>
      <c r="L1057" s="25">
        <v>200</v>
      </c>
      <c r="M1057" s="27">
        <v>50</v>
      </c>
      <c r="N1057" s="25" t="s">
        <v>63</v>
      </c>
      <c r="O1057" s="25" t="s">
        <v>28</v>
      </c>
      <c r="P1057" s="25" t="s">
        <v>32</v>
      </c>
    </row>
    <row r="1058" spans="1:16" x14ac:dyDescent="0.3">
      <c r="A1058" s="25">
        <v>1057</v>
      </c>
      <c r="B1058" s="26">
        <v>45522</v>
      </c>
      <c r="C1058" s="25" t="s">
        <v>64</v>
      </c>
      <c r="D1058" s="25" t="s">
        <v>21</v>
      </c>
      <c r="E1058" s="25" t="s">
        <v>88</v>
      </c>
      <c r="F1058" s="25">
        <v>7</v>
      </c>
      <c r="G1058" s="25" t="s">
        <v>89</v>
      </c>
      <c r="H1058" s="25">
        <v>130</v>
      </c>
      <c r="I1058" s="25">
        <v>100</v>
      </c>
      <c r="J1058" s="25">
        <v>910</v>
      </c>
      <c r="K1058" s="25">
        <v>700</v>
      </c>
      <c r="L1058" s="25">
        <v>210</v>
      </c>
      <c r="M1058" s="27">
        <v>30</v>
      </c>
      <c r="N1058" s="25" t="s">
        <v>63</v>
      </c>
      <c r="O1058" s="25" t="s">
        <v>27</v>
      </c>
      <c r="P1058" s="25" t="s">
        <v>32</v>
      </c>
    </row>
    <row r="1059" spans="1:16" x14ac:dyDescent="0.3">
      <c r="A1059" s="25">
        <v>1058</v>
      </c>
      <c r="B1059" s="26">
        <v>45522</v>
      </c>
      <c r="C1059" s="25" t="s">
        <v>64</v>
      </c>
      <c r="D1059" s="25" t="s">
        <v>21</v>
      </c>
      <c r="E1059" s="25" t="s">
        <v>93</v>
      </c>
      <c r="F1059" s="25">
        <v>4</v>
      </c>
      <c r="G1059" s="25" t="s">
        <v>89</v>
      </c>
      <c r="H1059" s="25">
        <v>250</v>
      </c>
      <c r="I1059" s="25">
        <v>180</v>
      </c>
      <c r="J1059" s="25">
        <v>1000</v>
      </c>
      <c r="K1059" s="25">
        <v>720</v>
      </c>
      <c r="L1059" s="25">
        <v>280</v>
      </c>
      <c r="M1059" s="27">
        <v>38.8888888888889</v>
      </c>
      <c r="N1059" s="25" t="s">
        <v>63</v>
      </c>
      <c r="O1059" s="25" t="s">
        <v>27</v>
      </c>
      <c r="P1059" s="25" t="s">
        <v>32</v>
      </c>
    </row>
    <row r="1060" spans="1:16" x14ac:dyDescent="0.3">
      <c r="A1060" s="25">
        <v>1059</v>
      </c>
      <c r="B1060" s="26">
        <v>45522</v>
      </c>
      <c r="C1060" s="25" t="s">
        <v>64</v>
      </c>
      <c r="D1060" s="25" t="s">
        <v>21</v>
      </c>
      <c r="E1060" s="25" t="s">
        <v>88</v>
      </c>
      <c r="F1060" s="25">
        <v>9</v>
      </c>
      <c r="G1060" s="25" t="s">
        <v>89</v>
      </c>
      <c r="H1060" s="25">
        <v>130</v>
      </c>
      <c r="I1060" s="25">
        <v>100</v>
      </c>
      <c r="J1060" s="25">
        <v>1170</v>
      </c>
      <c r="K1060" s="25">
        <v>900</v>
      </c>
      <c r="L1060" s="25">
        <v>270</v>
      </c>
      <c r="M1060" s="27">
        <v>30</v>
      </c>
      <c r="N1060" s="25" t="s">
        <v>63</v>
      </c>
      <c r="O1060" s="25" t="s">
        <v>27</v>
      </c>
      <c r="P1060" s="25" t="s">
        <v>32</v>
      </c>
    </row>
    <row r="1061" spans="1:16" x14ac:dyDescent="0.3">
      <c r="A1061" s="25">
        <v>1060</v>
      </c>
      <c r="B1061" s="26">
        <v>45522</v>
      </c>
      <c r="C1061" s="25" t="s">
        <v>64</v>
      </c>
      <c r="D1061" s="25" t="s">
        <v>21</v>
      </c>
      <c r="E1061" s="25" t="s">
        <v>88</v>
      </c>
      <c r="F1061" s="25">
        <v>5</v>
      </c>
      <c r="G1061" s="25" t="s">
        <v>89</v>
      </c>
      <c r="H1061" s="25">
        <v>130</v>
      </c>
      <c r="I1061" s="25">
        <v>100</v>
      </c>
      <c r="J1061" s="25">
        <v>650</v>
      </c>
      <c r="K1061" s="25">
        <v>500</v>
      </c>
      <c r="L1061" s="25">
        <v>150</v>
      </c>
      <c r="M1061" s="27">
        <v>30</v>
      </c>
      <c r="N1061" s="25" t="s">
        <v>63</v>
      </c>
      <c r="O1061" s="25" t="s">
        <v>27</v>
      </c>
      <c r="P1061" s="25" t="s">
        <v>32</v>
      </c>
    </row>
    <row r="1062" spans="1:16" x14ac:dyDescent="0.3">
      <c r="A1062" s="25">
        <v>1061</v>
      </c>
      <c r="B1062" s="26">
        <v>45522</v>
      </c>
      <c r="C1062" s="25" t="s">
        <v>64</v>
      </c>
      <c r="D1062" s="25" t="s">
        <v>21</v>
      </c>
      <c r="E1062" s="25" t="s">
        <v>95</v>
      </c>
      <c r="F1062" s="25">
        <v>5</v>
      </c>
      <c r="G1062" s="25" t="s">
        <v>89</v>
      </c>
      <c r="H1062" s="25">
        <v>150</v>
      </c>
      <c r="I1062" s="25">
        <v>100</v>
      </c>
      <c r="J1062" s="25">
        <v>750</v>
      </c>
      <c r="K1062" s="25">
        <v>500</v>
      </c>
      <c r="L1062" s="25">
        <v>250</v>
      </c>
      <c r="M1062" s="27">
        <v>50</v>
      </c>
      <c r="N1062" s="25" t="s">
        <v>63</v>
      </c>
      <c r="O1062" s="25" t="s">
        <v>28</v>
      </c>
      <c r="P1062" s="25" t="s">
        <v>32</v>
      </c>
    </row>
    <row r="1063" spans="1:16" x14ac:dyDescent="0.3">
      <c r="A1063" s="25">
        <v>1062</v>
      </c>
      <c r="B1063" s="26">
        <v>45523</v>
      </c>
      <c r="C1063" s="25" t="s">
        <v>64</v>
      </c>
      <c r="D1063" s="25" t="s">
        <v>21</v>
      </c>
      <c r="E1063" s="25" t="s">
        <v>88</v>
      </c>
      <c r="F1063" s="25">
        <v>7</v>
      </c>
      <c r="G1063" s="25" t="s">
        <v>89</v>
      </c>
      <c r="H1063" s="25">
        <v>130</v>
      </c>
      <c r="I1063" s="25">
        <v>100</v>
      </c>
      <c r="J1063" s="25">
        <v>910</v>
      </c>
      <c r="K1063" s="25">
        <v>700</v>
      </c>
      <c r="L1063" s="25">
        <v>210</v>
      </c>
      <c r="M1063" s="27">
        <v>30</v>
      </c>
      <c r="N1063" s="25" t="s">
        <v>63</v>
      </c>
      <c r="O1063" s="25" t="s">
        <v>27</v>
      </c>
      <c r="P1063" s="25" t="s">
        <v>32</v>
      </c>
    </row>
    <row r="1064" spans="1:16" x14ac:dyDescent="0.3">
      <c r="A1064" s="25">
        <v>1063</v>
      </c>
      <c r="B1064" s="26">
        <v>45523</v>
      </c>
      <c r="C1064" s="25" t="s">
        <v>64</v>
      </c>
      <c r="D1064" s="25" t="s">
        <v>21</v>
      </c>
      <c r="E1064" s="25" t="s">
        <v>88</v>
      </c>
      <c r="F1064" s="25">
        <v>4</v>
      </c>
      <c r="G1064" s="25" t="s">
        <v>89</v>
      </c>
      <c r="H1064" s="25">
        <v>130</v>
      </c>
      <c r="I1064" s="25">
        <v>100</v>
      </c>
      <c r="J1064" s="25">
        <v>520</v>
      </c>
      <c r="K1064" s="25">
        <v>400</v>
      </c>
      <c r="L1064" s="25">
        <v>120</v>
      </c>
      <c r="M1064" s="27">
        <v>30</v>
      </c>
      <c r="N1064" s="25" t="s">
        <v>63</v>
      </c>
      <c r="O1064" s="25" t="s">
        <v>27</v>
      </c>
      <c r="P1064" s="25" t="s">
        <v>32</v>
      </c>
    </row>
    <row r="1065" spans="1:16" x14ac:dyDescent="0.3">
      <c r="A1065" s="25">
        <v>1064</v>
      </c>
      <c r="B1065" s="26">
        <v>45523</v>
      </c>
      <c r="C1065" s="25" t="s">
        <v>64</v>
      </c>
      <c r="D1065" s="25" t="s">
        <v>21</v>
      </c>
      <c r="E1065" s="25" t="s">
        <v>93</v>
      </c>
      <c r="F1065" s="25">
        <v>4</v>
      </c>
      <c r="G1065" s="25" t="s">
        <v>89</v>
      </c>
      <c r="H1065" s="25">
        <v>250</v>
      </c>
      <c r="I1065" s="25">
        <v>180</v>
      </c>
      <c r="J1065" s="25">
        <v>1000</v>
      </c>
      <c r="K1065" s="25">
        <v>720</v>
      </c>
      <c r="L1065" s="25">
        <v>280</v>
      </c>
      <c r="M1065" s="27">
        <v>38.8888888888889</v>
      </c>
      <c r="N1065" s="25" t="s">
        <v>63</v>
      </c>
      <c r="O1065" s="25" t="s">
        <v>27</v>
      </c>
      <c r="P1065" s="25" t="s">
        <v>32</v>
      </c>
    </row>
    <row r="1066" spans="1:16" x14ac:dyDescent="0.3">
      <c r="A1066" s="25">
        <v>1065</v>
      </c>
      <c r="B1066" s="26">
        <v>45523</v>
      </c>
      <c r="C1066" s="25" t="s">
        <v>64</v>
      </c>
      <c r="D1066" s="25" t="s">
        <v>21</v>
      </c>
      <c r="E1066" s="25" t="s">
        <v>94</v>
      </c>
      <c r="F1066" s="25">
        <v>16</v>
      </c>
      <c r="G1066" s="25" t="s">
        <v>89</v>
      </c>
      <c r="H1066" s="25">
        <v>30</v>
      </c>
      <c r="I1066" s="25">
        <v>26</v>
      </c>
      <c r="J1066" s="25">
        <v>480</v>
      </c>
      <c r="K1066" s="25">
        <v>416</v>
      </c>
      <c r="L1066" s="25">
        <v>64</v>
      </c>
      <c r="M1066" s="27">
        <v>15.384615384615399</v>
      </c>
      <c r="N1066" s="25" t="s">
        <v>63</v>
      </c>
      <c r="O1066" s="25" t="s">
        <v>27</v>
      </c>
      <c r="P1066" s="25" t="s">
        <v>32</v>
      </c>
    </row>
    <row r="1067" spans="1:16" x14ac:dyDescent="0.3">
      <c r="A1067" s="25">
        <v>1066</v>
      </c>
      <c r="B1067" s="26">
        <v>45523</v>
      </c>
      <c r="C1067" s="25" t="s">
        <v>64</v>
      </c>
      <c r="D1067" s="25" t="s">
        <v>21</v>
      </c>
      <c r="E1067" s="25" t="s">
        <v>95</v>
      </c>
      <c r="F1067" s="25">
        <v>5</v>
      </c>
      <c r="G1067" s="25" t="s">
        <v>89</v>
      </c>
      <c r="H1067" s="25">
        <v>150</v>
      </c>
      <c r="I1067" s="25">
        <v>100</v>
      </c>
      <c r="J1067" s="25">
        <v>750</v>
      </c>
      <c r="K1067" s="25">
        <v>500</v>
      </c>
      <c r="L1067" s="25">
        <v>250</v>
      </c>
      <c r="M1067" s="27">
        <v>50</v>
      </c>
      <c r="N1067" s="25" t="s">
        <v>63</v>
      </c>
      <c r="O1067" s="25" t="s">
        <v>28</v>
      </c>
      <c r="P1067" s="25" t="s">
        <v>32</v>
      </c>
    </row>
    <row r="1068" spans="1:16" x14ac:dyDescent="0.3">
      <c r="A1068" s="25">
        <v>1067</v>
      </c>
      <c r="B1068" s="26">
        <v>45524</v>
      </c>
      <c r="C1068" s="25" t="s">
        <v>64</v>
      </c>
      <c r="D1068" s="25" t="s">
        <v>21</v>
      </c>
      <c r="E1068" s="25" t="s">
        <v>88</v>
      </c>
      <c r="F1068" s="25">
        <v>4</v>
      </c>
      <c r="G1068" s="25" t="s">
        <v>89</v>
      </c>
      <c r="H1068" s="25">
        <v>130</v>
      </c>
      <c r="I1068" s="25">
        <v>100</v>
      </c>
      <c r="J1068" s="25">
        <v>520</v>
      </c>
      <c r="K1068" s="25">
        <v>400</v>
      </c>
      <c r="L1068" s="25">
        <v>120</v>
      </c>
      <c r="M1068" s="27">
        <v>30</v>
      </c>
      <c r="N1068" s="25" t="s">
        <v>63</v>
      </c>
      <c r="O1068" s="25" t="s">
        <v>27</v>
      </c>
      <c r="P1068" s="25" t="s">
        <v>32</v>
      </c>
    </row>
    <row r="1069" spans="1:16" x14ac:dyDescent="0.3">
      <c r="A1069" s="25">
        <v>1068</v>
      </c>
      <c r="B1069" s="26">
        <v>45524</v>
      </c>
      <c r="C1069" s="25" t="s">
        <v>64</v>
      </c>
      <c r="D1069" s="25" t="s">
        <v>21</v>
      </c>
      <c r="E1069" s="25" t="s">
        <v>88</v>
      </c>
      <c r="F1069" s="25">
        <v>6</v>
      </c>
      <c r="G1069" s="25" t="s">
        <v>89</v>
      </c>
      <c r="H1069" s="25">
        <v>130</v>
      </c>
      <c r="I1069" s="25">
        <v>100</v>
      </c>
      <c r="J1069" s="25">
        <v>780</v>
      </c>
      <c r="K1069" s="25">
        <v>600</v>
      </c>
      <c r="L1069" s="25">
        <v>180</v>
      </c>
      <c r="M1069" s="27">
        <v>30</v>
      </c>
      <c r="N1069" s="25" t="s">
        <v>63</v>
      </c>
      <c r="O1069" s="25" t="s">
        <v>27</v>
      </c>
      <c r="P1069" s="25" t="s">
        <v>32</v>
      </c>
    </row>
    <row r="1070" spans="1:16" x14ac:dyDescent="0.3">
      <c r="A1070" s="25">
        <v>1069</v>
      </c>
      <c r="B1070" s="26">
        <v>45524</v>
      </c>
      <c r="C1070" s="25" t="s">
        <v>64</v>
      </c>
      <c r="D1070" s="25" t="s">
        <v>21</v>
      </c>
      <c r="E1070" s="25" t="s">
        <v>88</v>
      </c>
      <c r="F1070" s="25">
        <v>4</v>
      </c>
      <c r="G1070" s="25" t="s">
        <v>89</v>
      </c>
      <c r="H1070" s="25">
        <v>130</v>
      </c>
      <c r="I1070" s="25">
        <v>100</v>
      </c>
      <c r="J1070" s="25">
        <v>520</v>
      </c>
      <c r="K1070" s="25">
        <v>400</v>
      </c>
      <c r="L1070" s="25">
        <v>120</v>
      </c>
      <c r="M1070" s="27">
        <v>30</v>
      </c>
      <c r="N1070" s="25" t="s">
        <v>63</v>
      </c>
      <c r="O1070" s="25" t="s">
        <v>27</v>
      </c>
      <c r="P1070" s="25" t="s">
        <v>32</v>
      </c>
    </row>
    <row r="1071" spans="1:16" x14ac:dyDescent="0.3">
      <c r="A1071" s="25">
        <v>1070</v>
      </c>
      <c r="B1071" s="26">
        <v>45524</v>
      </c>
      <c r="C1071" s="25" t="s">
        <v>64</v>
      </c>
      <c r="D1071" s="25" t="s">
        <v>21</v>
      </c>
      <c r="E1071" s="25" t="s">
        <v>94</v>
      </c>
      <c r="F1071" s="25">
        <v>3</v>
      </c>
      <c r="G1071" s="25" t="s">
        <v>89</v>
      </c>
      <c r="H1071" s="25">
        <v>30</v>
      </c>
      <c r="I1071" s="25">
        <v>26</v>
      </c>
      <c r="J1071" s="25">
        <v>90</v>
      </c>
      <c r="K1071" s="25">
        <v>78</v>
      </c>
      <c r="L1071" s="25">
        <v>12</v>
      </c>
      <c r="M1071" s="27">
        <v>15.384615384615399</v>
      </c>
      <c r="N1071" s="25" t="s">
        <v>63</v>
      </c>
      <c r="O1071" s="25" t="s">
        <v>27</v>
      </c>
      <c r="P1071" s="25" t="s">
        <v>32</v>
      </c>
    </row>
    <row r="1072" spans="1:16" x14ac:dyDescent="0.3">
      <c r="A1072" s="25">
        <v>1071</v>
      </c>
      <c r="B1072" s="26">
        <v>45524</v>
      </c>
      <c r="C1072" s="25" t="s">
        <v>64</v>
      </c>
      <c r="D1072" s="25" t="s">
        <v>21</v>
      </c>
      <c r="E1072" s="25" t="s">
        <v>88</v>
      </c>
      <c r="F1072" s="25">
        <v>8</v>
      </c>
      <c r="G1072" s="25" t="s">
        <v>89</v>
      </c>
      <c r="H1072" s="25">
        <v>130</v>
      </c>
      <c r="I1072" s="25">
        <v>100</v>
      </c>
      <c r="J1072" s="25">
        <v>1040</v>
      </c>
      <c r="K1072" s="25">
        <v>800</v>
      </c>
      <c r="L1072" s="25">
        <v>240</v>
      </c>
      <c r="M1072" s="27">
        <v>30</v>
      </c>
      <c r="N1072" s="25" t="s">
        <v>63</v>
      </c>
      <c r="O1072" s="25" t="s">
        <v>27</v>
      </c>
      <c r="P1072" s="25" t="s">
        <v>32</v>
      </c>
    </row>
    <row r="1073" spans="1:16" x14ac:dyDescent="0.3">
      <c r="A1073" s="25">
        <v>1072</v>
      </c>
      <c r="B1073" s="26">
        <v>45525</v>
      </c>
      <c r="C1073" s="25" t="s">
        <v>64</v>
      </c>
      <c r="D1073" s="25" t="s">
        <v>21</v>
      </c>
      <c r="E1073" s="25" t="s">
        <v>88</v>
      </c>
      <c r="F1073" s="25">
        <v>4</v>
      </c>
      <c r="G1073" s="25" t="s">
        <v>89</v>
      </c>
      <c r="H1073" s="25">
        <v>130</v>
      </c>
      <c r="I1073" s="25">
        <v>100</v>
      </c>
      <c r="J1073" s="25">
        <v>520</v>
      </c>
      <c r="K1073" s="25">
        <v>400</v>
      </c>
      <c r="L1073" s="25">
        <v>120</v>
      </c>
      <c r="M1073" s="27">
        <v>30</v>
      </c>
      <c r="N1073" s="25" t="s">
        <v>63</v>
      </c>
      <c r="O1073" s="25" t="s">
        <v>27</v>
      </c>
      <c r="P1073" s="25" t="s">
        <v>32</v>
      </c>
    </row>
    <row r="1074" spans="1:16" x14ac:dyDescent="0.3">
      <c r="A1074" s="25">
        <v>1073</v>
      </c>
      <c r="B1074" s="26">
        <v>45525</v>
      </c>
      <c r="C1074" s="25" t="s">
        <v>64</v>
      </c>
      <c r="D1074" s="25" t="s">
        <v>21</v>
      </c>
      <c r="E1074" s="25" t="s">
        <v>88</v>
      </c>
      <c r="F1074" s="25">
        <v>3</v>
      </c>
      <c r="G1074" s="25" t="s">
        <v>89</v>
      </c>
      <c r="H1074" s="25">
        <v>130</v>
      </c>
      <c r="I1074" s="25">
        <v>100</v>
      </c>
      <c r="J1074" s="25">
        <v>390</v>
      </c>
      <c r="K1074" s="25">
        <v>300</v>
      </c>
      <c r="L1074" s="25">
        <v>90</v>
      </c>
      <c r="M1074" s="27">
        <v>30</v>
      </c>
      <c r="N1074" s="25" t="s">
        <v>63</v>
      </c>
      <c r="O1074" s="25" t="s">
        <v>27</v>
      </c>
      <c r="P1074" s="25" t="s">
        <v>32</v>
      </c>
    </row>
    <row r="1075" spans="1:16" x14ac:dyDescent="0.3">
      <c r="A1075" s="25">
        <v>1074</v>
      </c>
      <c r="B1075" s="26">
        <v>45525</v>
      </c>
      <c r="C1075" s="25" t="s">
        <v>64</v>
      </c>
      <c r="D1075" s="25" t="s">
        <v>21</v>
      </c>
      <c r="E1075" s="25" t="s">
        <v>93</v>
      </c>
      <c r="F1075" s="25">
        <v>2</v>
      </c>
      <c r="G1075" s="25" t="s">
        <v>89</v>
      </c>
      <c r="H1075" s="25">
        <v>250</v>
      </c>
      <c r="I1075" s="25">
        <v>180</v>
      </c>
      <c r="J1075" s="25">
        <v>500</v>
      </c>
      <c r="K1075" s="25">
        <v>360</v>
      </c>
      <c r="L1075" s="25">
        <v>140</v>
      </c>
      <c r="M1075" s="27">
        <v>38.8888888888889</v>
      </c>
      <c r="N1075" s="25" t="s">
        <v>63</v>
      </c>
      <c r="O1075" s="25" t="s">
        <v>27</v>
      </c>
      <c r="P1075" s="25" t="s">
        <v>32</v>
      </c>
    </row>
    <row r="1076" spans="1:16" x14ac:dyDescent="0.3">
      <c r="A1076" s="25">
        <v>1075</v>
      </c>
      <c r="B1076" s="26">
        <v>45525</v>
      </c>
      <c r="C1076" s="25" t="s">
        <v>64</v>
      </c>
      <c r="D1076" s="25" t="s">
        <v>21</v>
      </c>
      <c r="E1076" s="25" t="s">
        <v>95</v>
      </c>
      <c r="F1076" s="25">
        <v>2</v>
      </c>
      <c r="G1076" s="25" t="s">
        <v>89</v>
      </c>
      <c r="H1076" s="25">
        <v>150</v>
      </c>
      <c r="I1076" s="25">
        <v>100</v>
      </c>
      <c r="J1076" s="25">
        <v>300</v>
      </c>
      <c r="K1076" s="25">
        <v>200</v>
      </c>
      <c r="L1076" s="25">
        <v>100</v>
      </c>
      <c r="M1076" s="27">
        <v>50</v>
      </c>
      <c r="N1076" s="25" t="s">
        <v>63</v>
      </c>
      <c r="O1076" s="25" t="s">
        <v>28</v>
      </c>
      <c r="P1076" s="25" t="s">
        <v>32</v>
      </c>
    </row>
    <row r="1077" spans="1:16" x14ac:dyDescent="0.3">
      <c r="A1077" s="25">
        <v>1076</v>
      </c>
      <c r="B1077" s="26">
        <v>45525</v>
      </c>
      <c r="C1077" s="25" t="s">
        <v>64</v>
      </c>
      <c r="D1077" s="25" t="s">
        <v>21</v>
      </c>
      <c r="E1077" s="25" t="s">
        <v>88</v>
      </c>
      <c r="F1077" s="25">
        <v>2</v>
      </c>
      <c r="G1077" s="25" t="s">
        <v>89</v>
      </c>
      <c r="H1077" s="25">
        <v>130</v>
      </c>
      <c r="I1077" s="25">
        <v>100</v>
      </c>
      <c r="J1077" s="25">
        <v>260</v>
      </c>
      <c r="K1077" s="25">
        <v>200</v>
      </c>
      <c r="L1077" s="25">
        <v>60</v>
      </c>
      <c r="M1077" s="27">
        <v>30</v>
      </c>
      <c r="N1077" s="25" t="s">
        <v>63</v>
      </c>
      <c r="O1077" s="25" t="s">
        <v>27</v>
      </c>
      <c r="P1077" s="25" t="s">
        <v>32</v>
      </c>
    </row>
    <row r="1078" spans="1:16" x14ac:dyDescent="0.3">
      <c r="A1078" s="25">
        <v>1077</v>
      </c>
      <c r="B1078" s="26">
        <v>45526</v>
      </c>
      <c r="C1078" s="25" t="s">
        <v>64</v>
      </c>
      <c r="D1078" s="25" t="s">
        <v>21</v>
      </c>
      <c r="E1078" s="25" t="s">
        <v>88</v>
      </c>
      <c r="F1078" s="25">
        <v>2</v>
      </c>
      <c r="G1078" s="25" t="s">
        <v>89</v>
      </c>
      <c r="H1078" s="25">
        <v>130</v>
      </c>
      <c r="I1078" s="25">
        <v>100</v>
      </c>
      <c r="J1078" s="25">
        <v>260</v>
      </c>
      <c r="K1078" s="25">
        <v>200</v>
      </c>
      <c r="L1078" s="25">
        <v>60</v>
      </c>
      <c r="M1078" s="27">
        <v>30</v>
      </c>
      <c r="N1078" s="25" t="s">
        <v>63</v>
      </c>
      <c r="O1078" s="25" t="s">
        <v>27</v>
      </c>
      <c r="P1078" s="25" t="s">
        <v>32</v>
      </c>
    </row>
    <row r="1079" spans="1:16" x14ac:dyDescent="0.3">
      <c r="A1079" s="25">
        <v>1078</v>
      </c>
      <c r="B1079" s="26">
        <v>45526</v>
      </c>
      <c r="C1079" s="25" t="s">
        <v>64</v>
      </c>
      <c r="D1079" s="25" t="s">
        <v>21</v>
      </c>
      <c r="E1079" s="25" t="s">
        <v>94</v>
      </c>
      <c r="F1079" s="25">
        <v>15</v>
      </c>
      <c r="G1079" s="25" t="s">
        <v>89</v>
      </c>
      <c r="H1079" s="25">
        <v>30</v>
      </c>
      <c r="I1079" s="25">
        <v>26</v>
      </c>
      <c r="J1079" s="25">
        <v>450</v>
      </c>
      <c r="K1079" s="25">
        <v>390</v>
      </c>
      <c r="L1079" s="25">
        <v>60</v>
      </c>
      <c r="M1079" s="27">
        <v>15.384615384615399</v>
      </c>
      <c r="N1079" s="25" t="s">
        <v>63</v>
      </c>
      <c r="O1079" s="25" t="s">
        <v>27</v>
      </c>
      <c r="P1079" s="25" t="s">
        <v>32</v>
      </c>
    </row>
    <row r="1080" spans="1:16" x14ac:dyDescent="0.3">
      <c r="A1080" s="25">
        <v>1079</v>
      </c>
      <c r="B1080" s="26">
        <v>45526</v>
      </c>
      <c r="C1080" s="25" t="s">
        <v>64</v>
      </c>
      <c r="D1080" s="25" t="s">
        <v>21</v>
      </c>
      <c r="E1080" s="25" t="s">
        <v>95</v>
      </c>
      <c r="F1080" s="25">
        <v>5</v>
      </c>
      <c r="G1080" s="25" t="s">
        <v>89</v>
      </c>
      <c r="H1080" s="25">
        <v>150</v>
      </c>
      <c r="I1080" s="25">
        <v>100</v>
      </c>
      <c r="J1080" s="25">
        <v>750</v>
      </c>
      <c r="K1080" s="25">
        <v>500</v>
      </c>
      <c r="L1080" s="25">
        <v>250</v>
      </c>
      <c r="M1080" s="27">
        <v>50</v>
      </c>
      <c r="N1080" s="25" t="s">
        <v>63</v>
      </c>
      <c r="O1080" s="25" t="s">
        <v>28</v>
      </c>
      <c r="P1080" s="25" t="s">
        <v>32</v>
      </c>
    </row>
    <row r="1081" spans="1:16" x14ac:dyDescent="0.3">
      <c r="A1081" s="25">
        <v>1080</v>
      </c>
      <c r="B1081" s="26">
        <v>45526</v>
      </c>
      <c r="C1081" s="25" t="s">
        <v>64</v>
      </c>
      <c r="D1081" s="25" t="s">
        <v>21</v>
      </c>
      <c r="E1081" s="25" t="s">
        <v>88</v>
      </c>
      <c r="F1081" s="25">
        <v>2</v>
      </c>
      <c r="G1081" s="25" t="s">
        <v>89</v>
      </c>
      <c r="H1081" s="25">
        <v>130</v>
      </c>
      <c r="I1081" s="25">
        <v>100</v>
      </c>
      <c r="J1081" s="25">
        <v>260</v>
      </c>
      <c r="K1081" s="25">
        <v>200</v>
      </c>
      <c r="L1081" s="25">
        <v>60</v>
      </c>
      <c r="M1081" s="27">
        <v>30</v>
      </c>
      <c r="N1081" s="25" t="s">
        <v>63</v>
      </c>
      <c r="O1081" s="25" t="s">
        <v>27</v>
      </c>
      <c r="P1081" s="25" t="s">
        <v>32</v>
      </c>
    </row>
    <row r="1082" spans="1:16" x14ac:dyDescent="0.3">
      <c r="A1082" s="25">
        <v>1081</v>
      </c>
      <c r="B1082" s="26">
        <v>45526</v>
      </c>
      <c r="C1082" s="25" t="s">
        <v>64</v>
      </c>
      <c r="D1082" s="25" t="s">
        <v>21</v>
      </c>
      <c r="E1082" s="25" t="s">
        <v>93</v>
      </c>
      <c r="F1082" s="25">
        <v>5</v>
      </c>
      <c r="G1082" s="25" t="s">
        <v>89</v>
      </c>
      <c r="H1082" s="25">
        <v>250</v>
      </c>
      <c r="I1082" s="25">
        <v>180</v>
      </c>
      <c r="J1082" s="25">
        <v>1250</v>
      </c>
      <c r="K1082" s="25">
        <v>900</v>
      </c>
      <c r="L1082" s="25">
        <v>350</v>
      </c>
      <c r="M1082" s="27">
        <v>38.8888888888889</v>
      </c>
      <c r="N1082" s="25" t="s">
        <v>63</v>
      </c>
      <c r="O1082" s="25" t="s">
        <v>27</v>
      </c>
      <c r="P1082" s="25" t="s">
        <v>32</v>
      </c>
    </row>
    <row r="1083" spans="1:16" x14ac:dyDescent="0.3">
      <c r="A1083" s="25">
        <v>1082</v>
      </c>
      <c r="B1083" s="26">
        <v>45526</v>
      </c>
      <c r="C1083" s="25" t="s">
        <v>64</v>
      </c>
      <c r="D1083" s="25" t="s">
        <v>21</v>
      </c>
      <c r="E1083" s="25" t="s">
        <v>88</v>
      </c>
      <c r="F1083" s="25">
        <v>2</v>
      </c>
      <c r="G1083" s="25" t="s">
        <v>89</v>
      </c>
      <c r="H1083" s="25">
        <v>130</v>
      </c>
      <c r="I1083" s="25">
        <v>100</v>
      </c>
      <c r="J1083" s="25">
        <v>260</v>
      </c>
      <c r="K1083" s="25">
        <v>200</v>
      </c>
      <c r="L1083" s="25">
        <v>60</v>
      </c>
      <c r="M1083" s="27">
        <v>30</v>
      </c>
      <c r="N1083" s="25" t="s">
        <v>63</v>
      </c>
      <c r="O1083" s="25" t="s">
        <v>27</v>
      </c>
      <c r="P1083" s="25" t="s">
        <v>32</v>
      </c>
    </row>
    <row r="1084" spans="1:16" x14ac:dyDescent="0.3">
      <c r="A1084" s="25">
        <v>1083</v>
      </c>
      <c r="B1084" s="26">
        <v>45531</v>
      </c>
      <c r="C1084" s="25" t="s">
        <v>64</v>
      </c>
      <c r="D1084" s="25" t="s">
        <v>21</v>
      </c>
      <c r="E1084" s="25" t="s">
        <v>88</v>
      </c>
      <c r="F1084" s="25">
        <v>6</v>
      </c>
      <c r="G1084" s="25" t="s">
        <v>89</v>
      </c>
      <c r="H1084" s="25">
        <v>130</v>
      </c>
      <c r="I1084" s="25">
        <v>100</v>
      </c>
      <c r="J1084" s="25">
        <v>780</v>
      </c>
      <c r="K1084" s="25">
        <v>600</v>
      </c>
      <c r="L1084" s="25">
        <v>180</v>
      </c>
      <c r="M1084" s="27">
        <v>30</v>
      </c>
      <c r="N1084" s="25" t="s">
        <v>63</v>
      </c>
      <c r="O1084" s="25" t="s">
        <v>27</v>
      </c>
      <c r="P1084" s="25" t="s">
        <v>32</v>
      </c>
    </row>
    <row r="1085" spans="1:16" x14ac:dyDescent="0.3">
      <c r="A1085" s="25">
        <v>1084</v>
      </c>
      <c r="B1085" s="26">
        <v>45531</v>
      </c>
      <c r="C1085" s="25" t="s">
        <v>64</v>
      </c>
      <c r="D1085" s="25" t="s">
        <v>21</v>
      </c>
      <c r="E1085" s="25" t="s">
        <v>95</v>
      </c>
      <c r="F1085" s="25">
        <v>4</v>
      </c>
      <c r="G1085" s="25" t="s">
        <v>89</v>
      </c>
      <c r="H1085" s="25">
        <v>150</v>
      </c>
      <c r="I1085" s="25">
        <v>100</v>
      </c>
      <c r="J1085" s="25">
        <v>600</v>
      </c>
      <c r="K1085" s="25">
        <v>400</v>
      </c>
      <c r="L1085" s="25">
        <v>200</v>
      </c>
      <c r="M1085" s="27">
        <v>50</v>
      </c>
      <c r="N1085" s="25" t="s">
        <v>63</v>
      </c>
      <c r="O1085" s="25" t="s">
        <v>28</v>
      </c>
      <c r="P1085" s="25" t="s">
        <v>32</v>
      </c>
    </row>
    <row r="1086" spans="1:16" x14ac:dyDescent="0.3">
      <c r="A1086" s="25">
        <v>1085</v>
      </c>
      <c r="B1086" s="26">
        <v>45531</v>
      </c>
      <c r="C1086" s="25" t="s">
        <v>64</v>
      </c>
      <c r="D1086" s="25" t="s">
        <v>21</v>
      </c>
      <c r="E1086" s="25" t="s">
        <v>88</v>
      </c>
      <c r="F1086" s="25">
        <v>8</v>
      </c>
      <c r="G1086" s="25" t="s">
        <v>89</v>
      </c>
      <c r="H1086" s="25">
        <v>130</v>
      </c>
      <c r="I1086" s="25">
        <v>100</v>
      </c>
      <c r="J1086" s="25">
        <v>1040</v>
      </c>
      <c r="K1086" s="25">
        <v>800</v>
      </c>
      <c r="L1086" s="25">
        <v>240</v>
      </c>
      <c r="M1086" s="27">
        <v>30</v>
      </c>
      <c r="N1086" s="25" t="s">
        <v>63</v>
      </c>
      <c r="O1086" s="25" t="s">
        <v>27</v>
      </c>
      <c r="P1086" s="25" t="s">
        <v>32</v>
      </c>
    </row>
    <row r="1087" spans="1:16" x14ac:dyDescent="0.3">
      <c r="A1087" s="25">
        <v>1086</v>
      </c>
      <c r="B1087" s="26">
        <v>45531</v>
      </c>
      <c r="C1087" s="25" t="s">
        <v>64</v>
      </c>
      <c r="D1087" s="25" t="s">
        <v>21</v>
      </c>
      <c r="E1087" s="25" t="s">
        <v>94</v>
      </c>
      <c r="F1087" s="25">
        <v>24</v>
      </c>
      <c r="G1087" s="25" t="s">
        <v>89</v>
      </c>
      <c r="H1087" s="25">
        <v>30</v>
      </c>
      <c r="I1087" s="25">
        <v>26</v>
      </c>
      <c r="J1087" s="25">
        <v>720</v>
      </c>
      <c r="K1087" s="25">
        <v>624</v>
      </c>
      <c r="L1087" s="25">
        <v>96</v>
      </c>
      <c r="M1087" s="27">
        <v>15.384615384615399</v>
      </c>
      <c r="N1087" s="25" t="s">
        <v>63</v>
      </c>
      <c r="O1087" s="25" t="s">
        <v>27</v>
      </c>
      <c r="P1087" s="25" t="s">
        <v>32</v>
      </c>
    </row>
    <row r="1088" spans="1:16" x14ac:dyDescent="0.3">
      <c r="A1088" s="25">
        <v>1087</v>
      </c>
      <c r="B1088" s="26">
        <v>45531</v>
      </c>
      <c r="C1088" s="25" t="s">
        <v>64</v>
      </c>
      <c r="D1088" s="25" t="s">
        <v>21</v>
      </c>
      <c r="E1088" s="25" t="s">
        <v>88</v>
      </c>
      <c r="F1088" s="25">
        <v>4</v>
      </c>
      <c r="G1088" s="25" t="s">
        <v>89</v>
      </c>
      <c r="H1088" s="25">
        <v>130</v>
      </c>
      <c r="I1088" s="25">
        <v>100</v>
      </c>
      <c r="J1088" s="25">
        <v>520</v>
      </c>
      <c r="K1088" s="25">
        <v>400</v>
      </c>
      <c r="L1088" s="25">
        <v>120</v>
      </c>
      <c r="M1088" s="27">
        <v>30</v>
      </c>
      <c r="N1088" s="25" t="s">
        <v>63</v>
      </c>
      <c r="O1088" s="25" t="s">
        <v>27</v>
      </c>
      <c r="P1088" s="25" t="s">
        <v>32</v>
      </c>
    </row>
    <row r="1089" spans="1:16" x14ac:dyDescent="0.3">
      <c r="A1089" s="25">
        <v>1088</v>
      </c>
      <c r="B1089" s="26">
        <v>45532</v>
      </c>
      <c r="C1089" s="25" t="s">
        <v>64</v>
      </c>
      <c r="D1089" s="25" t="s">
        <v>21</v>
      </c>
      <c r="E1089" s="25" t="s">
        <v>93</v>
      </c>
      <c r="F1089" s="25">
        <v>3</v>
      </c>
      <c r="G1089" s="25" t="s">
        <v>89</v>
      </c>
      <c r="H1089" s="25">
        <v>250</v>
      </c>
      <c r="I1089" s="25">
        <v>180</v>
      </c>
      <c r="J1089" s="25">
        <v>750</v>
      </c>
      <c r="K1089" s="25">
        <v>540</v>
      </c>
      <c r="L1089" s="25">
        <v>210</v>
      </c>
      <c r="M1089" s="27">
        <v>38.8888888888889</v>
      </c>
      <c r="N1089" s="25" t="s">
        <v>63</v>
      </c>
      <c r="O1089" s="25" t="s">
        <v>27</v>
      </c>
      <c r="P1089" s="25" t="s">
        <v>32</v>
      </c>
    </row>
    <row r="1090" spans="1:16" x14ac:dyDescent="0.3">
      <c r="A1090" s="25">
        <v>1089</v>
      </c>
      <c r="B1090" s="26">
        <v>45532</v>
      </c>
      <c r="C1090" s="25" t="s">
        <v>64</v>
      </c>
      <c r="D1090" s="25" t="s">
        <v>21</v>
      </c>
      <c r="E1090" s="25" t="s">
        <v>88</v>
      </c>
      <c r="F1090" s="25">
        <v>6</v>
      </c>
      <c r="G1090" s="25" t="s">
        <v>89</v>
      </c>
      <c r="H1090" s="25">
        <v>130</v>
      </c>
      <c r="I1090" s="25">
        <v>100</v>
      </c>
      <c r="J1090" s="25">
        <v>780</v>
      </c>
      <c r="K1090" s="25">
        <v>600</v>
      </c>
      <c r="L1090" s="25">
        <v>180</v>
      </c>
      <c r="M1090" s="27">
        <v>30</v>
      </c>
      <c r="N1090" s="25" t="s">
        <v>63</v>
      </c>
      <c r="O1090" s="25" t="s">
        <v>27</v>
      </c>
      <c r="P1090" s="25" t="s">
        <v>32</v>
      </c>
    </row>
    <row r="1091" spans="1:16" x14ac:dyDescent="0.3">
      <c r="A1091" s="25">
        <v>1090</v>
      </c>
      <c r="B1091" s="26">
        <v>45532</v>
      </c>
      <c r="C1091" s="25" t="s">
        <v>64</v>
      </c>
      <c r="D1091" s="25" t="s">
        <v>21</v>
      </c>
      <c r="E1091" s="25" t="s">
        <v>94</v>
      </c>
      <c r="F1091" s="25">
        <v>14</v>
      </c>
      <c r="G1091" s="25" t="s">
        <v>89</v>
      </c>
      <c r="H1091" s="25">
        <v>30</v>
      </c>
      <c r="I1091" s="25">
        <v>26</v>
      </c>
      <c r="J1091" s="25">
        <v>420</v>
      </c>
      <c r="K1091" s="25">
        <v>364</v>
      </c>
      <c r="L1091" s="25">
        <v>56</v>
      </c>
      <c r="M1091" s="27">
        <v>15.384615384615399</v>
      </c>
      <c r="N1091" s="25" t="s">
        <v>63</v>
      </c>
      <c r="O1091" s="25" t="s">
        <v>27</v>
      </c>
      <c r="P1091" s="25" t="s">
        <v>32</v>
      </c>
    </row>
    <row r="1092" spans="1:16" x14ac:dyDescent="0.3">
      <c r="A1092" s="25">
        <v>1091</v>
      </c>
      <c r="B1092" s="26">
        <v>45532</v>
      </c>
      <c r="C1092" s="25" t="s">
        <v>64</v>
      </c>
      <c r="D1092" s="25" t="s">
        <v>21</v>
      </c>
      <c r="E1092" s="25" t="s">
        <v>88</v>
      </c>
      <c r="F1092" s="25">
        <v>7</v>
      </c>
      <c r="G1092" s="25" t="s">
        <v>89</v>
      </c>
      <c r="H1092" s="25">
        <v>130</v>
      </c>
      <c r="I1092" s="25">
        <v>100</v>
      </c>
      <c r="J1092" s="25">
        <v>910</v>
      </c>
      <c r="K1092" s="25">
        <v>700</v>
      </c>
      <c r="L1092" s="25">
        <v>210</v>
      </c>
      <c r="M1092" s="27">
        <v>30</v>
      </c>
      <c r="N1092" s="25" t="s">
        <v>63</v>
      </c>
      <c r="O1092" s="25" t="s">
        <v>27</v>
      </c>
      <c r="P1092" s="25" t="s">
        <v>32</v>
      </c>
    </row>
    <row r="1093" spans="1:16" x14ac:dyDescent="0.3">
      <c r="A1093" s="25">
        <v>1092</v>
      </c>
      <c r="B1093" s="26">
        <v>45532</v>
      </c>
      <c r="C1093" s="25" t="s">
        <v>64</v>
      </c>
      <c r="D1093" s="25" t="s">
        <v>21</v>
      </c>
      <c r="E1093" s="25" t="s">
        <v>88</v>
      </c>
      <c r="F1093" s="25">
        <v>4</v>
      </c>
      <c r="G1093" s="25" t="s">
        <v>89</v>
      </c>
      <c r="H1093" s="25">
        <v>130</v>
      </c>
      <c r="I1093" s="25">
        <v>100</v>
      </c>
      <c r="J1093" s="25">
        <v>520</v>
      </c>
      <c r="K1093" s="25">
        <v>400</v>
      </c>
      <c r="L1093" s="25">
        <v>120</v>
      </c>
      <c r="M1093" s="27">
        <v>30</v>
      </c>
      <c r="N1093" s="25" t="s">
        <v>63</v>
      </c>
      <c r="O1093" s="25" t="s">
        <v>27</v>
      </c>
      <c r="P1093" s="25" t="s">
        <v>32</v>
      </c>
    </row>
    <row r="1094" spans="1:16" x14ac:dyDescent="0.3">
      <c r="A1094" s="25">
        <v>1093</v>
      </c>
      <c r="B1094" s="26">
        <v>45532</v>
      </c>
      <c r="C1094" s="25" t="s">
        <v>64</v>
      </c>
      <c r="D1094" s="25" t="s">
        <v>21</v>
      </c>
      <c r="E1094" s="25" t="s">
        <v>88</v>
      </c>
      <c r="F1094" s="25">
        <v>3</v>
      </c>
      <c r="G1094" s="25" t="s">
        <v>89</v>
      </c>
      <c r="H1094" s="25">
        <v>130</v>
      </c>
      <c r="I1094" s="25">
        <v>100</v>
      </c>
      <c r="J1094" s="25">
        <v>390</v>
      </c>
      <c r="K1094" s="25">
        <v>300</v>
      </c>
      <c r="L1094" s="25">
        <v>90</v>
      </c>
      <c r="M1094" s="27">
        <v>30</v>
      </c>
      <c r="N1094" s="25" t="s">
        <v>63</v>
      </c>
      <c r="O1094" s="25" t="s">
        <v>27</v>
      </c>
      <c r="P1094" s="25" t="s">
        <v>32</v>
      </c>
    </row>
    <row r="1095" spans="1:16" x14ac:dyDescent="0.3">
      <c r="A1095" s="25">
        <v>1094</v>
      </c>
      <c r="B1095" s="26">
        <v>45533</v>
      </c>
      <c r="C1095" s="25" t="s">
        <v>64</v>
      </c>
      <c r="D1095" s="25" t="s">
        <v>21</v>
      </c>
      <c r="E1095" s="25" t="s">
        <v>95</v>
      </c>
      <c r="F1095" s="25">
        <v>7</v>
      </c>
      <c r="G1095" s="25" t="s">
        <v>89</v>
      </c>
      <c r="H1095" s="25">
        <v>150</v>
      </c>
      <c r="I1095" s="25">
        <v>100</v>
      </c>
      <c r="J1095" s="25">
        <v>1050</v>
      </c>
      <c r="K1095" s="25">
        <v>700</v>
      </c>
      <c r="L1095" s="25">
        <v>350</v>
      </c>
      <c r="M1095" s="27">
        <v>50</v>
      </c>
      <c r="N1095" s="25" t="s">
        <v>63</v>
      </c>
      <c r="O1095" s="25" t="s">
        <v>28</v>
      </c>
      <c r="P1095" s="25" t="s">
        <v>32</v>
      </c>
    </row>
    <row r="1096" spans="1:16" x14ac:dyDescent="0.3">
      <c r="A1096" s="25">
        <v>1095</v>
      </c>
      <c r="B1096" s="26">
        <v>45533</v>
      </c>
      <c r="C1096" s="25" t="s">
        <v>64</v>
      </c>
      <c r="D1096" s="25" t="s">
        <v>21</v>
      </c>
      <c r="E1096" s="25" t="s">
        <v>94</v>
      </c>
      <c r="F1096" s="25">
        <v>24</v>
      </c>
      <c r="G1096" s="25" t="s">
        <v>89</v>
      </c>
      <c r="H1096" s="25">
        <v>30</v>
      </c>
      <c r="I1096" s="25">
        <v>26</v>
      </c>
      <c r="J1096" s="25">
        <v>720</v>
      </c>
      <c r="K1096" s="25">
        <v>624</v>
      </c>
      <c r="L1096" s="25">
        <v>96</v>
      </c>
      <c r="M1096" s="27">
        <v>15.384615384615399</v>
      </c>
      <c r="N1096" s="25" t="s">
        <v>63</v>
      </c>
      <c r="O1096" s="25" t="s">
        <v>27</v>
      </c>
      <c r="P1096" s="25" t="s">
        <v>32</v>
      </c>
    </row>
    <row r="1097" spans="1:16" x14ac:dyDescent="0.3">
      <c r="A1097" s="25">
        <v>1096</v>
      </c>
      <c r="B1097" s="26">
        <v>45533</v>
      </c>
      <c r="C1097" s="25" t="s">
        <v>64</v>
      </c>
      <c r="D1097" s="25" t="s">
        <v>21</v>
      </c>
      <c r="E1097" s="25" t="s">
        <v>93</v>
      </c>
      <c r="F1097" s="25">
        <v>2</v>
      </c>
      <c r="G1097" s="25" t="s">
        <v>89</v>
      </c>
      <c r="H1097" s="25">
        <v>250</v>
      </c>
      <c r="I1097" s="25">
        <v>180</v>
      </c>
      <c r="J1097" s="25">
        <v>500</v>
      </c>
      <c r="K1097" s="25">
        <v>360</v>
      </c>
      <c r="L1097" s="25">
        <v>140</v>
      </c>
      <c r="M1097" s="27">
        <v>38.8888888888889</v>
      </c>
      <c r="N1097" s="25" t="s">
        <v>63</v>
      </c>
      <c r="O1097" s="25" t="s">
        <v>27</v>
      </c>
      <c r="P1097" s="25" t="s">
        <v>32</v>
      </c>
    </row>
    <row r="1098" spans="1:16" x14ac:dyDescent="0.3">
      <c r="A1098" s="25">
        <v>1097</v>
      </c>
      <c r="B1098" s="26">
        <v>45533</v>
      </c>
      <c r="C1098" s="25" t="s">
        <v>64</v>
      </c>
      <c r="D1098" s="25" t="s">
        <v>21</v>
      </c>
      <c r="E1098" s="25" t="s">
        <v>88</v>
      </c>
      <c r="F1098" s="25">
        <v>5</v>
      </c>
      <c r="G1098" s="25" t="s">
        <v>89</v>
      </c>
      <c r="H1098" s="25">
        <v>130</v>
      </c>
      <c r="I1098" s="25">
        <v>100</v>
      </c>
      <c r="J1098" s="25">
        <v>650</v>
      </c>
      <c r="K1098" s="25">
        <v>500</v>
      </c>
      <c r="L1098" s="25">
        <v>150</v>
      </c>
      <c r="M1098" s="27">
        <v>30</v>
      </c>
      <c r="N1098" s="25" t="s">
        <v>63</v>
      </c>
      <c r="O1098" s="25" t="s">
        <v>27</v>
      </c>
      <c r="P1098" s="25" t="s">
        <v>32</v>
      </c>
    </row>
    <row r="1099" spans="1:16" x14ac:dyDescent="0.3">
      <c r="A1099" s="25">
        <v>1098</v>
      </c>
      <c r="B1099" s="26">
        <v>45533</v>
      </c>
      <c r="C1099" s="25" t="s">
        <v>64</v>
      </c>
      <c r="D1099" s="25" t="s">
        <v>21</v>
      </c>
      <c r="E1099" s="25" t="s">
        <v>95</v>
      </c>
      <c r="F1099" s="25">
        <v>3</v>
      </c>
      <c r="G1099" s="25" t="s">
        <v>89</v>
      </c>
      <c r="H1099" s="25">
        <v>150</v>
      </c>
      <c r="I1099" s="25">
        <v>100</v>
      </c>
      <c r="J1099" s="25">
        <v>450</v>
      </c>
      <c r="K1099" s="25">
        <v>300</v>
      </c>
      <c r="L1099" s="25">
        <v>150</v>
      </c>
      <c r="M1099" s="27">
        <v>50</v>
      </c>
      <c r="N1099" s="25" t="s">
        <v>63</v>
      </c>
      <c r="O1099" s="25" t="s">
        <v>28</v>
      </c>
      <c r="P1099" s="25" t="s">
        <v>32</v>
      </c>
    </row>
    <row r="1100" spans="1:16" x14ac:dyDescent="0.3">
      <c r="A1100" s="25">
        <v>1099</v>
      </c>
      <c r="B1100" s="26">
        <v>45533</v>
      </c>
      <c r="C1100" s="25" t="s">
        <v>64</v>
      </c>
      <c r="D1100" s="25" t="s">
        <v>21</v>
      </c>
      <c r="E1100" s="25" t="s">
        <v>94</v>
      </c>
      <c r="F1100" s="25">
        <v>15</v>
      </c>
      <c r="G1100" s="25" t="s">
        <v>89</v>
      </c>
      <c r="H1100" s="25">
        <v>30</v>
      </c>
      <c r="I1100" s="25">
        <v>26</v>
      </c>
      <c r="J1100" s="25">
        <v>450</v>
      </c>
      <c r="K1100" s="25">
        <v>390</v>
      </c>
      <c r="L1100" s="25">
        <v>60</v>
      </c>
      <c r="M1100" s="27">
        <v>15.384615384615399</v>
      </c>
      <c r="N1100" s="25" t="s">
        <v>63</v>
      </c>
      <c r="O1100" s="25" t="s">
        <v>27</v>
      </c>
      <c r="P1100" s="25" t="s">
        <v>32</v>
      </c>
    </row>
    <row r="1101" spans="1:16" x14ac:dyDescent="0.3">
      <c r="A1101" s="25">
        <v>1100</v>
      </c>
      <c r="B1101" s="26">
        <v>45534</v>
      </c>
      <c r="C1101" s="25" t="s">
        <v>64</v>
      </c>
      <c r="D1101" s="25" t="s">
        <v>21</v>
      </c>
      <c r="E1101" s="25" t="s">
        <v>88</v>
      </c>
      <c r="F1101" s="25">
        <v>5</v>
      </c>
      <c r="G1101" s="25" t="s">
        <v>89</v>
      </c>
      <c r="H1101" s="25">
        <v>130</v>
      </c>
      <c r="I1101" s="25">
        <v>100</v>
      </c>
      <c r="J1101" s="25">
        <v>650</v>
      </c>
      <c r="K1101" s="25">
        <v>500</v>
      </c>
      <c r="L1101" s="25">
        <v>150</v>
      </c>
      <c r="M1101" s="27">
        <v>30</v>
      </c>
      <c r="N1101" s="25" t="s">
        <v>63</v>
      </c>
      <c r="O1101" s="25" t="s">
        <v>27</v>
      </c>
      <c r="P1101" s="25" t="s">
        <v>32</v>
      </c>
    </row>
    <row r="1102" spans="1:16" x14ac:dyDescent="0.3">
      <c r="A1102" s="25">
        <v>1101</v>
      </c>
      <c r="B1102" s="26">
        <v>45534</v>
      </c>
      <c r="C1102" s="25" t="s">
        <v>64</v>
      </c>
      <c r="D1102" s="25" t="s">
        <v>21</v>
      </c>
      <c r="E1102" s="25" t="s">
        <v>88</v>
      </c>
      <c r="F1102" s="25">
        <v>5</v>
      </c>
      <c r="G1102" s="25" t="s">
        <v>89</v>
      </c>
      <c r="H1102" s="25">
        <v>130</v>
      </c>
      <c r="I1102" s="25">
        <v>100</v>
      </c>
      <c r="J1102" s="25">
        <v>650</v>
      </c>
      <c r="K1102" s="25">
        <v>500</v>
      </c>
      <c r="L1102" s="25">
        <v>150</v>
      </c>
      <c r="M1102" s="27">
        <v>30</v>
      </c>
      <c r="N1102" s="25" t="s">
        <v>63</v>
      </c>
      <c r="O1102" s="25" t="s">
        <v>27</v>
      </c>
      <c r="P1102" s="25" t="s">
        <v>32</v>
      </c>
    </row>
    <row r="1103" spans="1:16" x14ac:dyDescent="0.3">
      <c r="A1103" s="25">
        <v>1102</v>
      </c>
      <c r="B1103" s="26">
        <v>45534</v>
      </c>
      <c r="C1103" s="25" t="s">
        <v>64</v>
      </c>
      <c r="D1103" s="25" t="s">
        <v>21</v>
      </c>
      <c r="E1103" s="25" t="s">
        <v>88</v>
      </c>
      <c r="F1103" s="25">
        <v>5</v>
      </c>
      <c r="G1103" s="25" t="s">
        <v>89</v>
      </c>
      <c r="H1103" s="25">
        <v>130</v>
      </c>
      <c r="I1103" s="25">
        <v>100</v>
      </c>
      <c r="J1103" s="25">
        <v>650</v>
      </c>
      <c r="K1103" s="25">
        <v>500</v>
      </c>
      <c r="L1103" s="25">
        <v>150</v>
      </c>
      <c r="M1103" s="27">
        <v>30</v>
      </c>
      <c r="N1103" s="25" t="s">
        <v>63</v>
      </c>
      <c r="O1103" s="25" t="s">
        <v>27</v>
      </c>
      <c r="P1103" s="25" t="s">
        <v>32</v>
      </c>
    </row>
    <row r="1104" spans="1:16" x14ac:dyDescent="0.3">
      <c r="A1104" s="25">
        <v>1103</v>
      </c>
      <c r="B1104" s="26">
        <v>45534</v>
      </c>
      <c r="C1104" s="25" t="s">
        <v>64</v>
      </c>
      <c r="D1104" s="25" t="s">
        <v>21</v>
      </c>
      <c r="E1104" s="25" t="s">
        <v>94</v>
      </c>
      <c r="F1104" s="25">
        <v>20</v>
      </c>
      <c r="G1104" s="25" t="s">
        <v>89</v>
      </c>
      <c r="H1104" s="25">
        <v>30</v>
      </c>
      <c r="I1104" s="25">
        <v>26</v>
      </c>
      <c r="J1104" s="25">
        <v>600</v>
      </c>
      <c r="K1104" s="25">
        <v>520</v>
      </c>
      <c r="L1104" s="25">
        <v>80</v>
      </c>
      <c r="M1104" s="27">
        <v>15.384615384615399</v>
      </c>
      <c r="N1104" s="25" t="s">
        <v>63</v>
      </c>
      <c r="O1104" s="25" t="s">
        <v>27</v>
      </c>
      <c r="P1104" s="25" t="s">
        <v>32</v>
      </c>
    </row>
    <row r="1105" spans="1:16" x14ac:dyDescent="0.3">
      <c r="A1105" s="25">
        <v>1104</v>
      </c>
      <c r="B1105" s="26">
        <v>45534</v>
      </c>
      <c r="C1105" s="25" t="s">
        <v>64</v>
      </c>
      <c r="D1105" s="25" t="s">
        <v>21</v>
      </c>
      <c r="E1105" s="25" t="s">
        <v>95</v>
      </c>
      <c r="F1105" s="25">
        <v>6</v>
      </c>
      <c r="G1105" s="25" t="s">
        <v>89</v>
      </c>
      <c r="H1105" s="25">
        <v>150</v>
      </c>
      <c r="I1105" s="25">
        <v>100</v>
      </c>
      <c r="J1105" s="25">
        <v>900</v>
      </c>
      <c r="K1105" s="25">
        <v>600</v>
      </c>
      <c r="L1105" s="25">
        <v>300</v>
      </c>
      <c r="M1105" s="27">
        <v>50</v>
      </c>
      <c r="N1105" s="25" t="s">
        <v>63</v>
      </c>
      <c r="O1105" s="25" t="s">
        <v>28</v>
      </c>
      <c r="P1105" s="25" t="s">
        <v>32</v>
      </c>
    </row>
    <row r="1106" spans="1:16" x14ac:dyDescent="0.3">
      <c r="A1106" s="25">
        <v>1105</v>
      </c>
      <c r="B1106" s="26">
        <v>45534</v>
      </c>
      <c r="C1106" s="25" t="s">
        <v>64</v>
      </c>
      <c r="D1106" s="25" t="s">
        <v>21</v>
      </c>
      <c r="E1106" s="25" t="s">
        <v>93</v>
      </c>
      <c r="F1106" s="25">
        <v>2</v>
      </c>
      <c r="G1106" s="25" t="s">
        <v>89</v>
      </c>
      <c r="H1106" s="25">
        <v>250</v>
      </c>
      <c r="I1106" s="25">
        <v>180</v>
      </c>
      <c r="J1106" s="25">
        <v>500</v>
      </c>
      <c r="K1106" s="25">
        <v>360</v>
      </c>
      <c r="L1106" s="25">
        <v>140</v>
      </c>
      <c r="M1106" s="27">
        <v>38.8888888888889</v>
      </c>
      <c r="N1106" s="25" t="s">
        <v>63</v>
      </c>
      <c r="O1106" s="25" t="s">
        <v>27</v>
      </c>
      <c r="P1106" s="25" t="s">
        <v>32</v>
      </c>
    </row>
    <row r="1107" spans="1:16" x14ac:dyDescent="0.3">
      <c r="A1107" s="25">
        <v>1106</v>
      </c>
      <c r="B1107" s="26">
        <v>45534</v>
      </c>
      <c r="C1107" s="25" t="s">
        <v>64</v>
      </c>
      <c r="D1107" s="25" t="s">
        <v>21</v>
      </c>
      <c r="E1107" s="25" t="s">
        <v>94</v>
      </c>
      <c r="F1107" s="25">
        <v>16</v>
      </c>
      <c r="G1107" s="25" t="s">
        <v>89</v>
      </c>
      <c r="H1107" s="25">
        <v>30</v>
      </c>
      <c r="I1107" s="25">
        <v>26</v>
      </c>
      <c r="J1107" s="25">
        <v>480</v>
      </c>
      <c r="K1107" s="25">
        <v>416</v>
      </c>
      <c r="L1107" s="25">
        <v>64</v>
      </c>
      <c r="M1107" s="27">
        <v>15.384615384615399</v>
      </c>
      <c r="N1107" s="25" t="s">
        <v>63</v>
      </c>
      <c r="O1107" s="25" t="s">
        <v>27</v>
      </c>
      <c r="P1107" s="25" t="s">
        <v>32</v>
      </c>
    </row>
    <row r="1108" spans="1:16" x14ac:dyDescent="0.3">
      <c r="A1108" s="25">
        <v>1107</v>
      </c>
      <c r="B1108" s="26">
        <v>45534</v>
      </c>
      <c r="C1108" s="25" t="s">
        <v>64</v>
      </c>
      <c r="D1108" s="25" t="s">
        <v>21</v>
      </c>
      <c r="E1108" s="25" t="s">
        <v>88</v>
      </c>
      <c r="F1108" s="25">
        <v>5</v>
      </c>
      <c r="G1108" s="25" t="s">
        <v>89</v>
      </c>
      <c r="H1108" s="25">
        <v>130</v>
      </c>
      <c r="I1108" s="25">
        <v>100</v>
      </c>
      <c r="J1108" s="25">
        <v>650</v>
      </c>
      <c r="K1108" s="25">
        <v>500</v>
      </c>
      <c r="L1108" s="25">
        <v>150</v>
      </c>
      <c r="M1108" s="27">
        <v>30</v>
      </c>
      <c r="N1108" s="25" t="s">
        <v>63</v>
      </c>
      <c r="O1108" s="25" t="s">
        <v>27</v>
      </c>
      <c r="P1108" s="25" t="s">
        <v>32</v>
      </c>
    </row>
    <row r="1109" spans="1:16" x14ac:dyDescent="0.3">
      <c r="A1109" s="25">
        <v>1108</v>
      </c>
      <c r="B1109" s="26">
        <v>45536</v>
      </c>
      <c r="C1109" s="25" t="s">
        <v>65</v>
      </c>
      <c r="D1109" s="25" t="s">
        <v>21</v>
      </c>
      <c r="E1109" s="25" t="s">
        <v>88</v>
      </c>
      <c r="F1109" s="25">
        <v>2</v>
      </c>
      <c r="G1109" s="25" t="s">
        <v>89</v>
      </c>
      <c r="H1109" s="25">
        <v>130</v>
      </c>
      <c r="I1109" s="25">
        <v>100</v>
      </c>
      <c r="J1109" s="25">
        <v>260</v>
      </c>
      <c r="K1109" s="25">
        <v>200</v>
      </c>
      <c r="L1109" s="25">
        <v>60</v>
      </c>
      <c r="M1109" s="27">
        <v>30</v>
      </c>
      <c r="N1109" s="25" t="s">
        <v>63</v>
      </c>
      <c r="O1109" s="25" t="s">
        <v>27</v>
      </c>
      <c r="P1109" s="25" t="s">
        <v>32</v>
      </c>
    </row>
    <row r="1110" spans="1:16" x14ac:dyDescent="0.3">
      <c r="A1110" s="25">
        <v>1109</v>
      </c>
      <c r="B1110" s="26">
        <v>45537</v>
      </c>
      <c r="C1110" s="25" t="s">
        <v>65</v>
      </c>
      <c r="D1110" s="25" t="s">
        <v>21</v>
      </c>
      <c r="E1110" s="25" t="s">
        <v>94</v>
      </c>
      <c r="F1110" s="25">
        <v>15</v>
      </c>
      <c r="G1110" s="25" t="s">
        <v>89</v>
      </c>
      <c r="H1110" s="25">
        <v>30</v>
      </c>
      <c r="I1110" s="25">
        <v>26</v>
      </c>
      <c r="J1110" s="25">
        <v>450</v>
      </c>
      <c r="K1110" s="25">
        <v>390</v>
      </c>
      <c r="L1110" s="25">
        <v>60</v>
      </c>
      <c r="M1110" s="27">
        <v>15.384615384615399</v>
      </c>
      <c r="N1110" s="25" t="s">
        <v>63</v>
      </c>
      <c r="O1110" s="25" t="s">
        <v>27</v>
      </c>
      <c r="P1110" s="25" t="s">
        <v>32</v>
      </c>
    </row>
    <row r="1111" spans="1:16" x14ac:dyDescent="0.3">
      <c r="A1111" s="25">
        <v>1110</v>
      </c>
      <c r="B1111" s="26">
        <v>45538</v>
      </c>
      <c r="C1111" s="25" t="s">
        <v>65</v>
      </c>
      <c r="D1111" s="25" t="s">
        <v>22</v>
      </c>
      <c r="E1111" s="25" t="s">
        <v>90</v>
      </c>
      <c r="F1111" s="25">
        <v>2</v>
      </c>
      <c r="G1111" s="25" t="s">
        <v>91</v>
      </c>
      <c r="H1111" s="25">
        <v>280</v>
      </c>
      <c r="I1111" s="25">
        <v>240</v>
      </c>
      <c r="J1111" s="25">
        <v>560</v>
      </c>
      <c r="K1111" s="25">
        <v>480</v>
      </c>
      <c r="L1111" s="25">
        <v>80</v>
      </c>
      <c r="M1111" s="27">
        <v>16.6666666666667</v>
      </c>
      <c r="N1111" s="25" t="s">
        <v>63</v>
      </c>
      <c r="O1111" s="25" t="s">
        <v>28</v>
      </c>
      <c r="P1111" s="25" t="s">
        <v>32</v>
      </c>
    </row>
    <row r="1112" spans="1:16" x14ac:dyDescent="0.3">
      <c r="A1112" s="25">
        <v>1111</v>
      </c>
      <c r="B1112" s="26">
        <v>45539</v>
      </c>
      <c r="C1112" s="25" t="s">
        <v>65</v>
      </c>
      <c r="D1112" s="25" t="s">
        <v>22</v>
      </c>
      <c r="E1112" s="25" t="s">
        <v>99</v>
      </c>
      <c r="F1112" s="25">
        <v>2</v>
      </c>
      <c r="G1112" s="25" t="s">
        <v>100</v>
      </c>
      <c r="H1112" s="25">
        <v>200</v>
      </c>
      <c r="I1112" s="25">
        <v>160</v>
      </c>
      <c r="J1112" s="25">
        <v>400</v>
      </c>
      <c r="K1112" s="25">
        <v>320</v>
      </c>
      <c r="L1112" s="25">
        <v>80</v>
      </c>
      <c r="M1112" s="27">
        <v>25</v>
      </c>
      <c r="N1112" s="25" t="s">
        <v>63</v>
      </c>
      <c r="O1112" s="25" t="s">
        <v>28</v>
      </c>
      <c r="P1112" s="25" t="s">
        <v>32</v>
      </c>
    </row>
    <row r="1113" spans="1:16" x14ac:dyDescent="0.3">
      <c r="A1113" s="25">
        <v>1112</v>
      </c>
      <c r="B1113" s="26">
        <v>45540</v>
      </c>
      <c r="C1113" s="25" t="s">
        <v>65</v>
      </c>
      <c r="D1113" s="25" t="s">
        <v>21</v>
      </c>
      <c r="E1113" s="25" t="s">
        <v>93</v>
      </c>
      <c r="F1113" s="25">
        <v>5</v>
      </c>
      <c r="G1113" s="25" t="s">
        <v>89</v>
      </c>
      <c r="H1113" s="25">
        <v>250</v>
      </c>
      <c r="I1113" s="25">
        <v>180</v>
      </c>
      <c r="J1113" s="25">
        <v>1250</v>
      </c>
      <c r="K1113" s="25">
        <v>900</v>
      </c>
      <c r="L1113" s="25">
        <v>350</v>
      </c>
      <c r="M1113" s="27">
        <v>38.8888888888889</v>
      </c>
      <c r="N1113" s="25" t="s">
        <v>63</v>
      </c>
      <c r="O1113" s="25" t="s">
        <v>27</v>
      </c>
      <c r="P1113" s="25" t="s">
        <v>32</v>
      </c>
    </row>
    <row r="1114" spans="1:16" x14ac:dyDescent="0.3">
      <c r="A1114" s="25">
        <v>1113</v>
      </c>
      <c r="B1114" s="26">
        <v>45541</v>
      </c>
      <c r="C1114" s="25" t="s">
        <v>65</v>
      </c>
      <c r="D1114" s="25" t="s">
        <v>21</v>
      </c>
      <c r="E1114" s="25" t="s">
        <v>88</v>
      </c>
      <c r="F1114" s="25">
        <v>3</v>
      </c>
      <c r="G1114" s="25" t="s">
        <v>89</v>
      </c>
      <c r="H1114" s="25">
        <v>130</v>
      </c>
      <c r="I1114" s="25">
        <v>100</v>
      </c>
      <c r="J1114" s="25">
        <v>390</v>
      </c>
      <c r="K1114" s="25">
        <v>300</v>
      </c>
      <c r="L1114" s="25">
        <v>90</v>
      </c>
      <c r="M1114" s="27">
        <v>30</v>
      </c>
      <c r="N1114" s="25" t="s">
        <v>63</v>
      </c>
      <c r="O1114" s="25" t="s">
        <v>27</v>
      </c>
      <c r="P1114" s="25" t="s">
        <v>32</v>
      </c>
    </row>
    <row r="1115" spans="1:16" x14ac:dyDescent="0.3">
      <c r="A1115" s="25">
        <v>1114</v>
      </c>
      <c r="B1115" s="26">
        <v>45542</v>
      </c>
      <c r="C1115" s="25" t="s">
        <v>65</v>
      </c>
      <c r="D1115" s="25" t="s">
        <v>21</v>
      </c>
      <c r="E1115" s="25" t="s">
        <v>98</v>
      </c>
      <c r="F1115" s="25">
        <v>2</v>
      </c>
      <c r="G1115" s="25" t="s">
        <v>89</v>
      </c>
      <c r="H1115" s="25">
        <v>95</v>
      </c>
      <c r="I1115" s="25">
        <v>55</v>
      </c>
      <c r="J1115" s="25">
        <v>190</v>
      </c>
      <c r="K1115" s="25">
        <v>110</v>
      </c>
      <c r="L1115" s="25">
        <v>80</v>
      </c>
      <c r="M1115" s="27">
        <v>72.727272727272705</v>
      </c>
      <c r="N1115" s="25" t="s">
        <v>63</v>
      </c>
      <c r="O1115" s="25" t="s">
        <v>27</v>
      </c>
      <c r="P1115" s="25" t="s">
        <v>32</v>
      </c>
    </row>
    <row r="1116" spans="1:16" x14ac:dyDescent="0.3">
      <c r="A1116" s="25">
        <v>1115</v>
      </c>
      <c r="B1116" s="26">
        <v>45543</v>
      </c>
      <c r="C1116" s="25" t="s">
        <v>65</v>
      </c>
      <c r="D1116" s="25" t="s">
        <v>22</v>
      </c>
      <c r="E1116" s="25" t="s">
        <v>92</v>
      </c>
      <c r="F1116" s="25">
        <v>2</v>
      </c>
      <c r="G1116" s="25" t="s">
        <v>91</v>
      </c>
      <c r="H1116" s="25">
        <v>260</v>
      </c>
      <c r="I1116" s="25">
        <v>220</v>
      </c>
      <c r="J1116" s="25">
        <v>520</v>
      </c>
      <c r="K1116" s="25">
        <v>440</v>
      </c>
      <c r="L1116" s="25">
        <v>80</v>
      </c>
      <c r="M1116" s="27">
        <v>18.181818181818201</v>
      </c>
      <c r="N1116" s="25" t="s">
        <v>63</v>
      </c>
      <c r="O1116" s="25" t="s">
        <v>28</v>
      </c>
      <c r="P1116" s="25" t="s">
        <v>32</v>
      </c>
    </row>
    <row r="1117" spans="1:16" x14ac:dyDescent="0.3">
      <c r="A1117" s="25">
        <v>1116</v>
      </c>
      <c r="B1117" s="26">
        <v>45544</v>
      </c>
      <c r="C1117" s="25" t="s">
        <v>65</v>
      </c>
      <c r="D1117" s="25" t="s">
        <v>21</v>
      </c>
      <c r="E1117" s="25" t="s">
        <v>88</v>
      </c>
      <c r="F1117" s="25">
        <v>6</v>
      </c>
      <c r="G1117" s="25" t="s">
        <v>89</v>
      </c>
      <c r="H1117" s="25">
        <v>130</v>
      </c>
      <c r="I1117" s="25">
        <v>100</v>
      </c>
      <c r="J1117" s="25">
        <v>780</v>
      </c>
      <c r="K1117" s="25">
        <v>600</v>
      </c>
      <c r="L1117" s="25">
        <v>180</v>
      </c>
      <c r="M1117" s="27">
        <v>30</v>
      </c>
      <c r="N1117" s="25" t="s">
        <v>63</v>
      </c>
      <c r="O1117" s="25" t="s">
        <v>27</v>
      </c>
      <c r="P1117" s="25" t="s">
        <v>32</v>
      </c>
    </row>
    <row r="1118" spans="1:16" x14ac:dyDescent="0.3">
      <c r="A1118" s="25">
        <v>1117</v>
      </c>
      <c r="B1118" s="26">
        <v>45545</v>
      </c>
      <c r="C1118" s="25" t="s">
        <v>65</v>
      </c>
      <c r="D1118" s="25" t="s">
        <v>22</v>
      </c>
      <c r="E1118" s="25" t="s">
        <v>90</v>
      </c>
      <c r="F1118" s="25">
        <v>3</v>
      </c>
      <c r="G1118" s="25" t="s">
        <v>91</v>
      </c>
      <c r="H1118" s="25">
        <v>280</v>
      </c>
      <c r="I1118" s="25">
        <v>240</v>
      </c>
      <c r="J1118" s="25">
        <v>840</v>
      </c>
      <c r="K1118" s="25">
        <v>720</v>
      </c>
      <c r="L1118" s="25">
        <v>120</v>
      </c>
      <c r="M1118" s="27">
        <v>16.6666666666667</v>
      </c>
      <c r="N1118" s="25" t="s">
        <v>63</v>
      </c>
      <c r="O1118" s="25" t="s">
        <v>28</v>
      </c>
      <c r="P1118" s="25" t="s">
        <v>32</v>
      </c>
    </row>
    <row r="1119" spans="1:16" x14ac:dyDescent="0.3">
      <c r="A1119" s="25">
        <v>1118</v>
      </c>
      <c r="B1119" s="26">
        <v>45546</v>
      </c>
      <c r="C1119" s="25" t="s">
        <v>65</v>
      </c>
      <c r="D1119" s="25" t="s">
        <v>21</v>
      </c>
      <c r="E1119" s="25" t="s">
        <v>94</v>
      </c>
      <c r="F1119" s="25">
        <v>10</v>
      </c>
      <c r="G1119" s="25" t="s">
        <v>89</v>
      </c>
      <c r="H1119" s="25">
        <v>30</v>
      </c>
      <c r="I1119" s="25">
        <v>26</v>
      </c>
      <c r="J1119" s="25">
        <v>300</v>
      </c>
      <c r="K1119" s="25">
        <v>260</v>
      </c>
      <c r="L1119" s="25">
        <v>40</v>
      </c>
      <c r="M1119" s="27">
        <v>15.384615384615399</v>
      </c>
      <c r="N1119" s="25" t="s">
        <v>63</v>
      </c>
      <c r="O1119" s="25" t="s">
        <v>27</v>
      </c>
      <c r="P1119" s="25" t="s">
        <v>32</v>
      </c>
    </row>
    <row r="1120" spans="1:16" x14ac:dyDescent="0.3">
      <c r="A1120" s="25">
        <v>1119</v>
      </c>
      <c r="B1120" s="26">
        <v>45547</v>
      </c>
      <c r="C1120" s="25" t="s">
        <v>65</v>
      </c>
      <c r="D1120" s="25" t="s">
        <v>21</v>
      </c>
      <c r="E1120" s="25" t="s">
        <v>93</v>
      </c>
      <c r="F1120" s="25">
        <v>2</v>
      </c>
      <c r="G1120" s="25" t="s">
        <v>89</v>
      </c>
      <c r="H1120" s="25">
        <v>250</v>
      </c>
      <c r="I1120" s="25">
        <v>180</v>
      </c>
      <c r="J1120" s="25">
        <v>500</v>
      </c>
      <c r="K1120" s="25">
        <v>360</v>
      </c>
      <c r="L1120" s="25">
        <v>140</v>
      </c>
      <c r="M1120" s="27">
        <v>38.8888888888889</v>
      </c>
      <c r="N1120" s="25" t="s">
        <v>63</v>
      </c>
      <c r="O1120" s="25" t="s">
        <v>27</v>
      </c>
      <c r="P1120" s="25" t="s">
        <v>32</v>
      </c>
    </row>
    <row r="1121" spans="1:16" x14ac:dyDescent="0.3">
      <c r="A1121" s="25">
        <v>1120</v>
      </c>
      <c r="B1121" s="26">
        <v>45548</v>
      </c>
      <c r="C1121" s="25" t="s">
        <v>65</v>
      </c>
      <c r="D1121" s="25" t="s">
        <v>21</v>
      </c>
      <c r="E1121" s="25" t="s">
        <v>98</v>
      </c>
      <c r="F1121" s="25">
        <v>2</v>
      </c>
      <c r="G1121" s="25" t="s">
        <v>89</v>
      </c>
      <c r="H1121" s="25">
        <v>95</v>
      </c>
      <c r="I1121" s="25">
        <v>55</v>
      </c>
      <c r="J1121" s="25">
        <v>190</v>
      </c>
      <c r="K1121" s="25">
        <v>110</v>
      </c>
      <c r="L1121" s="25">
        <v>80</v>
      </c>
      <c r="M1121" s="27">
        <v>72.727272727272705</v>
      </c>
      <c r="N1121" s="25" t="s">
        <v>63</v>
      </c>
      <c r="O1121" s="25" t="s">
        <v>27</v>
      </c>
      <c r="P1121" s="25" t="s">
        <v>32</v>
      </c>
    </row>
    <row r="1122" spans="1:16" x14ac:dyDescent="0.3">
      <c r="A1122" s="25">
        <v>1121</v>
      </c>
      <c r="B1122" s="26">
        <v>45549</v>
      </c>
      <c r="C1122" s="25" t="s">
        <v>65</v>
      </c>
      <c r="D1122" s="25" t="s">
        <v>22</v>
      </c>
      <c r="E1122" s="25" t="s">
        <v>92</v>
      </c>
      <c r="F1122" s="25">
        <v>1.5</v>
      </c>
      <c r="G1122" s="25" t="s">
        <v>91</v>
      </c>
      <c r="H1122" s="25">
        <v>260</v>
      </c>
      <c r="I1122" s="25">
        <v>220</v>
      </c>
      <c r="J1122" s="25">
        <v>390</v>
      </c>
      <c r="K1122" s="25">
        <v>330</v>
      </c>
      <c r="L1122" s="25">
        <v>60</v>
      </c>
      <c r="M1122" s="27">
        <v>18.181818181818201</v>
      </c>
      <c r="N1122" s="25" t="s">
        <v>63</v>
      </c>
      <c r="O1122" s="25" t="s">
        <v>28</v>
      </c>
      <c r="P1122" s="25" t="s">
        <v>32</v>
      </c>
    </row>
    <row r="1123" spans="1:16" x14ac:dyDescent="0.3">
      <c r="A1123" s="25">
        <v>1122</v>
      </c>
      <c r="B1123" s="26">
        <v>45550</v>
      </c>
      <c r="C1123" s="25" t="s">
        <v>65</v>
      </c>
      <c r="D1123" s="25" t="s">
        <v>21</v>
      </c>
      <c r="E1123" s="25" t="s">
        <v>88</v>
      </c>
      <c r="F1123" s="25">
        <v>7</v>
      </c>
      <c r="G1123" s="25" t="s">
        <v>89</v>
      </c>
      <c r="H1123" s="25">
        <v>130</v>
      </c>
      <c r="I1123" s="25">
        <v>100</v>
      </c>
      <c r="J1123" s="25">
        <v>910</v>
      </c>
      <c r="K1123" s="25">
        <v>700</v>
      </c>
      <c r="L1123" s="25">
        <v>210</v>
      </c>
      <c r="M1123" s="27">
        <v>30</v>
      </c>
      <c r="N1123" s="25" t="s">
        <v>63</v>
      </c>
      <c r="O1123" s="25" t="s">
        <v>27</v>
      </c>
      <c r="P1123" s="25" t="s">
        <v>32</v>
      </c>
    </row>
    <row r="1124" spans="1:16" x14ac:dyDescent="0.3">
      <c r="A1124" s="25">
        <v>1123</v>
      </c>
      <c r="B1124" s="26">
        <v>45551</v>
      </c>
      <c r="C1124" s="25" t="s">
        <v>65</v>
      </c>
      <c r="D1124" s="25" t="s">
        <v>22</v>
      </c>
      <c r="E1124" s="25" t="s">
        <v>96</v>
      </c>
      <c r="F1124" s="25">
        <v>1</v>
      </c>
      <c r="G1124" s="25" t="s">
        <v>97</v>
      </c>
      <c r="H1124" s="25">
        <v>300</v>
      </c>
      <c r="I1124" s="25">
        <v>265</v>
      </c>
      <c r="J1124" s="25">
        <v>300</v>
      </c>
      <c r="K1124" s="25">
        <v>265</v>
      </c>
      <c r="L1124" s="25">
        <v>35</v>
      </c>
      <c r="M1124" s="27">
        <v>13.207547169811299</v>
      </c>
      <c r="N1124" s="25" t="s">
        <v>63</v>
      </c>
      <c r="O1124" s="25" t="s">
        <v>28</v>
      </c>
      <c r="P1124" s="25" t="s">
        <v>32</v>
      </c>
    </row>
    <row r="1125" spans="1:16" x14ac:dyDescent="0.3">
      <c r="A1125" s="25">
        <v>1124</v>
      </c>
      <c r="B1125" s="26">
        <v>45551</v>
      </c>
      <c r="C1125" s="25" t="s">
        <v>65</v>
      </c>
      <c r="D1125" s="25" t="s">
        <v>22</v>
      </c>
      <c r="E1125" s="25" t="s">
        <v>96</v>
      </c>
      <c r="F1125" s="25">
        <v>1</v>
      </c>
      <c r="G1125" s="25" t="s">
        <v>97</v>
      </c>
      <c r="H1125" s="25">
        <v>300</v>
      </c>
      <c r="I1125" s="25">
        <v>265</v>
      </c>
      <c r="J1125" s="25">
        <v>300</v>
      </c>
      <c r="K1125" s="25">
        <v>265</v>
      </c>
      <c r="L1125" s="25">
        <v>35</v>
      </c>
      <c r="M1125" s="27">
        <v>13.207547169811299</v>
      </c>
      <c r="N1125" s="25" t="s">
        <v>63</v>
      </c>
      <c r="O1125" s="25" t="s">
        <v>28</v>
      </c>
      <c r="P1125" s="25" t="s">
        <v>32</v>
      </c>
    </row>
    <row r="1126" spans="1:16" x14ac:dyDescent="0.3">
      <c r="A1126" s="25">
        <v>1125</v>
      </c>
      <c r="B1126" s="26">
        <v>45551</v>
      </c>
      <c r="C1126" s="25" t="s">
        <v>65</v>
      </c>
      <c r="D1126" s="25" t="s">
        <v>21</v>
      </c>
      <c r="E1126" s="25" t="s">
        <v>88</v>
      </c>
      <c r="F1126" s="25">
        <v>8</v>
      </c>
      <c r="G1126" s="25" t="s">
        <v>89</v>
      </c>
      <c r="H1126" s="25">
        <v>130</v>
      </c>
      <c r="I1126" s="25">
        <v>100</v>
      </c>
      <c r="J1126" s="25">
        <v>1040</v>
      </c>
      <c r="K1126" s="25">
        <v>800</v>
      </c>
      <c r="L1126" s="25">
        <v>240</v>
      </c>
      <c r="M1126" s="27">
        <v>30</v>
      </c>
      <c r="N1126" s="25" t="s">
        <v>63</v>
      </c>
      <c r="O1126" s="25" t="s">
        <v>27</v>
      </c>
      <c r="P1126" s="25" t="s">
        <v>32</v>
      </c>
    </row>
    <row r="1127" spans="1:16" x14ac:dyDescent="0.3">
      <c r="A1127" s="25">
        <v>1126</v>
      </c>
      <c r="B1127" s="26">
        <v>45552</v>
      </c>
      <c r="C1127" s="25" t="s">
        <v>65</v>
      </c>
      <c r="D1127" s="25" t="s">
        <v>21</v>
      </c>
      <c r="E1127" s="25" t="s">
        <v>88</v>
      </c>
      <c r="F1127" s="25">
        <v>3</v>
      </c>
      <c r="G1127" s="25" t="s">
        <v>89</v>
      </c>
      <c r="H1127" s="25">
        <v>130</v>
      </c>
      <c r="I1127" s="25">
        <v>100</v>
      </c>
      <c r="J1127" s="25">
        <v>390</v>
      </c>
      <c r="K1127" s="25">
        <v>300</v>
      </c>
      <c r="L1127" s="25">
        <v>90</v>
      </c>
      <c r="M1127" s="27">
        <v>30</v>
      </c>
      <c r="N1127" s="25" t="s">
        <v>63</v>
      </c>
      <c r="O1127" s="25" t="s">
        <v>27</v>
      </c>
      <c r="P1127" s="25" t="s">
        <v>32</v>
      </c>
    </row>
    <row r="1128" spans="1:16" x14ac:dyDescent="0.3">
      <c r="A1128" s="25">
        <v>1127</v>
      </c>
      <c r="B1128" s="26">
        <v>45552</v>
      </c>
      <c r="C1128" s="25" t="s">
        <v>65</v>
      </c>
      <c r="D1128" s="25" t="s">
        <v>21</v>
      </c>
      <c r="E1128" s="25" t="s">
        <v>94</v>
      </c>
      <c r="F1128" s="25">
        <v>2</v>
      </c>
      <c r="G1128" s="25" t="s">
        <v>89</v>
      </c>
      <c r="H1128" s="25">
        <v>30</v>
      </c>
      <c r="I1128" s="25">
        <v>26</v>
      </c>
      <c r="J1128" s="25">
        <v>60</v>
      </c>
      <c r="K1128" s="25">
        <v>52</v>
      </c>
      <c r="L1128" s="25">
        <v>8</v>
      </c>
      <c r="M1128" s="27">
        <v>15.384615384615399</v>
      </c>
      <c r="N1128" s="25" t="s">
        <v>63</v>
      </c>
      <c r="O1128" s="25" t="s">
        <v>27</v>
      </c>
      <c r="P1128" s="25" t="s">
        <v>32</v>
      </c>
    </row>
    <row r="1129" spans="1:16" x14ac:dyDescent="0.3">
      <c r="A1129" s="25">
        <v>1128</v>
      </c>
      <c r="B1129" s="26">
        <v>45552</v>
      </c>
      <c r="C1129" s="25" t="s">
        <v>65</v>
      </c>
      <c r="D1129" s="25" t="s">
        <v>21</v>
      </c>
      <c r="E1129" s="25" t="s">
        <v>93</v>
      </c>
      <c r="F1129" s="25">
        <v>2</v>
      </c>
      <c r="G1129" s="25" t="s">
        <v>89</v>
      </c>
      <c r="H1129" s="25">
        <v>250</v>
      </c>
      <c r="I1129" s="25">
        <v>180</v>
      </c>
      <c r="J1129" s="25">
        <v>500</v>
      </c>
      <c r="K1129" s="25">
        <v>360</v>
      </c>
      <c r="L1129" s="25">
        <v>140</v>
      </c>
      <c r="M1129" s="27">
        <v>38.8888888888889</v>
      </c>
      <c r="N1129" s="25" t="s">
        <v>63</v>
      </c>
      <c r="O1129" s="25" t="s">
        <v>27</v>
      </c>
      <c r="P1129" s="25" t="s">
        <v>32</v>
      </c>
    </row>
    <row r="1130" spans="1:16" x14ac:dyDescent="0.3">
      <c r="A1130" s="25">
        <v>1129</v>
      </c>
      <c r="B1130" s="26">
        <v>45552</v>
      </c>
      <c r="C1130" s="25" t="s">
        <v>65</v>
      </c>
      <c r="D1130" s="25" t="s">
        <v>21</v>
      </c>
      <c r="E1130" s="25" t="s">
        <v>98</v>
      </c>
      <c r="F1130" s="25">
        <v>2</v>
      </c>
      <c r="G1130" s="25" t="s">
        <v>89</v>
      </c>
      <c r="H1130" s="25">
        <v>95</v>
      </c>
      <c r="I1130" s="25">
        <v>55</v>
      </c>
      <c r="J1130" s="25">
        <v>190</v>
      </c>
      <c r="K1130" s="25">
        <v>110</v>
      </c>
      <c r="L1130" s="25">
        <v>80</v>
      </c>
      <c r="M1130" s="27">
        <v>72.727272727272705</v>
      </c>
      <c r="N1130" s="25" t="s">
        <v>63</v>
      </c>
      <c r="O1130" s="25" t="s">
        <v>27</v>
      </c>
      <c r="P1130" s="25" t="s">
        <v>32</v>
      </c>
    </row>
    <row r="1131" spans="1:16" x14ac:dyDescent="0.3">
      <c r="A1131" s="25">
        <v>1130</v>
      </c>
      <c r="B1131" s="26">
        <v>45553</v>
      </c>
      <c r="C1131" s="25" t="s">
        <v>65</v>
      </c>
      <c r="D1131" s="25" t="s">
        <v>21</v>
      </c>
      <c r="E1131" s="25" t="s">
        <v>88</v>
      </c>
      <c r="F1131" s="25">
        <v>3</v>
      </c>
      <c r="G1131" s="25" t="s">
        <v>89</v>
      </c>
      <c r="H1131" s="25">
        <v>130</v>
      </c>
      <c r="I1131" s="25">
        <v>100</v>
      </c>
      <c r="J1131" s="25">
        <v>390</v>
      </c>
      <c r="K1131" s="25">
        <v>300</v>
      </c>
      <c r="L1131" s="25">
        <v>90</v>
      </c>
      <c r="M1131" s="27">
        <v>30</v>
      </c>
      <c r="N1131" s="25" t="s">
        <v>63</v>
      </c>
      <c r="O1131" s="25" t="s">
        <v>27</v>
      </c>
      <c r="P1131" s="25" t="s">
        <v>32</v>
      </c>
    </row>
    <row r="1132" spans="1:16" x14ac:dyDescent="0.3">
      <c r="A1132" s="25">
        <v>1131</v>
      </c>
      <c r="B1132" s="26">
        <v>45553</v>
      </c>
      <c r="C1132" s="25" t="s">
        <v>65</v>
      </c>
      <c r="D1132" s="25" t="s">
        <v>21</v>
      </c>
      <c r="E1132" s="25" t="s">
        <v>88</v>
      </c>
      <c r="F1132" s="25">
        <v>1</v>
      </c>
      <c r="G1132" s="25" t="s">
        <v>89</v>
      </c>
      <c r="H1132" s="25">
        <v>130</v>
      </c>
      <c r="I1132" s="25">
        <v>100</v>
      </c>
      <c r="J1132" s="25">
        <v>130</v>
      </c>
      <c r="K1132" s="25">
        <v>100</v>
      </c>
      <c r="L1132" s="25">
        <v>30</v>
      </c>
      <c r="M1132" s="27">
        <v>30</v>
      </c>
      <c r="N1132" s="25" t="s">
        <v>63</v>
      </c>
      <c r="O1132" s="25" t="s">
        <v>27</v>
      </c>
      <c r="P1132" s="25" t="s">
        <v>32</v>
      </c>
    </row>
    <row r="1133" spans="1:16" x14ac:dyDescent="0.3">
      <c r="A1133" s="25">
        <v>1132</v>
      </c>
      <c r="B1133" s="26">
        <v>45553</v>
      </c>
      <c r="C1133" s="25" t="s">
        <v>65</v>
      </c>
      <c r="D1133" s="25" t="s">
        <v>21</v>
      </c>
      <c r="E1133" s="25" t="s">
        <v>94</v>
      </c>
      <c r="F1133" s="25">
        <v>7</v>
      </c>
      <c r="G1133" s="25" t="s">
        <v>89</v>
      </c>
      <c r="H1133" s="25">
        <v>30</v>
      </c>
      <c r="I1133" s="25">
        <v>26</v>
      </c>
      <c r="J1133" s="25">
        <v>210</v>
      </c>
      <c r="K1133" s="25">
        <v>182</v>
      </c>
      <c r="L1133" s="25">
        <v>28</v>
      </c>
      <c r="M1133" s="27">
        <v>15.384615384615399</v>
      </c>
      <c r="N1133" s="25" t="s">
        <v>63</v>
      </c>
      <c r="O1133" s="25" t="s">
        <v>27</v>
      </c>
      <c r="P1133" s="25" t="s">
        <v>32</v>
      </c>
    </row>
    <row r="1134" spans="1:16" x14ac:dyDescent="0.3">
      <c r="A1134" s="25">
        <v>1133</v>
      </c>
      <c r="B1134" s="26">
        <v>45554</v>
      </c>
      <c r="C1134" s="25" t="s">
        <v>65</v>
      </c>
      <c r="D1134" s="25" t="s">
        <v>21</v>
      </c>
      <c r="E1134" s="25" t="s">
        <v>93</v>
      </c>
      <c r="F1134" s="25">
        <v>2</v>
      </c>
      <c r="G1134" s="25" t="s">
        <v>89</v>
      </c>
      <c r="H1134" s="25">
        <v>250</v>
      </c>
      <c r="I1134" s="25">
        <v>180</v>
      </c>
      <c r="J1134" s="25">
        <v>500</v>
      </c>
      <c r="K1134" s="25">
        <v>360</v>
      </c>
      <c r="L1134" s="25">
        <v>140</v>
      </c>
      <c r="M1134" s="27">
        <v>38.8888888888889</v>
      </c>
      <c r="N1134" s="25" t="s">
        <v>63</v>
      </c>
      <c r="O1134" s="25" t="s">
        <v>27</v>
      </c>
      <c r="P1134" s="25" t="s">
        <v>32</v>
      </c>
    </row>
    <row r="1135" spans="1:16" x14ac:dyDescent="0.3">
      <c r="A1135" s="25">
        <v>1134</v>
      </c>
      <c r="B1135" s="26">
        <v>45554</v>
      </c>
      <c r="C1135" s="25" t="s">
        <v>65</v>
      </c>
      <c r="D1135" s="25" t="s">
        <v>21</v>
      </c>
      <c r="E1135" s="25" t="s">
        <v>98</v>
      </c>
      <c r="F1135" s="25">
        <v>3</v>
      </c>
      <c r="G1135" s="25" t="s">
        <v>89</v>
      </c>
      <c r="H1135" s="25">
        <v>95</v>
      </c>
      <c r="I1135" s="25">
        <v>55</v>
      </c>
      <c r="J1135" s="25">
        <v>285</v>
      </c>
      <c r="K1135" s="25">
        <v>165</v>
      </c>
      <c r="L1135" s="25">
        <v>120</v>
      </c>
      <c r="M1135" s="27">
        <v>72.727272727272705</v>
      </c>
      <c r="N1135" s="25" t="s">
        <v>63</v>
      </c>
      <c r="O1135" s="25" t="s">
        <v>27</v>
      </c>
      <c r="P1135" s="25" t="s">
        <v>32</v>
      </c>
    </row>
    <row r="1136" spans="1:16" x14ac:dyDescent="0.3">
      <c r="A1136" s="25">
        <v>1135</v>
      </c>
      <c r="B1136" s="26">
        <v>45554</v>
      </c>
      <c r="C1136" s="25" t="s">
        <v>65</v>
      </c>
      <c r="D1136" s="25" t="s">
        <v>21</v>
      </c>
      <c r="E1136" s="25" t="s">
        <v>88</v>
      </c>
      <c r="F1136" s="25">
        <v>2</v>
      </c>
      <c r="G1136" s="25" t="s">
        <v>89</v>
      </c>
      <c r="H1136" s="25">
        <v>130</v>
      </c>
      <c r="I1136" s="25">
        <v>100</v>
      </c>
      <c r="J1136" s="25">
        <v>260</v>
      </c>
      <c r="K1136" s="25">
        <v>200</v>
      </c>
      <c r="L1136" s="25">
        <v>60</v>
      </c>
      <c r="M1136" s="27">
        <v>30</v>
      </c>
      <c r="N1136" s="25" t="s">
        <v>63</v>
      </c>
      <c r="O1136" s="25" t="s">
        <v>27</v>
      </c>
      <c r="P1136" s="25" t="s">
        <v>32</v>
      </c>
    </row>
    <row r="1137" spans="1:16" x14ac:dyDescent="0.3">
      <c r="A1137" s="25">
        <v>1136</v>
      </c>
      <c r="B1137" s="26">
        <v>45554</v>
      </c>
      <c r="C1137" s="25" t="s">
        <v>65</v>
      </c>
      <c r="D1137" s="25" t="s">
        <v>21</v>
      </c>
      <c r="E1137" s="25" t="s">
        <v>88</v>
      </c>
      <c r="F1137" s="25">
        <v>5</v>
      </c>
      <c r="G1137" s="25" t="s">
        <v>89</v>
      </c>
      <c r="H1137" s="25">
        <v>130</v>
      </c>
      <c r="I1137" s="25">
        <v>100</v>
      </c>
      <c r="J1137" s="25">
        <v>650</v>
      </c>
      <c r="K1137" s="25">
        <v>500</v>
      </c>
      <c r="L1137" s="25">
        <v>150</v>
      </c>
      <c r="M1137" s="27">
        <v>30</v>
      </c>
      <c r="N1137" s="25" t="s">
        <v>63</v>
      </c>
      <c r="O1137" s="25" t="s">
        <v>27</v>
      </c>
      <c r="P1137" s="25" t="s">
        <v>32</v>
      </c>
    </row>
    <row r="1138" spans="1:16" x14ac:dyDescent="0.3">
      <c r="A1138" s="25">
        <v>1137</v>
      </c>
      <c r="B1138" s="26">
        <v>45555</v>
      </c>
      <c r="C1138" s="25" t="s">
        <v>65</v>
      </c>
      <c r="D1138" s="25" t="s">
        <v>21</v>
      </c>
      <c r="E1138" s="25" t="s">
        <v>88</v>
      </c>
      <c r="F1138" s="25">
        <v>3</v>
      </c>
      <c r="G1138" s="25" t="s">
        <v>89</v>
      </c>
      <c r="H1138" s="25">
        <v>130</v>
      </c>
      <c r="I1138" s="25">
        <v>100</v>
      </c>
      <c r="J1138" s="25">
        <v>390</v>
      </c>
      <c r="K1138" s="25">
        <v>300</v>
      </c>
      <c r="L1138" s="25">
        <v>90</v>
      </c>
      <c r="M1138" s="27">
        <v>30</v>
      </c>
      <c r="N1138" s="25" t="s">
        <v>63</v>
      </c>
      <c r="O1138" s="25" t="s">
        <v>27</v>
      </c>
      <c r="P1138" s="25" t="s">
        <v>32</v>
      </c>
    </row>
    <row r="1139" spans="1:16" x14ac:dyDescent="0.3">
      <c r="A1139" s="25">
        <v>1138</v>
      </c>
      <c r="B1139" s="26">
        <v>45555</v>
      </c>
      <c r="C1139" s="25" t="s">
        <v>65</v>
      </c>
      <c r="D1139" s="25" t="s">
        <v>21</v>
      </c>
      <c r="E1139" s="25" t="s">
        <v>93</v>
      </c>
      <c r="F1139" s="25">
        <v>2</v>
      </c>
      <c r="G1139" s="25" t="s">
        <v>89</v>
      </c>
      <c r="H1139" s="25">
        <v>250</v>
      </c>
      <c r="I1139" s="25">
        <v>180</v>
      </c>
      <c r="J1139" s="25">
        <v>500</v>
      </c>
      <c r="K1139" s="25">
        <v>360</v>
      </c>
      <c r="L1139" s="25">
        <v>140</v>
      </c>
      <c r="M1139" s="27">
        <v>38.8888888888889</v>
      </c>
      <c r="N1139" s="25" t="s">
        <v>63</v>
      </c>
      <c r="O1139" s="25" t="s">
        <v>27</v>
      </c>
      <c r="P1139" s="25" t="s">
        <v>32</v>
      </c>
    </row>
    <row r="1140" spans="1:16" x14ac:dyDescent="0.3">
      <c r="A1140" s="25">
        <v>1139</v>
      </c>
      <c r="B1140" s="26">
        <v>45555</v>
      </c>
      <c r="C1140" s="25" t="s">
        <v>65</v>
      </c>
      <c r="D1140" s="25" t="s">
        <v>21</v>
      </c>
      <c r="E1140" s="25" t="s">
        <v>88</v>
      </c>
      <c r="F1140" s="25">
        <v>1</v>
      </c>
      <c r="G1140" s="25" t="s">
        <v>89</v>
      </c>
      <c r="H1140" s="25">
        <v>130</v>
      </c>
      <c r="I1140" s="25">
        <v>100</v>
      </c>
      <c r="J1140" s="25">
        <v>130</v>
      </c>
      <c r="K1140" s="25">
        <v>100</v>
      </c>
      <c r="L1140" s="25">
        <v>30</v>
      </c>
      <c r="M1140" s="27">
        <v>30</v>
      </c>
      <c r="N1140" s="25" t="s">
        <v>63</v>
      </c>
      <c r="O1140" s="25" t="s">
        <v>27</v>
      </c>
      <c r="P1140" s="25" t="s">
        <v>32</v>
      </c>
    </row>
    <row r="1141" spans="1:16" x14ac:dyDescent="0.3">
      <c r="A1141" s="25">
        <v>1140</v>
      </c>
      <c r="B1141" s="26">
        <v>45555</v>
      </c>
      <c r="C1141" s="25" t="s">
        <v>65</v>
      </c>
      <c r="D1141" s="25" t="s">
        <v>21</v>
      </c>
      <c r="E1141" s="25" t="s">
        <v>88</v>
      </c>
      <c r="F1141" s="25">
        <v>6</v>
      </c>
      <c r="G1141" s="25" t="s">
        <v>89</v>
      </c>
      <c r="H1141" s="25">
        <v>130</v>
      </c>
      <c r="I1141" s="25">
        <v>100</v>
      </c>
      <c r="J1141" s="25">
        <v>780</v>
      </c>
      <c r="K1141" s="25">
        <v>600</v>
      </c>
      <c r="L1141" s="25">
        <v>180</v>
      </c>
      <c r="M1141" s="27">
        <v>30</v>
      </c>
      <c r="N1141" s="25" t="s">
        <v>63</v>
      </c>
      <c r="O1141" s="25" t="s">
        <v>27</v>
      </c>
      <c r="P1141" s="25" t="s">
        <v>32</v>
      </c>
    </row>
    <row r="1142" spans="1:16" x14ac:dyDescent="0.3">
      <c r="A1142" s="25">
        <v>1141</v>
      </c>
      <c r="B1142" s="26">
        <v>45556</v>
      </c>
      <c r="C1142" s="25" t="s">
        <v>65</v>
      </c>
      <c r="D1142" s="25" t="s">
        <v>21</v>
      </c>
      <c r="E1142" s="25" t="s">
        <v>88</v>
      </c>
      <c r="F1142" s="25">
        <v>3</v>
      </c>
      <c r="G1142" s="25" t="s">
        <v>89</v>
      </c>
      <c r="H1142" s="25">
        <v>130</v>
      </c>
      <c r="I1142" s="25">
        <v>100</v>
      </c>
      <c r="J1142" s="25">
        <v>390</v>
      </c>
      <c r="K1142" s="25">
        <v>300</v>
      </c>
      <c r="L1142" s="25">
        <v>90</v>
      </c>
      <c r="M1142" s="27">
        <v>30</v>
      </c>
      <c r="N1142" s="25" t="s">
        <v>63</v>
      </c>
      <c r="O1142" s="25" t="s">
        <v>27</v>
      </c>
      <c r="P1142" s="25" t="s">
        <v>32</v>
      </c>
    </row>
    <row r="1143" spans="1:16" x14ac:dyDescent="0.3">
      <c r="A1143" s="25">
        <v>1142</v>
      </c>
      <c r="B1143" s="26">
        <v>45556</v>
      </c>
      <c r="C1143" s="25" t="s">
        <v>65</v>
      </c>
      <c r="D1143" s="25" t="s">
        <v>21</v>
      </c>
      <c r="E1143" s="25" t="s">
        <v>94</v>
      </c>
      <c r="F1143" s="25">
        <v>12</v>
      </c>
      <c r="G1143" s="25" t="s">
        <v>89</v>
      </c>
      <c r="H1143" s="25">
        <v>30</v>
      </c>
      <c r="I1143" s="25">
        <v>26</v>
      </c>
      <c r="J1143" s="25">
        <v>360</v>
      </c>
      <c r="K1143" s="25">
        <v>312</v>
      </c>
      <c r="L1143" s="25">
        <v>48</v>
      </c>
      <c r="M1143" s="27">
        <v>15.384615384615399</v>
      </c>
      <c r="N1143" s="25" t="s">
        <v>63</v>
      </c>
      <c r="O1143" s="25" t="s">
        <v>27</v>
      </c>
      <c r="P1143" s="25" t="s">
        <v>32</v>
      </c>
    </row>
    <row r="1144" spans="1:16" x14ac:dyDescent="0.3">
      <c r="A1144" s="25">
        <v>1143</v>
      </c>
      <c r="B1144" s="26">
        <v>45556</v>
      </c>
      <c r="C1144" s="25" t="s">
        <v>65</v>
      </c>
      <c r="D1144" s="25" t="s">
        <v>21</v>
      </c>
      <c r="E1144" s="25" t="s">
        <v>93</v>
      </c>
      <c r="F1144" s="25">
        <v>2</v>
      </c>
      <c r="G1144" s="25" t="s">
        <v>89</v>
      </c>
      <c r="H1144" s="25">
        <v>250</v>
      </c>
      <c r="I1144" s="25">
        <v>180</v>
      </c>
      <c r="J1144" s="25">
        <v>500</v>
      </c>
      <c r="K1144" s="25">
        <v>360</v>
      </c>
      <c r="L1144" s="25">
        <v>140</v>
      </c>
      <c r="M1144" s="27">
        <v>38.8888888888889</v>
      </c>
      <c r="N1144" s="25" t="s">
        <v>63</v>
      </c>
      <c r="O1144" s="25" t="s">
        <v>27</v>
      </c>
      <c r="P1144" s="25" t="s">
        <v>32</v>
      </c>
    </row>
    <row r="1145" spans="1:16" x14ac:dyDescent="0.3">
      <c r="A1145" s="25">
        <v>1144</v>
      </c>
      <c r="B1145" s="26">
        <v>45556</v>
      </c>
      <c r="C1145" s="25" t="s">
        <v>65</v>
      </c>
      <c r="D1145" s="25" t="s">
        <v>21</v>
      </c>
      <c r="E1145" s="25" t="s">
        <v>88</v>
      </c>
      <c r="F1145" s="25">
        <v>4</v>
      </c>
      <c r="G1145" s="25" t="s">
        <v>89</v>
      </c>
      <c r="H1145" s="25">
        <v>130</v>
      </c>
      <c r="I1145" s="25">
        <v>100</v>
      </c>
      <c r="J1145" s="25">
        <v>520</v>
      </c>
      <c r="K1145" s="25">
        <v>400</v>
      </c>
      <c r="L1145" s="25">
        <v>120</v>
      </c>
      <c r="M1145" s="27">
        <v>30</v>
      </c>
      <c r="N1145" s="25" t="s">
        <v>63</v>
      </c>
      <c r="O1145" s="25" t="s">
        <v>27</v>
      </c>
      <c r="P1145" s="25" t="s">
        <v>32</v>
      </c>
    </row>
    <row r="1146" spans="1:16" x14ac:dyDescent="0.3">
      <c r="A1146" s="25">
        <v>1145</v>
      </c>
      <c r="B1146" s="26">
        <v>45556</v>
      </c>
      <c r="C1146" s="25" t="s">
        <v>65</v>
      </c>
      <c r="D1146" s="25" t="s">
        <v>21</v>
      </c>
      <c r="E1146" s="25" t="s">
        <v>98</v>
      </c>
      <c r="F1146" s="25">
        <v>3</v>
      </c>
      <c r="G1146" s="25" t="s">
        <v>89</v>
      </c>
      <c r="H1146" s="25">
        <v>95</v>
      </c>
      <c r="I1146" s="25">
        <v>55</v>
      </c>
      <c r="J1146" s="25">
        <v>285</v>
      </c>
      <c r="K1146" s="25">
        <v>165</v>
      </c>
      <c r="L1146" s="25">
        <v>120</v>
      </c>
      <c r="M1146" s="27">
        <v>72.727272727272705</v>
      </c>
      <c r="N1146" s="25" t="s">
        <v>63</v>
      </c>
      <c r="O1146" s="25" t="s">
        <v>27</v>
      </c>
      <c r="P1146" s="25" t="s">
        <v>32</v>
      </c>
    </row>
    <row r="1147" spans="1:16" x14ac:dyDescent="0.3">
      <c r="A1147" s="25">
        <v>1146</v>
      </c>
      <c r="B1147" s="26">
        <v>45556</v>
      </c>
      <c r="C1147" s="25" t="s">
        <v>65</v>
      </c>
      <c r="D1147" s="25" t="s">
        <v>21</v>
      </c>
      <c r="E1147" s="25" t="s">
        <v>94</v>
      </c>
      <c r="F1147" s="25">
        <v>14</v>
      </c>
      <c r="G1147" s="25" t="s">
        <v>89</v>
      </c>
      <c r="H1147" s="25">
        <v>30</v>
      </c>
      <c r="I1147" s="25">
        <v>26</v>
      </c>
      <c r="J1147" s="25">
        <v>420</v>
      </c>
      <c r="K1147" s="25">
        <v>364</v>
      </c>
      <c r="L1147" s="25">
        <v>56</v>
      </c>
      <c r="M1147" s="27">
        <v>15.384615384615399</v>
      </c>
      <c r="N1147" s="25" t="s">
        <v>63</v>
      </c>
      <c r="O1147" s="25" t="s">
        <v>27</v>
      </c>
      <c r="P1147" s="25" t="s">
        <v>32</v>
      </c>
    </row>
    <row r="1148" spans="1:16" x14ac:dyDescent="0.3">
      <c r="A1148" s="25">
        <v>1147</v>
      </c>
      <c r="B1148" s="26">
        <v>45556</v>
      </c>
      <c r="C1148" s="25" t="s">
        <v>65</v>
      </c>
      <c r="D1148" s="25" t="s">
        <v>21</v>
      </c>
      <c r="E1148" s="25" t="s">
        <v>93</v>
      </c>
      <c r="F1148" s="25">
        <v>2</v>
      </c>
      <c r="G1148" s="25" t="s">
        <v>89</v>
      </c>
      <c r="H1148" s="25">
        <v>250</v>
      </c>
      <c r="I1148" s="25">
        <v>180</v>
      </c>
      <c r="J1148" s="25">
        <v>500</v>
      </c>
      <c r="K1148" s="25">
        <v>360</v>
      </c>
      <c r="L1148" s="25">
        <v>140</v>
      </c>
      <c r="M1148" s="27">
        <v>38.8888888888889</v>
      </c>
      <c r="N1148" s="25" t="s">
        <v>63</v>
      </c>
      <c r="O1148" s="25" t="s">
        <v>27</v>
      </c>
      <c r="P1148" s="25" t="s">
        <v>32</v>
      </c>
    </row>
    <row r="1149" spans="1:16" x14ac:dyDescent="0.3">
      <c r="A1149" s="25">
        <v>1148</v>
      </c>
      <c r="B1149" s="26">
        <v>45557</v>
      </c>
      <c r="C1149" s="25" t="s">
        <v>65</v>
      </c>
      <c r="D1149" s="25" t="s">
        <v>21</v>
      </c>
      <c r="E1149" s="25" t="s">
        <v>94</v>
      </c>
      <c r="F1149" s="25">
        <v>6</v>
      </c>
      <c r="G1149" s="25" t="s">
        <v>89</v>
      </c>
      <c r="H1149" s="25">
        <v>30</v>
      </c>
      <c r="I1149" s="25">
        <v>26</v>
      </c>
      <c r="J1149" s="25">
        <v>180</v>
      </c>
      <c r="K1149" s="25">
        <v>156</v>
      </c>
      <c r="L1149" s="25">
        <v>24</v>
      </c>
      <c r="M1149" s="27">
        <v>15.384615384615399</v>
      </c>
      <c r="N1149" s="25" t="s">
        <v>63</v>
      </c>
      <c r="O1149" s="25" t="s">
        <v>27</v>
      </c>
      <c r="P1149" s="25" t="s">
        <v>32</v>
      </c>
    </row>
    <row r="1150" spans="1:16" x14ac:dyDescent="0.3">
      <c r="A1150" s="25">
        <v>1149</v>
      </c>
      <c r="B1150" s="26">
        <v>45557</v>
      </c>
      <c r="C1150" s="25" t="s">
        <v>65</v>
      </c>
      <c r="D1150" s="25" t="s">
        <v>22</v>
      </c>
      <c r="E1150" s="25" t="s">
        <v>90</v>
      </c>
      <c r="F1150" s="25">
        <v>2</v>
      </c>
      <c r="G1150" s="25" t="s">
        <v>91</v>
      </c>
      <c r="H1150" s="25">
        <v>280</v>
      </c>
      <c r="I1150" s="25">
        <v>240</v>
      </c>
      <c r="J1150" s="25">
        <v>560</v>
      </c>
      <c r="K1150" s="25">
        <v>480</v>
      </c>
      <c r="L1150" s="25">
        <v>80</v>
      </c>
      <c r="M1150" s="27">
        <v>16.6666666666667</v>
      </c>
      <c r="N1150" s="25" t="s">
        <v>63</v>
      </c>
      <c r="O1150" s="25" t="s">
        <v>28</v>
      </c>
      <c r="P1150" s="25" t="s">
        <v>32</v>
      </c>
    </row>
    <row r="1151" spans="1:16" x14ac:dyDescent="0.3">
      <c r="A1151" s="25">
        <v>1150</v>
      </c>
      <c r="B1151" s="26">
        <v>45557</v>
      </c>
      <c r="C1151" s="25" t="s">
        <v>65</v>
      </c>
      <c r="D1151" s="25" t="s">
        <v>22</v>
      </c>
      <c r="E1151" s="25" t="s">
        <v>92</v>
      </c>
      <c r="F1151" s="25">
        <v>1.5</v>
      </c>
      <c r="G1151" s="25" t="s">
        <v>91</v>
      </c>
      <c r="H1151" s="25">
        <v>260</v>
      </c>
      <c r="I1151" s="25">
        <v>220</v>
      </c>
      <c r="J1151" s="25">
        <v>390</v>
      </c>
      <c r="K1151" s="25">
        <v>330</v>
      </c>
      <c r="L1151" s="25">
        <v>60</v>
      </c>
      <c r="M1151" s="27">
        <v>18.181818181818201</v>
      </c>
      <c r="N1151" s="25" t="s">
        <v>63</v>
      </c>
      <c r="O1151" s="25" t="s">
        <v>28</v>
      </c>
      <c r="P1151" s="25" t="s">
        <v>32</v>
      </c>
    </row>
    <row r="1152" spans="1:16" x14ac:dyDescent="0.3">
      <c r="A1152" s="25">
        <v>1151</v>
      </c>
      <c r="B1152" s="26">
        <v>45558</v>
      </c>
      <c r="C1152" s="25" t="s">
        <v>65</v>
      </c>
      <c r="D1152" s="25" t="s">
        <v>21</v>
      </c>
      <c r="E1152" s="25" t="s">
        <v>88</v>
      </c>
      <c r="F1152" s="25">
        <v>2</v>
      </c>
      <c r="G1152" s="25" t="s">
        <v>89</v>
      </c>
      <c r="H1152" s="25">
        <v>130</v>
      </c>
      <c r="I1152" s="25">
        <v>100</v>
      </c>
      <c r="J1152" s="25">
        <v>260</v>
      </c>
      <c r="K1152" s="25">
        <v>200</v>
      </c>
      <c r="L1152" s="25">
        <v>60</v>
      </c>
      <c r="M1152" s="27">
        <v>30</v>
      </c>
      <c r="N1152" s="25" t="s">
        <v>63</v>
      </c>
      <c r="O1152" s="25" t="s">
        <v>27</v>
      </c>
      <c r="P1152" s="25" t="s">
        <v>32</v>
      </c>
    </row>
    <row r="1153" spans="1:16" x14ac:dyDescent="0.3">
      <c r="A1153" s="25">
        <v>1152</v>
      </c>
      <c r="B1153" s="26">
        <v>45558</v>
      </c>
      <c r="C1153" s="25" t="s">
        <v>65</v>
      </c>
      <c r="D1153" s="25" t="s">
        <v>21</v>
      </c>
      <c r="E1153" s="25" t="s">
        <v>98</v>
      </c>
      <c r="F1153" s="25">
        <v>2</v>
      </c>
      <c r="G1153" s="25" t="s">
        <v>89</v>
      </c>
      <c r="H1153" s="25">
        <v>95</v>
      </c>
      <c r="I1153" s="25">
        <v>55</v>
      </c>
      <c r="J1153" s="25">
        <v>190</v>
      </c>
      <c r="K1153" s="25">
        <v>110</v>
      </c>
      <c r="L1153" s="25">
        <v>80</v>
      </c>
      <c r="M1153" s="27">
        <v>72.727272727272705</v>
      </c>
      <c r="N1153" s="25" t="s">
        <v>63</v>
      </c>
      <c r="O1153" s="25" t="s">
        <v>27</v>
      </c>
      <c r="P1153" s="25" t="s">
        <v>32</v>
      </c>
    </row>
    <row r="1154" spans="1:16" x14ac:dyDescent="0.3">
      <c r="A1154" s="25">
        <v>1153</v>
      </c>
      <c r="B1154" s="26">
        <v>45558</v>
      </c>
      <c r="C1154" s="25" t="s">
        <v>65</v>
      </c>
      <c r="D1154" s="25" t="s">
        <v>21</v>
      </c>
      <c r="E1154" s="25" t="s">
        <v>93</v>
      </c>
      <c r="F1154" s="25">
        <v>2</v>
      </c>
      <c r="G1154" s="25" t="s">
        <v>89</v>
      </c>
      <c r="H1154" s="25">
        <v>250</v>
      </c>
      <c r="I1154" s="25">
        <v>180</v>
      </c>
      <c r="J1154" s="25">
        <v>500</v>
      </c>
      <c r="K1154" s="25">
        <v>360</v>
      </c>
      <c r="L1154" s="25">
        <v>140</v>
      </c>
      <c r="M1154" s="27">
        <v>38.8888888888889</v>
      </c>
      <c r="N1154" s="25" t="s">
        <v>63</v>
      </c>
      <c r="O1154" s="25" t="s">
        <v>27</v>
      </c>
      <c r="P1154" s="25" t="s">
        <v>32</v>
      </c>
    </row>
    <row r="1155" spans="1:16" x14ac:dyDescent="0.3">
      <c r="A1155" s="25">
        <v>1154</v>
      </c>
      <c r="B1155" s="26">
        <v>45558</v>
      </c>
      <c r="C1155" s="25" t="s">
        <v>65</v>
      </c>
      <c r="D1155" s="25" t="s">
        <v>22</v>
      </c>
      <c r="E1155" s="25" t="s">
        <v>92</v>
      </c>
      <c r="F1155" s="25">
        <v>1</v>
      </c>
      <c r="G1155" s="25" t="s">
        <v>91</v>
      </c>
      <c r="H1155" s="25">
        <v>260</v>
      </c>
      <c r="I1155" s="25">
        <v>220</v>
      </c>
      <c r="J1155" s="25">
        <v>260</v>
      </c>
      <c r="K1155" s="25">
        <v>220</v>
      </c>
      <c r="L1155" s="25">
        <v>40</v>
      </c>
      <c r="M1155" s="27">
        <v>18.181818181818201</v>
      </c>
      <c r="N1155" s="25" t="s">
        <v>63</v>
      </c>
      <c r="O1155" s="25" t="s">
        <v>28</v>
      </c>
      <c r="P1155" s="25" t="s">
        <v>32</v>
      </c>
    </row>
    <row r="1156" spans="1:16" x14ac:dyDescent="0.3">
      <c r="A1156" s="25">
        <v>1155</v>
      </c>
      <c r="B1156" s="26">
        <v>45559</v>
      </c>
      <c r="C1156" s="25" t="s">
        <v>65</v>
      </c>
      <c r="D1156" s="25" t="s">
        <v>22</v>
      </c>
      <c r="E1156" s="25" t="s">
        <v>92</v>
      </c>
      <c r="F1156" s="25">
        <v>1.5</v>
      </c>
      <c r="G1156" s="25" t="s">
        <v>91</v>
      </c>
      <c r="H1156" s="25">
        <v>260</v>
      </c>
      <c r="I1156" s="25">
        <v>220</v>
      </c>
      <c r="J1156" s="25">
        <v>390</v>
      </c>
      <c r="K1156" s="25">
        <v>330</v>
      </c>
      <c r="L1156" s="25">
        <v>60</v>
      </c>
      <c r="M1156" s="27">
        <v>18.181818181818201</v>
      </c>
      <c r="N1156" s="25" t="s">
        <v>63</v>
      </c>
      <c r="O1156" s="25" t="s">
        <v>28</v>
      </c>
      <c r="P1156" s="25" t="s">
        <v>32</v>
      </c>
    </row>
    <row r="1157" spans="1:16" x14ac:dyDescent="0.3">
      <c r="A1157" s="25">
        <v>1156</v>
      </c>
      <c r="B1157" s="26">
        <v>45559</v>
      </c>
      <c r="C1157" s="25" t="s">
        <v>65</v>
      </c>
      <c r="D1157" s="25" t="s">
        <v>21</v>
      </c>
      <c r="E1157" s="25" t="s">
        <v>88</v>
      </c>
      <c r="F1157" s="25">
        <v>2</v>
      </c>
      <c r="G1157" s="25" t="s">
        <v>89</v>
      </c>
      <c r="H1157" s="25">
        <v>130</v>
      </c>
      <c r="I1157" s="25">
        <v>100</v>
      </c>
      <c r="J1157" s="25">
        <v>260</v>
      </c>
      <c r="K1157" s="25">
        <v>200</v>
      </c>
      <c r="L1157" s="25">
        <v>60</v>
      </c>
      <c r="M1157" s="27">
        <v>30</v>
      </c>
      <c r="N1157" s="25" t="s">
        <v>63</v>
      </c>
      <c r="O1157" s="25" t="s">
        <v>27</v>
      </c>
      <c r="P1157" s="25" t="s">
        <v>32</v>
      </c>
    </row>
    <row r="1158" spans="1:16" x14ac:dyDescent="0.3">
      <c r="A1158" s="25">
        <v>1157</v>
      </c>
      <c r="B1158" s="26">
        <v>45559</v>
      </c>
      <c r="C1158" s="25" t="s">
        <v>65</v>
      </c>
      <c r="D1158" s="25" t="s">
        <v>21</v>
      </c>
      <c r="E1158" s="25" t="s">
        <v>94</v>
      </c>
      <c r="F1158" s="25">
        <v>13</v>
      </c>
      <c r="G1158" s="25" t="s">
        <v>89</v>
      </c>
      <c r="H1158" s="25">
        <v>30</v>
      </c>
      <c r="I1158" s="25">
        <v>26</v>
      </c>
      <c r="J1158" s="25">
        <v>390</v>
      </c>
      <c r="K1158" s="25">
        <v>338</v>
      </c>
      <c r="L1158" s="25">
        <v>52</v>
      </c>
      <c r="M1158" s="27">
        <v>15.384615384615399</v>
      </c>
      <c r="N1158" s="25" t="s">
        <v>63</v>
      </c>
      <c r="O1158" s="25" t="s">
        <v>27</v>
      </c>
      <c r="P1158" s="25" t="s">
        <v>32</v>
      </c>
    </row>
    <row r="1159" spans="1:16" x14ac:dyDescent="0.3">
      <c r="A1159" s="25">
        <v>1158</v>
      </c>
      <c r="B1159" s="26">
        <v>45559</v>
      </c>
      <c r="C1159" s="25" t="s">
        <v>65</v>
      </c>
      <c r="D1159" s="25" t="s">
        <v>21</v>
      </c>
      <c r="E1159" s="25" t="s">
        <v>98</v>
      </c>
      <c r="F1159" s="25">
        <v>2</v>
      </c>
      <c r="G1159" s="25" t="s">
        <v>89</v>
      </c>
      <c r="H1159" s="25">
        <v>95</v>
      </c>
      <c r="I1159" s="25">
        <v>55</v>
      </c>
      <c r="J1159" s="25">
        <v>190</v>
      </c>
      <c r="K1159" s="25">
        <v>110</v>
      </c>
      <c r="L1159" s="25">
        <v>80</v>
      </c>
      <c r="M1159" s="27">
        <v>72.727272727272705</v>
      </c>
      <c r="N1159" s="25" t="s">
        <v>63</v>
      </c>
      <c r="O1159" s="25" t="s">
        <v>27</v>
      </c>
      <c r="P1159" s="25" t="s">
        <v>32</v>
      </c>
    </row>
    <row r="1160" spans="1:16" x14ac:dyDescent="0.3">
      <c r="A1160" s="25">
        <v>1159</v>
      </c>
      <c r="B1160" s="26">
        <v>45560</v>
      </c>
      <c r="C1160" s="25" t="s">
        <v>65</v>
      </c>
      <c r="D1160" s="25" t="s">
        <v>21</v>
      </c>
      <c r="E1160" s="25" t="s">
        <v>88</v>
      </c>
      <c r="F1160" s="25">
        <v>2</v>
      </c>
      <c r="G1160" s="25" t="s">
        <v>89</v>
      </c>
      <c r="H1160" s="25">
        <v>130</v>
      </c>
      <c r="I1160" s="25">
        <v>100</v>
      </c>
      <c r="J1160" s="25">
        <v>260</v>
      </c>
      <c r="K1160" s="25">
        <v>200</v>
      </c>
      <c r="L1160" s="25">
        <v>60</v>
      </c>
      <c r="M1160" s="27">
        <v>30</v>
      </c>
      <c r="N1160" s="25" t="s">
        <v>63</v>
      </c>
      <c r="O1160" s="25" t="s">
        <v>27</v>
      </c>
      <c r="P1160" s="25" t="s">
        <v>32</v>
      </c>
    </row>
    <row r="1161" spans="1:16" x14ac:dyDescent="0.3">
      <c r="A1161" s="25">
        <v>1160</v>
      </c>
      <c r="B1161" s="26">
        <v>45560</v>
      </c>
      <c r="C1161" s="25" t="s">
        <v>65</v>
      </c>
      <c r="D1161" s="25" t="s">
        <v>21</v>
      </c>
      <c r="E1161" s="25" t="s">
        <v>88</v>
      </c>
      <c r="F1161" s="25">
        <v>2</v>
      </c>
      <c r="G1161" s="25" t="s">
        <v>89</v>
      </c>
      <c r="H1161" s="25">
        <v>130</v>
      </c>
      <c r="I1161" s="25">
        <v>100</v>
      </c>
      <c r="J1161" s="25">
        <v>260</v>
      </c>
      <c r="K1161" s="25">
        <v>200</v>
      </c>
      <c r="L1161" s="25">
        <v>60</v>
      </c>
      <c r="M1161" s="27">
        <v>30</v>
      </c>
      <c r="N1161" s="25" t="s">
        <v>63</v>
      </c>
      <c r="O1161" s="25" t="s">
        <v>27</v>
      </c>
      <c r="P1161" s="25" t="s">
        <v>32</v>
      </c>
    </row>
    <row r="1162" spans="1:16" x14ac:dyDescent="0.3">
      <c r="A1162" s="25">
        <v>1161</v>
      </c>
      <c r="B1162" s="26">
        <v>45560</v>
      </c>
      <c r="C1162" s="25" t="s">
        <v>65</v>
      </c>
      <c r="D1162" s="25" t="s">
        <v>22</v>
      </c>
      <c r="E1162" s="25" t="s">
        <v>96</v>
      </c>
      <c r="F1162" s="25">
        <v>1</v>
      </c>
      <c r="G1162" s="25" t="s">
        <v>97</v>
      </c>
      <c r="H1162" s="25">
        <v>300</v>
      </c>
      <c r="I1162" s="25">
        <v>265</v>
      </c>
      <c r="J1162" s="25">
        <v>300</v>
      </c>
      <c r="K1162" s="25">
        <v>265</v>
      </c>
      <c r="L1162" s="25">
        <v>35</v>
      </c>
      <c r="M1162" s="27">
        <v>13.207547169811299</v>
      </c>
      <c r="N1162" s="25" t="s">
        <v>63</v>
      </c>
      <c r="O1162" s="25" t="s">
        <v>28</v>
      </c>
      <c r="P1162" s="25" t="s">
        <v>33</v>
      </c>
    </row>
    <row r="1163" spans="1:16" x14ac:dyDescent="0.3">
      <c r="A1163" s="25">
        <v>1162</v>
      </c>
      <c r="B1163" s="26">
        <v>45560</v>
      </c>
      <c r="C1163" s="25" t="s">
        <v>65</v>
      </c>
      <c r="D1163" s="25" t="s">
        <v>21</v>
      </c>
      <c r="E1163" s="25" t="s">
        <v>88</v>
      </c>
      <c r="F1163" s="25">
        <v>3</v>
      </c>
      <c r="G1163" s="25" t="s">
        <v>89</v>
      </c>
      <c r="H1163" s="25">
        <v>130</v>
      </c>
      <c r="I1163" s="25">
        <v>100</v>
      </c>
      <c r="J1163" s="25">
        <v>390</v>
      </c>
      <c r="K1163" s="25">
        <v>300</v>
      </c>
      <c r="L1163" s="25">
        <v>90</v>
      </c>
      <c r="M1163" s="27">
        <v>30</v>
      </c>
      <c r="N1163" s="25" t="s">
        <v>63</v>
      </c>
      <c r="O1163" s="25" t="s">
        <v>27</v>
      </c>
      <c r="P1163" s="25" t="s">
        <v>32</v>
      </c>
    </row>
    <row r="1164" spans="1:16" x14ac:dyDescent="0.3">
      <c r="A1164" s="25">
        <v>1163</v>
      </c>
      <c r="B1164" s="26">
        <v>45560</v>
      </c>
      <c r="C1164" s="25" t="s">
        <v>65</v>
      </c>
      <c r="D1164" s="25" t="s">
        <v>21</v>
      </c>
      <c r="E1164" s="25" t="s">
        <v>88</v>
      </c>
      <c r="F1164" s="25">
        <v>2</v>
      </c>
      <c r="G1164" s="25" t="s">
        <v>89</v>
      </c>
      <c r="H1164" s="25">
        <v>130</v>
      </c>
      <c r="I1164" s="25">
        <v>100</v>
      </c>
      <c r="J1164" s="25">
        <v>260</v>
      </c>
      <c r="K1164" s="25">
        <v>200</v>
      </c>
      <c r="L1164" s="25">
        <v>60</v>
      </c>
      <c r="M1164" s="27">
        <v>30</v>
      </c>
      <c r="N1164" s="25" t="s">
        <v>63</v>
      </c>
      <c r="O1164" s="25" t="s">
        <v>27</v>
      </c>
      <c r="P1164" s="25" t="s">
        <v>32</v>
      </c>
    </row>
    <row r="1165" spans="1:16" x14ac:dyDescent="0.3">
      <c r="A1165" s="25">
        <v>1164</v>
      </c>
      <c r="B1165" s="26">
        <v>45561</v>
      </c>
      <c r="C1165" s="25" t="s">
        <v>65</v>
      </c>
      <c r="D1165" s="25" t="s">
        <v>21</v>
      </c>
      <c r="E1165" s="25" t="s">
        <v>98</v>
      </c>
      <c r="F1165" s="25">
        <v>2</v>
      </c>
      <c r="G1165" s="25" t="s">
        <v>89</v>
      </c>
      <c r="H1165" s="25">
        <v>95</v>
      </c>
      <c r="I1165" s="25">
        <v>55</v>
      </c>
      <c r="J1165" s="25">
        <v>190</v>
      </c>
      <c r="K1165" s="25">
        <v>110</v>
      </c>
      <c r="L1165" s="25">
        <v>80</v>
      </c>
      <c r="M1165" s="27">
        <v>72.727272727272705</v>
      </c>
      <c r="N1165" s="25" t="s">
        <v>63</v>
      </c>
      <c r="O1165" s="25" t="s">
        <v>27</v>
      </c>
      <c r="P1165" s="25" t="s">
        <v>32</v>
      </c>
    </row>
    <row r="1166" spans="1:16" x14ac:dyDescent="0.3">
      <c r="A1166" s="25">
        <v>1165</v>
      </c>
      <c r="B1166" s="26">
        <v>45561</v>
      </c>
      <c r="C1166" s="25" t="s">
        <v>65</v>
      </c>
      <c r="D1166" s="25" t="s">
        <v>21</v>
      </c>
      <c r="E1166" s="25" t="s">
        <v>94</v>
      </c>
      <c r="F1166" s="25">
        <v>15</v>
      </c>
      <c r="G1166" s="25" t="s">
        <v>89</v>
      </c>
      <c r="H1166" s="25">
        <v>30</v>
      </c>
      <c r="I1166" s="25">
        <v>26</v>
      </c>
      <c r="J1166" s="25">
        <v>450</v>
      </c>
      <c r="K1166" s="25">
        <v>390</v>
      </c>
      <c r="L1166" s="25">
        <v>60</v>
      </c>
      <c r="M1166" s="27">
        <v>15.384615384615399</v>
      </c>
      <c r="N1166" s="25" t="s">
        <v>63</v>
      </c>
      <c r="O1166" s="25" t="s">
        <v>27</v>
      </c>
      <c r="P1166" s="25" t="s">
        <v>32</v>
      </c>
    </row>
    <row r="1167" spans="1:16" x14ac:dyDescent="0.3">
      <c r="A1167" s="25">
        <v>1166</v>
      </c>
      <c r="B1167" s="26">
        <v>45561</v>
      </c>
      <c r="C1167" s="25" t="s">
        <v>65</v>
      </c>
      <c r="D1167" s="25" t="s">
        <v>21</v>
      </c>
      <c r="E1167" s="25" t="s">
        <v>88</v>
      </c>
      <c r="F1167" s="25">
        <v>2</v>
      </c>
      <c r="G1167" s="25" t="s">
        <v>89</v>
      </c>
      <c r="H1167" s="25">
        <v>130</v>
      </c>
      <c r="I1167" s="25">
        <v>100</v>
      </c>
      <c r="J1167" s="25">
        <v>260</v>
      </c>
      <c r="K1167" s="25">
        <v>200</v>
      </c>
      <c r="L1167" s="25">
        <v>60</v>
      </c>
      <c r="M1167" s="27">
        <v>30</v>
      </c>
      <c r="N1167" s="25" t="s">
        <v>63</v>
      </c>
      <c r="O1167" s="25" t="s">
        <v>27</v>
      </c>
      <c r="P1167" s="25" t="s">
        <v>32</v>
      </c>
    </row>
    <row r="1168" spans="1:16" x14ac:dyDescent="0.3">
      <c r="A1168" s="25">
        <v>1167</v>
      </c>
      <c r="B1168" s="26">
        <v>45562</v>
      </c>
      <c r="C1168" s="25" t="s">
        <v>65</v>
      </c>
      <c r="D1168" s="25" t="s">
        <v>21</v>
      </c>
      <c r="E1168" s="25" t="s">
        <v>88</v>
      </c>
      <c r="F1168" s="25">
        <v>2</v>
      </c>
      <c r="G1168" s="25" t="s">
        <v>89</v>
      </c>
      <c r="H1168" s="25">
        <v>130</v>
      </c>
      <c r="I1168" s="25">
        <v>100</v>
      </c>
      <c r="J1168" s="25">
        <v>260</v>
      </c>
      <c r="K1168" s="25">
        <v>200</v>
      </c>
      <c r="L1168" s="25">
        <v>60</v>
      </c>
      <c r="M1168" s="27">
        <v>30</v>
      </c>
      <c r="N1168" s="25" t="s">
        <v>63</v>
      </c>
      <c r="O1168" s="25" t="s">
        <v>27</v>
      </c>
      <c r="P1168" s="25" t="s">
        <v>32</v>
      </c>
    </row>
    <row r="1169" spans="1:16" x14ac:dyDescent="0.3">
      <c r="A1169" s="25">
        <v>1168</v>
      </c>
      <c r="B1169" s="26">
        <v>45562</v>
      </c>
      <c r="C1169" s="25" t="s">
        <v>65</v>
      </c>
      <c r="D1169" s="25" t="s">
        <v>21</v>
      </c>
      <c r="E1169" s="25" t="s">
        <v>94</v>
      </c>
      <c r="F1169" s="25">
        <v>12</v>
      </c>
      <c r="G1169" s="25" t="s">
        <v>89</v>
      </c>
      <c r="H1169" s="25">
        <v>30</v>
      </c>
      <c r="I1169" s="25">
        <v>26</v>
      </c>
      <c r="J1169" s="25">
        <v>360</v>
      </c>
      <c r="K1169" s="25">
        <v>312</v>
      </c>
      <c r="L1169" s="25">
        <v>48</v>
      </c>
      <c r="M1169" s="27">
        <v>15.384615384615399</v>
      </c>
      <c r="N1169" s="25" t="s">
        <v>63</v>
      </c>
      <c r="O1169" s="25" t="s">
        <v>27</v>
      </c>
      <c r="P1169" s="25" t="s">
        <v>32</v>
      </c>
    </row>
    <row r="1170" spans="1:16" x14ac:dyDescent="0.3">
      <c r="A1170" s="25">
        <v>1169</v>
      </c>
      <c r="B1170" s="26">
        <v>45562</v>
      </c>
      <c r="C1170" s="25" t="s">
        <v>65</v>
      </c>
      <c r="D1170" s="25" t="s">
        <v>21</v>
      </c>
      <c r="E1170" s="25" t="s">
        <v>88</v>
      </c>
      <c r="F1170" s="25">
        <v>2</v>
      </c>
      <c r="G1170" s="25" t="s">
        <v>89</v>
      </c>
      <c r="H1170" s="25">
        <v>130</v>
      </c>
      <c r="I1170" s="25">
        <v>100</v>
      </c>
      <c r="J1170" s="25">
        <v>260</v>
      </c>
      <c r="K1170" s="25">
        <v>200</v>
      </c>
      <c r="L1170" s="25">
        <v>60</v>
      </c>
      <c r="M1170" s="27">
        <v>30</v>
      </c>
      <c r="N1170" s="25" t="s">
        <v>63</v>
      </c>
      <c r="O1170" s="25" t="s">
        <v>27</v>
      </c>
      <c r="P1170" s="25" t="s">
        <v>32</v>
      </c>
    </row>
    <row r="1171" spans="1:16" x14ac:dyDescent="0.3">
      <c r="A1171" s="25">
        <v>1170</v>
      </c>
      <c r="B1171" s="26">
        <v>45562</v>
      </c>
      <c r="C1171" s="25" t="s">
        <v>65</v>
      </c>
      <c r="D1171" s="25" t="s">
        <v>21</v>
      </c>
      <c r="E1171" s="25" t="s">
        <v>88</v>
      </c>
      <c r="F1171" s="25">
        <v>2</v>
      </c>
      <c r="G1171" s="25" t="s">
        <v>89</v>
      </c>
      <c r="H1171" s="25">
        <v>130</v>
      </c>
      <c r="I1171" s="25">
        <v>100</v>
      </c>
      <c r="J1171" s="25">
        <v>260</v>
      </c>
      <c r="K1171" s="25">
        <v>200</v>
      </c>
      <c r="L1171" s="25">
        <v>60</v>
      </c>
      <c r="M1171" s="27">
        <v>30</v>
      </c>
      <c r="N1171" s="25" t="s">
        <v>63</v>
      </c>
      <c r="O1171" s="25" t="s">
        <v>27</v>
      </c>
      <c r="P1171" s="25" t="s">
        <v>32</v>
      </c>
    </row>
    <row r="1172" spans="1:16" x14ac:dyDescent="0.3">
      <c r="A1172" s="25">
        <v>1171</v>
      </c>
      <c r="B1172" s="26">
        <v>45566</v>
      </c>
      <c r="C1172" s="25" t="s">
        <v>66</v>
      </c>
      <c r="D1172" s="25" t="s">
        <v>21</v>
      </c>
      <c r="E1172" s="25" t="s">
        <v>94</v>
      </c>
      <c r="F1172" s="25">
        <v>10</v>
      </c>
      <c r="G1172" s="25" t="s">
        <v>89</v>
      </c>
      <c r="H1172" s="25">
        <v>30</v>
      </c>
      <c r="I1172" s="25">
        <v>26</v>
      </c>
      <c r="J1172" s="25">
        <v>300</v>
      </c>
      <c r="K1172" s="25">
        <v>260</v>
      </c>
      <c r="L1172" s="25">
        <v>40</v>
      </c>
      <c r="M1172" s="27">
        <v>15.384615384615399</v>
      </c>
      <c r="N1172" s="25" t="s">
        <v>67</v>
      </c>
      <c r="O1172" s="25" t="s">
        <v>27</v>
      </c>
      <c r="P1172" s="25" t="s">
        <v>32</v>
      </c>
    </row>
    <row r="1173" spans="1:16" x14ac:dyDescent="0.3">
      <c r="A1173" s="25">
        <v>1172</v>
      </c>
      <c r="B1173" s="26">
        <v>45566</v>
      </c>
      <c r="C1173" s="25" t="s">
        <v>66</v>
      </c>
      <c r="D1173" s="25" t="s">
        <v>21</v>
      </c>
      <c r="E1173" s="25" t="s">
        <v>93</v>
      </c>
      <c r="F1173" s="25">
        <v>2</v>
      </c>
      <c r="G1173" s="25" t="s">
        <v>89</v>
      </c>
      <c r="H1173" s="25">
        <v>250</v>
      </c>
      <c r="I1173" s="25">
        <v>180</v>
      </c>
      <c r="J1173" s="25">
        <v>500</v>
      </c>
      <c r="K1173" s="25">
        <v>360</v>
      </c>
      <c r="L1173" s="25">
        <v>140</v>
      </c>
      <c r="M1173" s="27">
        <v>38.8888888888889</v>
      </c>
      <c r="N1173" s="25" t="s">
        <v>67</v>
      </c>
      <c r="O1173" s="25" t="s">
        <v>27</v>
      </c>
      <c r="P1173" s="25" t="s">
        <v>32</v>
      </c>
    </row>
    <row r="1174" spans="1:16" x14ac:dyDescent="0.3">
      <c r="A1174" s="25">
        <v>1173</v>
      </c>
      <c r="B1174" s="26">
        <v>45566</v>
      </c>
      <c r="C1174" s="25" t="s">
        <v>66</v>
      </c>
      <c r="D1174" s="25" t="s">
        <v>21</v>
      </c>
      <c r="E1174" s="25" t="s">
        <v>88</v>
      </c>
      <c r="F1174" s="25">
        <v>2</v>
      </c>
      <c r="G1174" s="25" t="s">
        <v>89</v>
      </c>
      <c r="H1174" s="25">
        <v>130</v>
      </c>
      <c r="I1174" s="25">
        <v>100</v>
      </c>
      <c r="J1174" s="25">
        <v>260</v>
      </c>
      <c r="K1174" s="25">
        <v>200</v>
      </c>
      <c r="L1174" s="25">
        <v>60</v>
      </c>
      <c r="M1174" s="27">
        <v>30</v>
      </c>
      <c r="N1174" s="25" t="s">
        <v>67</v>
      </c>
      <c r="O1174" s="25" t="s">
        <v>27</v>
      </c>
      <c r="P1174" s="25" t="s">
        <v>32</v>
      </c>
    </row>
    <row r="1175" spans="1:16" x14ac:dyDescent="0.3">
      <c r="A1175" s="25">
        <v>1174</v>
      </c>
      <c r="B1175" s="26">
        <v>45567</v>
      </c>
      <c r="C1175" s="25" t="s">
        <v>66</v>
      </c>
      <c r="D1175" s="25" t="s">
        <v>21</v>
      </c>
      <c r="E1175" s="25" t="s">
        <v>88</v>
      </c>
      <c r="F1175" s="25">
        <v>3</v>
      </c>
      <c r="G1175" s="25" t="s">
        <v>89</v>
      </c>
      <c r="H1175" s="25">
        <v>130</v>
      </c>
      <c r="I1175" s="25">
        <v>100</v>
      </c>
      <c r="J1175" s="25">
        <v>390</v>
      </c>
      <c r="K1175" s="25">
        <v>300</v>
      </c>
      <c r="L1175" s="25">
        <v>90</v>
      </c>
      <c r="M1175" s="27">
        <v>30</v>
      </c>
      <c r="N1175" s="25" t="s">
        <v>67</v>
      </c>
      <c r="O1175" s="25" t="s">
        <v>27</v>
      </c>
      <c r="P1175" s="25" t="s">
        <v>32</v>
      </c>
    </row>
    <row r="1176" spans="1:16" x14ac:dyDescent="0.3">
      <c r="A1176" s="25">
        <v>1175</v>
      </c>
      <c r="B1176" s="26">
        <v>45567</v>
      </c>
      <c r="C1176" s="25" t="s">
        <v>66</v>
      </c>
      <c r="D1176" s="25" t="s">
        <v>21</v>
      </c>
      <c r="E1176" s="25" t="s">
        <v>94</v>
      </c>
      <c r="F1176" s="25">
        <v>8</v>
      </c>
      <c r="G1176" s="25" t="s">
        <v>89</v>
      </c>
      <c r="H1176" s="25">
        <v>30</v>
      </c>
      <c r="I1176" s="25">
        <v>26</v>
      </c>
      <c r="J1176" s="25">
        <v>240</v>
      </c>
      <c r="K1176" s="25">
        <v>208</v>
      </c>
      <c r="L1176" s="25">
        <v>32</v>
      </c>
      <c r="M1176" s="27">
        <v>15.384615384615399</v>
      </c>
      <c r="N1176" s="25" t="s">
        <v>67</v>
      </c>
      <c r="O1176" s="25" t="s">
        <v>27</v>
      </c>
      <c r="P1176" s="25" t="s">
        <v>32</v>
      </c>
    </row>
    <row r="1177" spans="1:16" x14ac:dyDescent="0.3">
      <c r="A1177" s="25">
        <v>1176</v>
      </c>
      <c r="B1177" s="26">
        <v>45567</v>
      </c>
      <c r="C1177" s="25" t="s">
        <v>66</v>
      </c>
      <c r="D1177" s="25" t="s">
        <v>21</v>
      </c>
      <c r="E1177" s="25" t="s">
        <v>93</v>
      </c>
      <c r="F1177" s="25">
        <v>2</v>
      </c>
      <c r="G1177" s="25" t="s">
        <v>89</v>
      </c>
      <c r="H1177" s="25">
        <v>250</v>
      </c>
      <c r="I1177" s="25">
        <v>180</v>
      </c>
      <c r="J1177" s="25">
        <v>500</v>
      </c>
      <c r="K1177" s="25">
        <v>360</v>
      </c>
      <c r="L1177" s="25">
        <v>140</v>
      </c>
      <c r="M1177" s="27">
        <v>38.8888888888889</v>
      </c>
      <c r="N1177" s="25" t="s">
        <v>67</v>
      </c>
      <c r="O1177" s="25" t="s">
        <v>27</v>
      </c>
      <c r="P1177" s="25" t="s">
        <v>32</v>
      </c>
    </row>
    <row r="1178" spans="1:16" x14ac:dyDescent="0.3">
      <c r="A1178" s="25">
        <v>1177</v>
      </c>
      <c r="B1178" s="26">
        <v>45567</v>
      </c>
      <c r="C1178" s="25" t="s">
        <v>66</v>
      </c>
      <c r="D1178" s="25" t="s">
        <v>21</v>
      </c>
      <c r="E1178" s="25" t="s">
        <v>88</v>
      </c>
      <c r="F1178" s="25">
        <v>3</v>
      </c>
      <c r="G1178" s="25" t="s">
        <v>89</v>
      </c>
      <c r="H1178" s="25">
        <v>130</v>
      </c>
      <c r="I1178" s="25">
        <v>100</v>
      </c>
      <c r="J1178" s="25">
        <v>390</v>
      </c>
      <c r="K1178" s="25">
        <v>300</v>
      </c>
      <c r="L1178" s="25">
        <v>90</v>
      </c>
      <c r="M1178" s="27">
        <v>30</v>
      </c>
      <c r="N1178" s="25" t="s">
        <v>67</v>
      </c>
      <c r="O1178" s="25" t="s">
        <v>27</v>
      </c>
      <c r="P1178" s="25" t="s">
        <v>32</v>
      </c>
    </row>
    <row r="1179" spans="1:16" x14ac:dyDescent="0.3">
      <c r="A1179" s="25">
        <v>1178</v>
      </c>
      <c r="B1179" s="26">
        <v>45568</v>
      </c>
      <c r="C1179" s="25" t="s">
        <v>66</v>
      </c>
      <c r="D1179" s="25" t="s">
        <v>21</v>
      </c>
      <c r="E1179" s="25" t="s">
        <v>88</v>
      </c>
      <c r="F1179" s="25">
        <v>2</v>
      </c>
      <c r="G1179" s="25" t="s">
        <v>89</v>
      </c>
      <c r="H1179" s="25">
        <v>130</v>
      </c>
      <c r="I1179" s="25">
        <v>100</v>
      </c>
      <c r="J1179" s="25">
        <v>260</v>
      </c>
      <c r="K1179" s="25">
        <v>200</v>
      </c>
      <c r="L1179" s="25">
        <v>60</v>
      </c>
      <c r="M1179" s="27">
        <v>30</v>
      </c>
      <c r="N1179" s="25" t="s">
        <v>67</v>
      </c>
      <c r="O1179" s="25" t="s">
        <v>27</v>
      </c>
      <c r="P1179" s="25" t="s">
        <v>32</v>
      </c>
    </row>
    <row r="1180" spans="1:16" x14ac:dyDescent="0.3">
      <c r="A1180" s="25">
        <v>1179</v>
      </c>
      <c r="B1180" s="26">
        <v>45568</v>
      </c>
      <c r="C1180" s="25" t="s">
        <v>66</v>
      </c>
      <c r="D1180" s="25" t="s">
        <v>22</v>
      </c>
      <c r="E1180" s="25" t="s">
        <v>90</v>
      </c>
      <c r="F1180" s="25">
        <v>2</v>
      </c>
      <c r="G1180" s="25" t="s">
        <v>91</v>
      </c>
      <c r="H1180" s="25">
        <v>280</v>
      </c>
      <c r="I1180" s="25">
        <v>240</v>
      </c>
      <c r="J1180" s="25">
        <v>560</v>
      </c>
      <c r="K1180" s="25">
        <v>480</v>
      </c>
      <c r="L1180" s="25">
        <v>80</v>
      </c>
      <c r="M1180" s="27">
        <v>16.6666666666667</v>
      </c>
      <c r="N1180" s="25" t="s">
        <v>67</v>
      </c>
      <c r="O1180" s="25" t="s">
        <v>28</v>
      </c>
      <c r="P1180" s="25" t="s">
        <v>32</v>
      </c>
    </row>
    <row r="1181" spans="1:16" x14ac:dyDescent="0.3">
      <c r="A1181" s="25">
        <v>1180</v>
      </c>
      <c r="B1181" s="26">
        <v>45568</v>
      </c>
      <c r="C1181" s="25" t="s">
        <v>66</v>
      </c>
      <c r="D1181" s="25" t="s">
        <v>22</v>
      </c>
      <c r="E1181" s="25" t="s">
        <v>92</v>
      </c>
      <c r="F1181" s="25">
        <v>1.5</v>
      </c>
      <c r="G1181" s="25" t="s">
        <v>91</v>
      </c>
      <c r="H1181" s="25">
        <v>260</v>
      </c>
      <c r="I1181" s="25">
        <v>220</v>
      </c>
      <c r="J1181" s="25">
        <v>390</v>
      </c>
      <c r="K1181" s="25">
        <v>330</v>
      </c>
      <c r="L1181" s="25">
        <v>60</v>
      </c>
      <c r="M1181" s="27">
        <v>18.181818181818201</v>
      </c>
      <c r="N1181" s="25" t="s">
        <v>67</v>
      </c>
      <c r="O1181" s="25" t="s">
        <v>28</v>
      </c>
      <c r="P1181" s="25" t="s">
        <v>32</v>
      </c>
    </row>
    <row r="1182" spans="1:16" x14ac:dyDescent="0.3">
      <c r="A1182" s="25">
        <v>1181</v>
      </c>
      <c r="B1182" s="26">
        <v>45568</v>
      </c>
      <c r="C1182" s="25" t="s">
        <v>66</v>
      </c>
      <c r="D1182" s="25" t="s">
        <v>21</v>
      </c>
      <c r="E1182" s="25" t="s">
        <v>94</v>
      </c>
      <c r="F1182" s="25">
        <v>8</v>
      </c>
      <c r="G1182" s="25" t="s">
        <v>89</v>
      </c>
      <c r="H1182" s="25">
        <v>30</v>
      </c>
      <c r="I1182" s="25">
        <v>26</v>
      </c>
      <c r="J1182" s="25">
        <v>240</v>
      </c>
      <c r="K1182" s="25">
        <v>208</v>
      </c>
      <c r="L1182" s="25">
        <v>32</v>
      </c>
      <c r="M1182" s="27">
        <v>15.384615384615399</v>
      </c>
      <c r="N1182" s="25" t="s">
        <v>67</v>
      </c>
      <c r="O1182" s="25" t="s">
        <v>27</v>
      </c>
      <c r="P1182" s="25" t="s">
        <v>32</v>
      </c>
    </row>
    <row r="1183" spans="1:16" x14ac:dyDescent="0.3">
      <c r="A1183" s="25">
        <v>1182</v>
      </c>
      <c r="B1183" s="26">
        <v>45568</v>
      </c>
      <c r="C1183" s="25" t="s">
        <v>66</v>
      </c>
      <c r="D1183" s="25" t="s">
        <v>21</v>
      </c>
      <c r="E1183" s="25" t="s">
        <v>93</v>
      </c>
      <c r="F1183" s="25">
        <v>2</v>
      </c>
      <c r="G1183" s="25" t="s">
        <v>89</v>
      </c>
      <c r="H1183" s="25">
        <v>250</v>
      </c>
      <c r="I1183" s="25">
        <v>180</v>
      </c>
      <c r="J1183" s="25">
        <v>500</v>
      </c>
      <c r="K1183" s="25">
        <v>360</v>
      </c>
      <c r="L1183" s="25">
        <v>140</v>
      </c>
      <c r="M1183" s="27">
        <v>38.8888888888889</v>
      </c>
      <c r="N1183" s="25" t="s">
        <v>67</v>
      </c>
      <c r="O1183" s="25" t="s">
        <v>27</v>
      </c>
      <c r="P1183" s="25" t="s">
        <v>32</v>
      </c>
    </row>
    <row r="1184" spans="1:16" x14ac:dyDescent="0.3">
      <c r="A1184" s="25">
        <v>1183</v>
      </c>
      <c r="B1184" s="26">
        <v>45568</v>
      </c>
      <c r="C1184" s="25" t="s">
        <v>66</v>
      </c>
      <c r="D1184" s="25" t="s">
        <v>21</v>
      </c>
      <c r="E1184" s="25" t="s">
        <v>98</v>
      </c>
      <c r="F1184" s="25">
        <v>4</v>
      </c>
      <c r="G1184" s="25" t="s">
        <v>89</v>
      </c>
      <c r="H1184" s="25">
        <v>95</v>
      </c>
      <c r="I1184" s="25">
        <v>55</v>
      </c>
      <c r="J1184" s="25">
        <v>380</v>
      </c>
      <c r="K1184" s="25">
        <v>220</v>
      </c>
      <c r="L1184" s="25">
        <v>160</v>
      </c>
      <c r="M1184" s="27">
        <v>72.727272727272705</v>
      </c>
      <c r="N1184" s="25" t="s">
        <v>67</v>
      </c>
      <c r="O1184" s="25" t="s">
        <v>27</v>
      </c>
      <c r="P1184" s="25" t="s">
        <v>32</v>
      </c>
    </row>
    <row r="1185" spans="1:16" x14ac:dyDescent="0.3">
      <c r="A1185" s="25">
        <v>1184</v>
      </c>
      <c r="B1185" s="26">
        <v>45568</v>
      </c>
      <c r="C1185" s="25" t="s">
        <v>66</v>
      </c>
      <c r="D1185" s="25" t="s">
        <v>22</v>
      </c>
      <c r="E1185" s="25" t="s">
        <v>92</v>
      </c>
      <c r="F1185" s="25">
        <v>2</v>
      </c>
      <c r="G1185" s="25" t="s">
        <v>91</v>
      </c>
      <c r="H1185" s="25">
        <v>260</v>
      </c>
      <c r="I1185" s="25">
        <v>220</v>
      </c>
      <c r="J1185" s="25">
        <v>520</v>
      </c>
      <c r="K1185" s="25">
        <v>440</v>
      </c>
      <c r="L1185" s="25">
        <v>80</v>
      </c>
      <c r="M1185" s="27">
        <v>18.181818181818201</v>
      </c>
      <c r="N1185" s="25" t="s">
        <v>67</v>
      </c>
      <c r="O1185" s="25" t="s">
        <v>28</v>
      </c>
      <c r="P1185" s="25" t="s">
        <v>32</v>
      </c>
    </row>
    <row r="1186" spans="1:16" x14ac:dyDescent="0.3">
      <c r="A1186" s="25">
        <v>1185</v>
      </c>
      <c r="B1186" s="26">
        <v>45568</v>
      </c>
      <c r="C1186" s="25" t="s">
        <v>66</v>
      </c>
      <c r="D1186" s="25" t="s">
        <v>21</v>
      </c>
      <c r="E1186" s="25" t="s">
        <v>88</v>
      </c>
      <c r="F1186" s="25">
        <v>2</v>
      </c>
      <c r="G1186" s="25" t="s">
        <v>89</v>
      </c>
      <c r="H1186" s="25">
        <v>130</v>
      </c>
      <c r="I1186" s="25">
        <v>100</v>
      </c>
      <c r="J1186" s="25">
        <v>260</v>
      </c>
      <c r="K1186" s="25">
        <v>200</v>
      </c>
      <c r="L1186" s="25">
        <v>60</v>
      </c>
      <c r="M1186" s="27">
        <v>30</v>
      </c>
      <c r="N1186" s="25" t="s">
        <v>67</v>
      </c>
      <c r="O1186" s="25" t="s">
        <v>27</v>
      </c>
      <c r="P1186" s="25" t="s">
        <v>32</v>
      </c>
    </row>
    <row r="1187" spans="1:16" x14ac:dyDescent="0.3">
      <c r="A1187" s="25">
        <v>1186</v>
      </c>
      <c r="B1187" s="26">
        <v>45568</v>
      </c>
      <c r="C1187" s="25" t="s">
        <v>66</v>
      </c>
      <c r="D1187" s="25" t="s">
        <v>21</v>
      </c>
      <c r="E1187" s="25" t="s">
        <v>88</v>
      </c>
      <c r="F1187" s="25">
        <v>4</v>
      </c>
      <c r="G1187" s="25" t="s">
        <v>89</v>
      </c>
      <c r="H1187" s="25">
        <v>130</v>
      </c>
      <c r="I1187" s="25">
        <v>100</v>
      </c>
      <c r="J1187" s="25">
        <v>520</v>
      </c>
      <c r="K1187" s="25">
        <v>400</v>
      </c>
      <c r="L1187" s="25">
        <v>120</v>
      </c>
      <c r="M1187" s="27">
        <v>30</v>
      </c>
      <c r="N1187" s="25" t="s">
        <v>67</v>
      </c>
      <c r="O1187" s="25" t="s">
        <v>27</v>
      </c>
      <c r="P1187" s="25" t="s">
        <v>32</v>
      </c>
    </row>
    <row r="1188" spans="1:16" x14ac:dyDescent="0.3">
      <c r="A1188" s="25">
        <v>1187</v>
      </c>
      <c r="B1188" s="26">
        <v>45568</v>
      </c>
      <c r="C1188" s="25" t="s">
        <v>66</v>
      </c>
      <c r="D1188" s="25" t="s">
        <v>21</v>
      </c>
      <c r="E1188" s="25" t="s">
        <v>94</v>
      </c>
      <c r="F1188" s="25">
        <v>5</v>
      </c>
      <c r="G1188" s="25" t="s">
        <v>89</v>
      </c>
      <c r="H1188" s="25">
        <v>30</v>
      </c>
      <c r="I1188" s="25">
        <v>26</v>
      </c>
      <c r="J1188" s="25">
        <v>150</v>
      </c>
      <c r="K1188" s="25">
        <v>130</v>
      </c>
      <c r="L1188" s="25">
        <v>20</v>
      </c>
      <c r="M1188" s="27">
        <v>15.384615384615399</v>
      </c>
      <c r="N1188" s="25" t="s">
        <v>67</v>
      </c>
      <c r="O1188" s="25" t="s">
        <v>27</v>
      </c>
      <c r="P1188" s="25" t="s">
        <v>32</v>
      </c>
    </row>
    <row r="1189" spans="1:16" x14ac:dyDescent="0.3">
      <c r="A1189" s="25">
        <v>1188</v>
      </c>
      <c r="B1189" s="26">
        <v>45568</v>
      </c>
      <c r="C1189" s="25" t="s">
        <v>66</v>
      </c>
      <c r="D1189" s="25" t="s">
        <v>21</v>
      </c>
      <c r="E1189" s="25" t="s">
        <v>93</v>
      </c>
      <c r="F1189" s="25">
        <v>1</v>
      </c>
      <c r="G1189" s="25" t="s">
        <v>89</v>
      </c>
      <c r="H1189" s="25">
        <v>250</v>
      </c>
      <c r="I1189" s="25">
        <v>180</v>
      </c>
      <c r="J1189" s="25">
        <v>250</v>
      </c>
      <c r="K1189" s="25">
        <v>180</v>
      </c>
      <c r="L1189" s="25">
        <v>70</v>
      </c>
      <c r="M1189" s="27">
        <v>38.8888888888889</v>
      </c>
      <c r="N1189" s="25" t="s">
        <v>67</v>
      </c>
      <c r="O1189" s="25" t="s">
        <v>27</v>
      </c>
      <c r="P1189" s="25" t="s">
        <v>32</v>
      </c>
    </row>
    <row r="1190" spans="1:16" x14ac:dyDescent="0.3">
      <c r="A1190" s="25">
        <v>1189</v>
      </c>
      <c r="B1190" s="26">
        <v>45568</v>
      </c>
      <c r="C1190" s="25" t="s">
        <v>66</v>
      </c>
      <c r="D1190" s="25" t="s">
        <v>21</v>
      </c>
      <c r="E1190" s="25" t="s">
        <v>88</v>
      </c>
      <c r="F1190" s="25">
        <v>2</v>
      </c>
      <c r="G1190" s="25" t="s">
        <v>89</v>
      </c>
      <c r="H1190" s="25">
        <v>130</v>
      </c>
      <c r="I1190" s="25">
        <v>100</v>
      </c>
      <c r="J1190" s="25">
        <v>260</v>
      </c>
      <c r="K1190" s="25">
        <v>200</v>
      </c>
      <c r="L1190" s="25">
        <v>60</v>
      </c>
      <c r="M1190" s="27">
        <v>30</v>
      </c>
      <c r="N1190" s="25" t="s">
        <v>67</v>
      </c>
      <c r="O1190" s="25" t="s">
        <v>27</v>
      </c>
      <c r="P1190" s="25" t="s">
        <v>32</v>
      </c>
    </row>
    <row r="1191" spans="1:16" x14ac:dyDescent="0.3">
      <c r="A1191" s="25">
        <v>1190</v>
      </c>
      <c r="B1191" s="26">
        <v>45569</v>
      </c>
      <c r="C1191" s="25" t="s">
        <v>66</v>
      </c>
      <c r="D1191" s="25" t="s">
        <v>21</v>
      </c>
      <c r="E1191" s="25" t="s">
        <v>88</v>
      </c>
      <c r="F1191" s="25">
        <v>5</v>
      </c>
      <c r="G1191" s="25" t="s">
        <v>89</v>
      </c>
      <c r="H1191" s="25">
        <v>130</v>
      </c>
      <c r="I1191" s="25">
        <v>100</v>
      </c>
      <c r="J1191" s="25">
        <v>650</v>
      </c>
      <c r="K1191" s="25">
        <v>500</v>
      </c>
      <c r="L1191" s="25">
        <v>150</v>
      </c>
      <c r="M1191" s="27">
        <v>30</v>
      </c>
      <c r="N1191" s="25" t="s">
        <v>67</v>
      </c>
      <c r="O1191" s="25" t="s">
        <v>27</v>
      </c>
      <c r="P1191" s="25" t="s">
        <v>32</v>
      </c>
    </row>
    <row r="1192" spans="1:16" x14ac:dyDescent="0.3">
      <c r="A1192" s="25">
        <v>1191</v>
      </c>
      <c r="B1192" s="26">
        <v>45569</v>
      </c>
      <c r="C1192" s="25" t="s">
        <v>66</v>
      </c>
      <c r="D1192" s="25" t="s">
        <v>21</v>
      </c>
      <c r="E1192" s="25" t="s">
        <v>88</v>
      </c>
      <c r="F1192" s="25">
        <v>2</v>
      </c>
      <c r="G1192" s="25" t="s">
        <v>89</v>
      </c>
      <c r="H1192" s="25">
        <v>130</v>
      </c>
      <c r="I1192" s="25">
        <v>100</v>
      </c>
      <c r="J1192" s="25">
        <v>260</v>
      </c>
      <c r="K1192" s="25">
        <v>200</v>
      </c>
      <c r="L1192" s="25">
        <v>60</v>
      </c>
      <c r="M1192" s="27">
        <v>30</v>
      </c>
      <c r="N1192" s="25" t="s">
        <v>67</v>
      </c>
      <c r="O1192" s="25" t="s">
        <v>27</v>
      </c>
      <c r="P1192" s="25" t="s">
        <v>32</v>
      </c>
    </row>
    <row r="1193" spans="1:16" x14ac:dyDescent="0.3">
      <c r="A1193" s="25">
        <v>1192</v>
      </c>
      <c r="B1193" s="26">
        <v>45569</v>
      </c>
      <c r="C1193" s="25" t="s">
        <v>66</v>
      </c>
      <c r="D1193" s="25" t="s">
        <v>21</v>
      </c>
      <c r="E1193" s="25" t="s">
        <v>88</v>
      </c>
      <c r="F1193" s="25">
        <v>3</v>
      </c>
      <c r="G1193" s="25" t="s">
        <v>89</v>
      </c>
      <c r="H1193" s="25">
        <v>130</v>
      </c>
      <c r="I1193" s="25">
        <v>100</v>
      </c>
      <c r="J1193" s="25">
        <v>390</v>
      </c>
      <c r="K1193" s="25">
        <v>300</v>
      </c>
      <c r="L1193" s="25">
        <v>90</v>
      </c>
      <c r="M1193" s="27">
        <v>30</v>
      </c>
      <c r="N1193" s="25" t="s">
        <v>67</v>
      </c>
      <c r="O1193" s="25" t="s">
        <v>27</v>
      </c>
      <c r="P1193" s="25" t="s">
        <v>32</v>
      </c>
    </row>
    <row r="1194" spans="1:16" x14ac:dyDescent="0.3">
      <c r="A1194" s="25">
        <v>1193</v>
      </c>
      <c r="B1194" s="26">
        <v>45569</v>
      </c>
      <c r="C1194" s="25" t="s">
        <v>66</v>
      </c>
      <c r="D1194" s="25" t="s">
        <v>21</v>
      </c>
      <c r="E1194" s="25" t="s">
        <v>88</v>
      </c>
      <c r="F1194" s="25">
        <v>6</v>
      </c>
      <c r="G1194" s="25" t="s">
        <v>89</v>
      </c>
      <c r="H1194" s="25">
        <v>130</v>
      </c>
      <c r="I1194" s="25">
        <v>100</v>
      </c>
      <c r="J1194" s="25">
        <v>780</v>
      </c>
      <c r="K1194" s="25">
        <v>600</v>
      </c>
      <c r="L1194" s="25">
        <v>180</v>
      </c>
      <c r="M1194" s="27">
        <v>30</v>
      </c>
      <c r="N1194" s="25" t="s">
        <v>67</v>
      </c>
      <c r="O1194" s="25" t="s">
        <v>27</v>
      </c>
      <c r="P1194" s="25" t="s">
        <v>32</v>
      </c>
    </row>
    <row r="1195" spans="1:16" x14ac:dyDescent="0.3">
      <c r="A1195" s="25">
        <v>1194</v>
      </c>
      <c r="B1195" s="26">
        <v>45569</v>
      </c>
      <c r="C1195" s="25" t="s">
        <v>66</v>
      </c>
      <c r="D1195" s="25" t="s">
        <v>21</v>
      </c>
      <c r="E1195" s="25" t="s">
        <v>94</v>
      </c>
      <c r="F1195" s="25">
        <v>13</v>
      </c>
      <c r="G1195" s="25" t="s">
        <v>89</v>
      </c>
      <c r="H1195" s="25">
        <v>30</v>
      </c>
      <c r="I1195" s="25">
        <v>26</v>
      </c>
      <c r="J1195" s="25">
        <v>390</v>
      </c>
      <c r="K1195" s="25">
        <v>338</v>
      </c>
      <c r="L1195" s="25">
        <v>52</v>
      </c>
      <c r="M1195" s="27">
        <v>15.384615384615399</v>
      </c>
      <c r="N1195" s="25" t="s">
        <v>67</v>
      </c>
      <c r="O1195" s="25" t="s">
        <v>27</v>
      </c>
      <c r="P1195" s="25" t="s">
        <v>32</v>
      </c>
    </row>
    <row r="1196" spans="1:16" x14ac:dyDescent="0.3">
      <c r="A1196" s="25">
        <v>1195</v>
      </c>
      <c r="B1196" s="26">
        <v>45569</v>
      </c>
      <c r="C1196" s="25" t="s">
        <v>66</v>
      </c>
      <c r="D1196" s="25" t="s">
        <v>21</v>
      </c>
      <c r="E1196" s="25" t="s">
        <v>93</v>
      </c>
      <c r="F1196" s="25">
        <v>2</v>
      </c>
      <c r="G1196" s="25" t="s">
        <v>89</v>
      </c>
      <c r="H1196" s="25">
        <v>250</v>
      </c>
      <c r="I1196" s="25">
        <v>180</v>
      </c>
      <c r="J1196" s="25">
        <v>500</v>
      </c>
      <c r="K1196" s="25">
        <v>360</v>
      </c>
      <c r="L1196" s="25">
        <v>140</v>
      </c>
      <c r="M1196" s="27">
        <v>38.8888888888889</v>
      </c>
      <c r="N1196" s="25" t="s">
        <v>67</v>
      </c>
      <c r="O1196" s="25" t="s">
        <v>27</v>
      </c>
      <c r="P1196" s="25" t="s">
        <v>32</v>
      </c>
    </row>
    <row r="1197" spans="1:16" x14ac:dyDescent="0.3">
      <c r="A1197" s="25">
        <v>1196</v>
      </c>
      <c r="B1197" s="26">
        <v>45569</v>
      </c>
      <c r="C1197" s="25" t="s">
        <v>66</v>
      </c>
      <c r="D1197" s="25" t="s">
        <v>21</v>
      </c>
      <c r="E1197" s="25" t="s">
        <v>98</v>
      </c>
      <c r="F1197" s="25">
        <v>3</v>
      </c>
      <c r="G1197" s="25" t="s">
        <v>89</v>
      </c>
      <c r="H1197" s="25">
        <v>95</v>
      </c>
      <c r="I1197" s="25">
        <v>55</v>
      </c>
      <c r="J1197" s="25">
        <v>285</v>
      </c>
      <c r="K1197" s="25">
        <v>165</v>
      </c>
      <c r="L1197" s="25">
        <v>120</v>
      </c>
      <c r="M1197" s="27">
        <v>72.727272727272705</v>
      </c>
      <c r="N1197" s="25" t="s">
        <v>67</v>
      </c>
      <c r="O1197" s="25" t="s">
        <v>27</v>
      </c>
      <c r="P1197" s="25" t="s">
        <v>32</v>
      </c>
    </row>
    <row r="1198" spans="1:16" x14ac:dyDescent="0.3">
      <c r="A1198" s="25">
        <v>1197</v>
      </c>
      <c r="B1198" s="26">
        <v>45569</v>
      </c>
      <c r="C1198" s="25" t="s">
        <v>66</v>
      </c>
      <c r="D1198" s="25" t="s">
        <v>21</v>
      </c>
      <c r="E1198" s="25" t="s">
        <v>94</v>
      </c>
      <c r="F1198" s="25">
        <v>8</v>
      </c>
      <c r="G1198" s="25" t="s">
        <v>89</v>
      </c>
      <c r="H1198" s="25">
        <v>30</v>
      </c>
      <c r="I1198" s="25">
        <v>26</v>
      </c>
      <c r="J1198" s="25">
        <v>240</v>
      </c>
      <c r="K1198" s="25">
        <v>208</v>
      </c>
      <c r="L1198" s="25">
        <v>32</v>
      </c>
      <c r="M1198" s="27">
        <v>15.384615384615399</v>
      </c>
      <c r="N1198" s="25" t="s">
        <v>67</v>
      </c>
      <c r="O1198" s="25" t="s">
        <v>27</v>
      </c>
      <c r="P1198" s="25" t="s">
        <v>32</v>
      </c>
    </row>
    <row r="1199" spans="1:16" x14ac:dyDescent="0.3">
      <c r="A1199" s="25">
        <v>1198</v>
      </c>
      <c r="B1199" s="26">
        <v>45569</v>
      </c>
      <c r="C1199" s="25" t="s">
        <v>66</v>
      </c>
      <c r="D1199" s="25" t="s">
        <v>21</v>
      </c>
      <c r="E1199" s="25" t="s">
        <v>93</v>
      </c>
      <c r="F1199" s="25">
        <v>2</v>
      </c>
      <c r="G1199" s="25" t="s">
        <v>89</v>
      </c>
      <c r="H1199" s="25">
        <v>250</v>
      </c>
      <c r="I1199" s="25">
        <v>180</v>
      </c>
      <c r="J1199" s="25">
        <v>500</v>
      </c>
      <c r="K1199" s="25">
        <v>360</v>
      </c>
      <c r="L1199" s="25">
        <v>140</v>
      </c>
      <c r="M1199" s="27">
        <v>38.8888888888889</v>
      </c>
      <c r="N1199" s="25" t="s">
        <v>67</v>
      </c>
      <c r="O1199" s="25" t="s">
        <v>27</v>
      </c>
      <c r="P1199" s="25" t="s">
        <v>32</v>
      </c>
    </row>
    <row r="1200" spans="1:16" x14ac:dyDescent="0.3">
      <c r="A1200" s="25">
        <v>1199</v>
      </c>
      <c r="B1200" s="26">
        <v>45570</v>
      </c>
      <c r="C1200" s="25" t="s">
        <v>66</v>
      </c>
      <c r="D1200" s="25" t="s">
        <v>21</v>
      </c>
      <c r="E1200" s="25" t="s">
        <v>88</v>
      </c>
      <c r="F1200" s="25">
        <v>2</v>
      </c>
      <c r="G1200" s="25" t="s">
        <v>89</v>
      </c>
      <c r="H1200" s="25">
        <v>130</v>
      </c>
      <c r="I1200" s="25">
        <v>100</v>
      </c>
      <c r="J1200" s="25">
        <v>260</v>
      </c>
      <c r="K1200" s="25">
        <v>200</v>
      </c>
      <c r="L1200" s="25">
        <v>60</v>
      </c>
      <c r="M1200" s="27">
        <v>30</v>
      </c>
      <c r="N1200" s="25" t="s">
        <v>67</v>
      </c>
      <c r="O1200" s="25" t="s">
        <v>27</v>
      </c>
      <c r="P1200" s="25" t="s">
        <v>32</v>
      </c>
    </row>
    <row r="1201" spans="1:16" x14ac:dyDescent="0.3">
      <c r="A1201" s="25">
        <v>1200</v>
      </c>
      <c r="B1201" s="26">
        <v>45570</v>
      </c>
      <c r="C1201" s="25" t="s">
        <v>66</v>
      </c>
      <c r="D1201" s="25" t="s">
        <v>21</v>
      </c>
      <c r="E1201" s="25" t="s">
        <v>94</v>
      </c>
      <c r="F1201" s="25">
        <v>15</v>
      </c>
      <c r="G1201" s="25" t="s">
        <v>89</v>
      </c>
      <c r="H1201" s="25">
        <v>30</v>
      </c>
      <c r="I1201" s="25">
        <v>26</v>
      </c>
      <c r="J1201" s="25">
        <v>450</v>
      </c>
      <c r="K1201" s="25">
        <v>390</v>
      </c>
      <c r="L1201" s="25">
        <v>60</v>
      </c>
      <c r="M1201" s="27">
        <v>15.384615384615399</v>
      </c>
      <c r="N1201" s="25" t="s">
        <v>67</v>
      </c>
      <c r="O1201" s="25" t="s">
        <v>27</v>
      </c>
      <c r="P1201" s="25" t="s">
        <v>32</v>
      </c>
    </row>
    <row r="1202" spans="1:16" x14ac:dyDescent="0.3">
      <c r="A1202" s="25">
        <v>1201</v>
      </c>
      <c r="B1202" s="26">
        <v>45570</v>
      </c>
      <c r="C1202" s="25" t="s">
        <v>66</v>
      </c>
      <c r="D1202" s="25" t="s">
        <v>21</v>
      </c>
      <c r="E1202" s="25" t="s">
        <v>93</v>
      </c>
      <c r="F1202" s="25">
        <v>2</v>
      </c>
      <c r="G1202" s="25" t="s">
        <v>89</v>
      </c>
      <c r="H1202" s="25">
        <v>250</v>
      </c>
      <c r="I1202" s="25">
        <v>180</v>
      </c>
      <c r="J1202" s="25">
        <v>500</v>
      </c>
      <c r="K1202" s="25">
        <v>360</v>
      </c>
      <c r="L1202" s="25">
        <v>140</v>
      </c>
      <c r="M1202" s="27">
        <v>38.8888888888889</v>
      </c>
      <c r="N1202" s="25" t="s">
        <v>67</v>
      </c>
      <c r="O1202" s="25" t="s">
        <v>27</v>
      </c>
      <c r="P1202" s="25" t="s">
        <v>32</v>
      </c>
    </row>
    <row r="1203" spans="1:16" x14ac:dyDescent="0.3">
      <c r="A1203" s="25">
        <v>1202</v>
      </c>
      <c r="B1203" s="26">
        <v>45570</v>
      </c>
      <c r="C1203" s="25" t="s">
        <v>66</v>
      </c>
      <c r="D1203" s="25" t="s">
        <v>21</v>
      </c>
      <c r="E1203" s="25" t="s">
        <v>88</v>
      </c>
      <c r="F1203" s="25">
        <v>13</v>
      </c>
      <c r="G1203" s="25" t="s">
        <v>89</v>
      </c>
      <c r="H1203" s="25">
        <v>130</v>
      </c>
      <c r="I1203" s="25">
        <v>100</v>
      </c>
      <c r="J1203" s="25">
        <v>1690</v>
      </c>
      <c r="K1203" s="25">
        <v>1300</v>
      </c>
      <c r="L1203" s="25">
        <v>390</v>
      </c>
      <c r="M1203" s="27">
        <v>30</v>
      </c>
      <c r="N1203" s="25" t="s">
        <v>67</v>
      </c>
      <c r="O1203" s="25" t="s">
        <v>27</v>
      </c>
      <c r="P1203" s="25" t="s">
        <v>32</v>
      </c>
    </row>
    <row r="1204" spans="1:16" x14ac:dyDescent="0.3">
      <c r="A1204" s="25">
        <v>1203</v>
      </c>
      <c r="B1204" s="26">
        <v>45570</v>
      </c>
      <c r="C1204" s="25" t="s">
        <v>66</v>
      </c>
      <c r="D1204" s="25" t="s">
        <v>21</v>
      </c>
      <c r="E1204" s="25" t="s">
        <v>88</v>
      </c>
      <c r="F1204" s="25">
        <v>14</v>
      </c>
      <c r="G1204" s="25" t="s">
        <v>89</v>
      </c>
      <c r="H1204" s="25">
        <v>130</v>
      </c>
      <c r="I1204" s="25">
        <v>100</v>
      </c>
      <c r="J1204" s="25">
        <v>1820</v>
      </c>
      <c r="K1204" s="25">
        <v>1400</v>
      </c>
      <c r="L1204" s="25">
        <v>420</v>
      </c>
      <c r="M1204" s="27">
        <v>30</v>
      </c>
      <c r="N1204" s="25" t="s">
        <v>67</v>
      </c>
      <c r="O1204" s="25" t="s">
        <v>27</v>
      </c>
      <c r="P1204" s="25" t="s">
        <v>32</v>
      </c>
    </row>
    <row r="1205" spans="1:16" x14ac:dyDescent="0.3">
      <c r="A1205" s="25">
        <v>1204</v>
      </c>
      <c r="B1205" s="26">
        <v>45570</v>
      </c>
      <c r="C1205" s="25" t="s">
        <v>66</v>
      </c>
      <c r="D1205" s="25" t="s">
        <v>21</v>
      </c>
      <c r="E1205" s="25" t="s">
        <v>98</v>
      </c>
      <c r="F1205" s="25">
        <v>2</v>
      </c>
      <c r="G1205" s="25" t="s">
        <v>89</v>
      </c>
      <c r="H1205" s="25">
        <v>95</v>
      </c>
      <c r="I1205" s="25">
        <v>55</v>
      </c>
      <c r="J1205" s="25">
        <v>190</v>
      </c>
      <c r="K1205" s="25">
        <v>110</v>
      </c>
      <c r="L1205" s="25">
        <v>80</v>
      </c>
      <c r="M1205" s="27">
        <v>72.727272727272705</v>
      </c>
      <c r="N1205" s="25" t="s">
        <v>67</v>
      </c>
      <c r="O1205" s="25" t="s">
        <v>27</v>
      </c>
      <c r="P1205" s="25" t="s">
        <v>32</v>
      </c>
    </row>
    <row r="1206" spans="1:16" x14ac:dyDescent="0.3">
      <c r="A1206" s="25">
        <v>1205</v>
      </c>
      <c r="B1206" s="26">
        <v>45570</v>
      </c>
      <c r="C1206" s="25" t="s">
        <v>66</v>
      </c>
      <c r="D1206" s="25" t="s">
        <v>21</v>
      </c>
      <c r="E1206" s="25" t="s">
        <v>93</v>
      </c>
      <c r="F1206" s="25">
        <v>6</v>
      </c>
      <c r="G1206" s="25" t="s">
        <v>89</v>
      </c>
      <c r="H1206" s="25">
        <v>250</v>
      </c>
      <c r="I1206" s="25">
        <v>180</v>
      </c>
      <c r="J1206" s="25">
        <v>1500</v>
      </c>
      <c r="K1206" s="25">
        <v>1080</v>
      </c>
      <c r="L1206" s="25">
        <v>420</v>
      </c>
      <c r="M1206" s="27">
        <v>38.8888888888889</v>
      </c>
      <c r="N1206" s="25" t="s">
        <v>67</v>
      </c>
      <c r="O1206" s="25" t="s">
        <v>27</v>
      </c>
      <c r="P1206" s="25" t="s">
        <v>32</v>
      </c>
    </row>
    <row r="1207" spans="1:16" x14ac:dyDescent="0.3">
      <c r="A1207" s="25">
        <v>1206</v>
      </c>
      <c r="B1207" s="26">
        <v>45570</v>
      </c>
      <c r="C1207" s="25" t="s">
        <v>66</v>
      </c>
      <c r="D1207" s="25" t="s">
        <v>22</v>
      </c>
      <c r="E1207" s="25" t="s">
        <v>90</v>
      </c>
      <c r="F1207" s="25">
        <v>2</v>
      </c>
      <c r="G1207" s="25" t="s">
        <v>91</v>
      </c>
      <c r="H1207" s="25">
        <v>280</v>
      </c>
      <c r="I1207" s="25">
        <v>240</v>
      </c>
      <c r="J1207" s="25">
        <v>560</v>
      </c>
      <c r="K1207" s="25">
        <v>480</v>
      </c>
      <c r="L1207" s="25">
        <v>80</v>
      </c>
      <c r="M1207" s="27">
        <v>16.6666666666667</v>
      </c>
      <c r="N1207" s="25" t="s">
        <v>67</v>
      </c>
      <c r="O1207" s="25" t="s">
        <v>28</v>
      </c>
      <c r="P1207" s="25" t="s">
        <v>32</v>
      </c>
    </row>
    <row r="1208" spans="1:16" x14ac:dyDescent="0.3">
      <c r="A1208" s="25">
        <v>1207</v>
      </c>
      <c r="B1208" s="26">
        <v>45570</v>
      </c>
      <c r="C1208" s="25" t="s">
        <v>66</v>
      </c>
      <c r="D1208" s="25" t="s">
        <v>22</v>
      </c>
      <c r="E1208" s="25" t="s">
        <v>103</v>
      </c>
      <c r="F1208" s="25">
        <v>1</v>
      </c>
      <c r="G1208" s="25" t="s">
        <v>102</v>
      </c>
      <c r="H1208" s="25">
        <v>30</v>
      </c>
      <c r="I1208" s="25">
        <v>20</v>
      </c>
      <c r="J1208" s="25">
        <v>30</v>
      </c>
      <c r="K1208" s="25">
        <v>20</v>
      </c>
      <c r="L1208" s="25">
        <v>10</v>
      </c>
      <c r="M1208" s="27">
        <v>50</v>
      </c>
      <c r="N1208" s="25" t="s">
        <v>67</v>
      </c>
      <c r="O1208" s="25" t="s">
        <v>28</v>
      </c>
      <c r="P1208" s="25" t="s">
        <v>32</v>
      </c>
    </row>
    <row r="1209" spans="1:16" x14ac:dyDescent="0.3">
      <c r="A1209" s="25">
        <v>1208</v>
      </c>
      <c r="B1209" s="26">
        <v>45570</v>
      </c>
      <c r="C1209" s="25" t="s">
        <v>66</v>
      </c>
      <c r="D1209" s="25" t="s">
        <v>22</v>
      </c>
      <c r="E1209" s="25" t="s">
        <v>101</v>
      </c>
      <c r="F1209" s="25">
        <v>6</v>
      </c>
      <c r="G1209" s="25" t="s">
        <v>102</v>
      </c>
      <c r="H1209" s="25">
        <v>6</v>
      </c>
      <c r="I1209" s="25">
        <v>4</v>
      </c>
      <c r="J1209" s="25">
        <v>36</v>
      </c>
      <c r="K1209" s="25">
        <v>24</v>
      </c>
      <c r="L1209" s="25">
        <v>12</v>
      </c>
      <c r="M1209" s="27">
        <v>50</v>
      </c>
      <c r="N1209" s="25" t="s">
        <v>67</v>
      </c>
      <c r="O1209" s="25" t="s">
        <v>28</v>
      </c>
      <c r="P1209" s="25" t="s">
        <v>32</v>
      </c>
    </row>
    <row r="1210" spans="1:16" x14ac:dyDescent="0.3">
      <c r="A1210" s="25">
        <v>1209</v>
      </c>
      <c r="B1210" s="26">
        <v>45570</v>
      </c>
      <c r="C1210" s="25" t="s">
        <v>66</v>
      </c>
      <c r="D1210" s="25" t="s">
        <v>21</v>
      </c>
      <c r="E1210" s="25" t="s">
        <v>98</v>
      </c>
      <c r="F1210" s="25">
        <v>2</v>
      </c>
      <c r="G1210" s="25" t="s">
        <v>89</v>
      </c>
      <c r="H1210" s="25">
        <v>95</v>
      </c>
      <c r="I1210" s="25">
        <v>55</v>
      </c>
      <c r="J1210" s="25">
        <v>190</v>
      </c>
      <c r="K1210" s="25">
        <v>110</v>
      </c>
      <c r="L1210" s="25">
        <v>80</v>
      </c>
      <c r="M1210" s="27">
        <v>72.727272727272705</v>
      </c>
      <c r="N1210" s="25" t="s">
        <v>67</v>
      </c>
      <c r="O1210" s="25" t="s">
        <v>27</v>
      </c>
      <c r="P1210" s="25" t="s">
        <v>32</v>
      </c>
    </row>
    <row r="1211" spans="1:16" x14ac:dyDescent="0.3">
      <c r="A1211" s="25">
        <v>1210</v>
      </c>
      <c r="B1211" s="26">
        <v>45570</v>
      </c>
      <c r="C1211" s="25" t="s">
        <v>66</v>
      </c>
      <c r="D1211" s="25" t="s">
        <v>21</v>
      </c>
      <c r="E1211" s="25" t="s">
        <v>88</v>
      </c>
      <c r="F1211" s="25">
        <v>14</v>
      </c>
      <c r="G1211" s="25" t="s">
        <v>89</v>
      </c>
      <c r="H1211" s="25">
        <v>130</v>
      </c>
      <c r="I1211" s="25">
        <v>100</v>
      </c>
      <c r="J1211" s="25">
        <v>1820</v>
      </c>
      <c r="K1211" s="25">
        <v>1400</v>
      </c>
      <c r="L1211" s="25">
        <v>420</v>
      </c>
      <c r="M1211" s="27">
        <v>30</v>
      </c>
      <c r="N1211" s="25" t="s">
        <v>67</v>
      </c>
      <c r="O1211" s="25" t="s">
        <v>27</v>
      </c>
      <c r="P1211" s="25" t="s">
        <v>32</v>
      </c>
    </row>
    <row r="1212" spans="1:16" x14ac:dyDescent="0.3">
      <c r="A1212" s="25">
        <v>1211</v>
      </c>
      <c r="B1212" s="26">
        <v>45571</v>
      </c>
      <c r="C1212" s="25" t="s">
        <v>66</v>
      </c>
      <c r="D1212" s="25" t="s">
        <v>21</v>
      </c>
      <c r="E1212" s="25" t="s">
        <v>88</v>
      </c>
      <c r="F1212" s="25">
        <v>6</v>
      </c>
      <c r="G1212" s="25" t="s">
        <v>89</v>
      </c>
      <c r="H1212" s="25">
        <v>130</v>
      </c>
      <c r="I1212" s="25">
        <v>100</v>
      </c>
      <c r="J1212" s="25">
        <v>780</v>
      </c>
      <c r="K1212" s="25">
        <v>600</v>
      </c>
      <c r="L1212" s="25">
        <v>180</v>
      </c>
      <c r="M1212" s="27">
        <v>30</v>
      </c>
      <c r="N1212" s="25" t="s">
        <v>67</v>
      </c>
      <c r="O1212" s="25" t="s">
        <v>27</v>
      </c>
      <c r="P1212" s="25" t="s">
        <v>32</v>
      </c>
    </row>
    <row r="1213" spans="1:16" x14ac:dyDescent="0.3">
      <c r="A1213" s="25">
        <v>1212</v>
      </c>
      <c r="B1213" s="26">
        <v>45571</v>
      </c>
      <c r="C1213" s="25" t="s">
        <v>66</v>
      </c>
      <c r="D1213" s="25" t="s">
        <v>21</v>
      </c>
      <c r="E1213" s="25" t="s">
        <v>93</v>
      </c>
      <c r="F1213" s="25">
        <v>4</v>
      </c>
      <c r="G1213" s="25" t="s">
        <v>89</v>
      </c>
      <c r="H1213" s="25">
        <v>250</v>
      </c>
      <c r="I1213" s="25">
        <v>180</v>
      </c>
      <c r="J1213" s="25">
        <v>1000</v>
      </c>
      <c r="K1213" s="25">
        <v>720</v>
      </c>
      <c r="L1213" s="25">
        <v>280</v>
      </c>
      <c r="M1213" s="27">
        <v>38.8888888888889</v>
      </c>
      <c r="N1213" s="25" t="s">
        <v>67</v>
      </c>
      <c r="O1213" s="25" t="s">
        <v>27</v>
      </c>
      <c r="P1213" s="25" t="s">
        <v>32</v>
      </c>
    </row>
    <row r="1214" spans="1:16" x14ac:dyDescent="0.3">
      <c r="A1214" s="25">
        <v>1213</v>
      </c>
      <c r="B1214" s="26">
        <v>45571</v>
      </c>
      <c r="C1214" s="25" t="s">
        <v>66</v>
      </c>
      <c r="D1214" s="25" t="s">
        <v>22</v>
      </c>
      <c r="E1214" s="25" t="s">
        <v>92</v>
      </c>
      <c r="F1214" s="25">
        <v>2</v>
      </c>
      <c r="G1214" s="25" t="s">
        <v>91</v>
      </c>
      <c r="H1214" s="25">
        <v>260</v>
      </c>
      <c r="I1214" s="25">
        <v>220</v>
      </c>
      <c r="J1214" s="25">
        <v>520</v>
      </c>
      <c r="K1214" s="25">
        <v>440</v>
      </c>
      <c r="L1214" s="25">
        <v>80</v>
      </c>
      <c r="M1214" s="27">
        <v>18.181818181818201</v>
      </c>
      <c r="N1214" s="25" t="s">
        <v>67</v>
      </c>
      <c r="O1214" s="25" t="s">
        <v>28</v>
      </c>
      <c r="P1214" s="25" t="s">
        <v>32</v>
      </c>
    </row>
    <row r="1215" spans="1:16" x14ac:dyDescent="0.3">
      <c r="A1215" s="25">
        <v>1214</v>
      </c>
      <c r="B1215" s="26">
        <v>45571</v>
      </c>
      <c r="C1215" s="25" t="s">
        <v>66</v>
      </c>
      <c r="D1215" s="25" t="s">
        <v>22</v>
      </c>
      <c r="E1215" s="25" t="s">
        <v>99</v>
      </c>
      <c r="F1215" s="25">
        <v>2</v>
      </c>
      <c r="G1215" s="25" t="s">
        <v>100</v>
      </c>
      <c r="H1215" s="25">
        <v>200</v>
      </c>
      <c r="I1215" s="25">
        <v>160</v>
      </c>
      <c r="J1215" s="25">
        <v>400</v>
      </c>
      <c r="K1215" s="25">
        <v>320</v>
      </c>
      <c r="L1215" s="25">
        <v>80</v>
      </c>
      <c r="M1215" s="27">
        <v>25</v>
      </c>
      <c r="N1215" s="25" t="s">
        <v>67</v>
      </c>
      <c r="O1215" s="25" t="s">
        <v>28</v>
      </c>
      <c r="P1215" s="25" t="s">
        <v>32</v>
      </c>
    </row>
    <row r="1216" spans="1:16" x14ac:dyDescent="0.3">
      <c r="A1216" s="25">
        <v>1215</v>
      </c>
      <c r="B1216" s="26">
        <v>45571</v>
      </c>
      <c r="C1216" s="25" t="s">
        <v>66</v>
      </c>
      <c r="D1216" s="25" t="s">
        <v>21</v>
      </c>
      <c r="E1216" s="25" t="s">
        <v>88</v>
      </c>
      <c r="F1216" s="25">
        <v>15</v>
      </c>
      <c r="G1216" s="25" t="s">
        <v>89</v>
      </c>
      <c r="H1216" s="25">
        <v>130</v>
      </c>
      <c r="I1216" s="25">
        <v>100</v>
      </c>
      <c r="J1216" s="25">
        <v>1950</v>
      </c>
      <c r="K1216" s="25">
        <v>1500</v>
      </c>
      <c r="L1216" s="25">
        <v>450</v>
      </c>
      <c r="M1216" s="27">
        <v>30</v>
      </c>
      <c r="N1216" s="25" t="s">
        <v>67</v>
      </c>
      <c r="O1216" s="25" t="s">
        <v>27</v>
      </c>
      <c r="P1216" s="25" t="s">
        <v>32</v>
      </c>
    </row>
    <row r="1217" spans="1:16" x14ac:dyDescent="0.3">
      <c r="A1217" s="25">
        <v>1216</v>
      </c>
      <c r="B1217" s="26">
        <v>45571</v>
      </c>
      <c r="C1217" s="25" t="s">
        <v>66</v>
      </c>
      <c r="D1217" s="25" t="s">
        <v>21</v>
      </c>
      <c r="E1217" s="25" t="s">
        <v>94</v>
      </c>
      <c r="F1217" s="25">
        <v>24</v>
      </c>
      <c r="G1217" s="25" t="s">
        <v>89</v>
      </c>
      <c r="H1217" s="25">
        <v>30</v>
      </c>
      <c r="I1217" s="25">
        <v>26</v>
      </c>
      <c r="J1217" s="25">
        <v>720</v>
      </c>
      <c r="K1217" s="25">
        <v>624</v>
      </c>
      <c r="L1217" s="25">
        <v>96</v>
      </c>
      <c r="M1217" s="27">
        <v>15.384615384615399</v>
      </c>
      <c r="N1217" s="25" t="s">
        <v>67</v>
      </c>
      <c r="O1217" s="25" t="s">
        <v>27</v>
      </c>
      <c r="P1217" s="25" t="s">
        <v>32</v>
      </c>
    </row>
    <row r="1218" spans="1:16" x14ac:dyDescent="0.3">
      <c r="A1218" s="25">
        <v>1217</v>
      </c>
      <c r="B1218" s="26">
        <v>45571</v>
      </c>
      <c r="C1218" s="25" t="s">
        <v>66</v>
      </c>
      <c r="D1218" s="25" t="s">
        <v>21</v>
      </c>
      <c r="E1218" s="25" t="s">
        <v>93</v>
      </c>
      <c r="F1218" s="25">
        <v>3</v>
      </c>
      <c r="G1218" s="25" t="s">
        <v>89</v>
      </c>
      <c r="H1218" s="25">
        <v>250</v>
      </c>
      <c r="I1218" s="25">
        <v>180</v>
      </c>
      <c r="J1218" s="25">
        <v>750</v>
      </c>
      <c r="K1218" s="25">
        <v>540</v>
      </c>
      <c r="L1218" s="25">
        <v>210</v>
      </c>
      <c r="M1218" s="27">
        <v>38.8888888888889</v>
      </c>
      <c r="N1218" s="25" t="s">
        <v>67</v>
      </c>
      <c r="O1218" s="25" t="s">
        <v>27</v>
      </c>
      <c r="P1218" s="25" t="s">
        <v>32</v>
      </c>
    </row>
    <row r="1219" spans="1:16" x14ac:dyDescent="0.3">
      <c r="A1219" s="25">
        <v>1218</v>
      </c>
      <c r="B1219" s="26">
        <v>45571</v>
      </c>
      <c r="C1219" s="25" t="s">
        <v>66</v>
      </c>
      <c r="D1219" s="25" t="s">
        <v>22</v>
      </c>
      <c r="E1219" s="25" t="s">
        <v>96</v>
      </c>
      <c r="F1219" s="25">
        <v>1</v>
      </c>
      <c r="G1219" s="25" t="s">
        <v>97</v>
      </c>
      <c r="H1219" s="25">
        <v>300</v>
      </c>
      <c r="I1219" s="25">
        <v>265</v>
      </c>
      <c r="J1219" s="25">
        <v>300</v>
      </c>
      <c r="K1219" s="25">
        <v>265</v>
      </c>
      <c r="L1219" s="25">
        <v>35</v>
      </c>
      <c r="M1219" s="27">
        <v>13.207547169811299</v>
      </c>
      <c r="N1219" s="25" t="s">
        <v>67</v>
      </c>
      <c r="O1219" s="25" t="s">
        <v>28</v>
      </c>
      <c r="P1219" s="25" t="s">
        <v>32</v>
      </c>
    </row>
    <row r="1220" spans="1:16" x14ac:dyDescent="0.3">
      <c r="A1220" s="25">
        <v>1219</v>
      </c>
      <c r="B1220" s="26">
        <v>45571</v>
      </c>
      <c r="C1220" s="25" t="s">
        <v>66</v>
      </c>
      <c r="D1220" s="25" t="s">
        <v>22</v>
      </c>
      <c r="E1220" s="25" t="s">
        <v>96</v>
      </c>
      <c r="F1220" s="25">
        <v>2</v>
      </c>
      <c r="G1220" s="25" t="s">
        <v>97</v>
      </c>
      <c r="H1220" s="25">
        <v>300</v>
      </c>
      <c r="I1220" s="25">
        <v>265</v>
      </c>
      <c r="J1220" s="25">
        <v>600</v>
      </c>
      <c r="K1220" s="25">
        <v>530</v>
      </c>
      <c r="L1220" s="25">
        <v>70</v>
      </c>
      <c r="M1220" s="27">
        <v>13.207547169811299</v>
      </c>
      <c r="N1220" s="25" t="s">
        <v>67</v>
      </c>
      <c r="O1220" s="25" t="s">
        <v>28</v>
      </c>
      <c r="P1220" s="25" t="s">
        <v>32</v>
      </c>
    </row>
    <row r="1221" spans="1:16" x14ac:dyDescent="0.3">
      <c r="A1221" s="25">
        <v>1220</v>
      </c>
      <c r="B1221" s="26">
        <v>45571</v>
      </c>
      <c r="C1221" s="25" t="s">
        <v>66</v>
      </c>
      <c r="D1221" s="25" t="s">
        <v>22</v>
      </c>
      <c r="E1221" s="25" t="s">
        <v>90</v>
      </c>
      <c r="F1221" s="25">
        <v>2</v>
      </c>
      <c r="G1221" s="25" t="s">
        <v>91</v>
      </c>
      <c r="H1221" s="25">
        <v>280</v>
      </c>
      <c r="I1221" s="25">
        <v>240</v>
      </c>
      <c r="J1221" s="25">
        <v>560</v>
      </c>
      <c r="K1221" s="25">
        <v>480</v>
      </c>
      <c r="L1221" s="25">
        <v>80</v>
      </c>
      <c r="M1221" s="27">
        <v>16.6666666666667</v>
      </c>
      <c r="N1221" s="25" t="s">
        <v>67</v>
      </c>
      <c r="O1221" s="25" t="s">
        <v>28</v>
      </c>
      <c r="P1221" s="25" t="s">
        <v>32</v>
      </c>
    </row>
    <row r="1222" spans="1:16" x14ac:dyDescent="0.3">
      <c r="A1222" s="25">
        <v>1221</v>
      </c>
      <c r="B1222" s="26">
        <v>45571</v>
      </c>
      <c r="C1222" s="25" t="s">
        <v>66</v>
      </c>
      <c r="D1222" s="25" t="s">
        <v>22</v>
      </c>
      <c r="E1222" s="25" t="s">
        <v>103</v>
      </c>
      <c r="F1222" s="25">
        <v>2</v>
      </c>
      <c r="G1222" s="25" t="s">
        <v>102</v>
      </c>
      <c r="H1222" s="25">
        <v>30</v>
      </c>
      <c r="I1222" s="25">
        <v>20</v>
      </c>
      <c r="J1222" s="25">
        <v>60</v>
      </c>
      <c r="K1222" s="25">
        <v>40</v>
      </c>
      <c r="L1222" s="25">
        <v>20</v>
      </c>
      <c r="M1222" s="27">
        <v>50</v>
      </c>
      <c r="N1222" s="25" t="s">
        <v>67</v>
      </c>
      <c r="O1222" s="25" t="s">
        <v>28</v>
      </c>
      <c r="P1222" s="25" t="s">
        <v>32</v>
      </c>
    </row>
    <row r="1223" spans="1:16" x14ac:dyDescent="0.3">
      <c r="A1223" s="25">
        <v>1222</v>
      </c>
      <c r="B1223" s="26">
        <v>45571</v>
      </c>
      <c r="C1223" s="25" t="s">
        <v>66</v>
      </c>
      <c r="D1223" s="25" t="s">
        <v>21</v>
      </c>
      <c r="E1223" s="25" t="s">
        <v>88</v>
      </c>
      <c r="F1223" s="25">
        <v>14</v>
      </c>
      <c r="G1223" s="25" t="s">
        <v>89</v>
      </c>
      <c r="H1223" s="25">
        <v>130</v>
      </c>
      <c r="I1223" s="25">
        <v>100</v>
      </c>
      <c r="J1223" s="25">
        <v>1820</v>
      </c>
      <c r="K1223" s="25">
        <v>1400</v>
      </c>
      <c r="L1223" s="25">
        <v>420</v>
      </c>
      <c r="M1223" s="27">
        <v>30</v>
      </c>
      <c r="N1223" s="25" t="s">
        <v>67</v>
      </c>
      <c r="O1223" s="25" t="s">
        <v>27</v>
      </c>
      <c r="P1223" s="25" t="s">
        <v>32</v>
      </c>
    </row>
    <row r="1224" spans="1:16" x14ac:dyDescent="0.3">
      <c r="A1224" s="25">
        <v>1223</v>
      </c>
      <c r="B1224" s="26">
        <v>45571</v>
      </c>
      <c r="C1224" s="25" t="s">
        <v>66</v>
      </c>
      <c r="D1224" s="25" t="s">
        <v>21</v>
      </c>
      <c r="E1224" s="25" t="s">
        <v>88</v>
      </c>
      <c r="F1224" s="25">
        <v>2</v>
      </c>
      <c r="G1224" s="25" t="s">
        <v>89</v>
      </c>
      <c r="H1224" s="25">
        <v>130</v>
      </c>
      <c r="I1224" s="25">
        <v>100</v>
      </c>
      <c r="J1224" s="25">
        <v>260</v>
      </c>
      <c r="K1224" s="25">
        <v>200</v>
      </c>
      <c r="L1224" s="25">
        <v>60</v>
      </c>
      <c r="M1224" s="27">
        <v>30</v>
      </c>
      <c r="N1224" s="25" t="s">
        <v>67</v>
      </c>
      <c r="O1224" s="25" t="s">
        <v>27</v>
      </c>
      <c r="P1224" s="25" t="s">
        <v>32</v>
      </c>
    </row>
    <row r="1225" spans="1:16" x14ac:dyDescent="0.3">
      <c r="A1225" s="25">
        <v>1224</v>
      </c>
      <c r="B1225" s="26">
        <v>45572</v>
      </c>
      <c r="C1225" s="25" t="s">
        <v>66</v>
      </c>
      <c r="D1225" s="25" t="s">
        <v>21</v>
      </c>
      <c r="E1225" s="25" t="s">
        <v>93</v>
      </c>
      <c r="F1225" s="25">
        <v>2</v>
      </c>
      <c r="G1225" s="25" t="s">
        <v>89</v>
      </c>
      <c r="H1225" s="25">
        <v>250</v>
      </c>
      <c r="I1225" s="25">
        <v>180</v>
      </c>
      <c r="J1225" s="25">
        <v>500</v>
      </c>
      <c r="K1225" s="25">
        <v>360</v>
      </c>
      <c r="L1225" s="25">
        <v>140</v>
      </c>
      <c r="M1225" s="27">
        <v>38.8888888888889</v>
      </c>
      <c r="N1225" s="25" t="s">
        <v>67</v>
      </c>
      <c r="O1225" s="25" t="s">
        <v>27</v>
      </c>
      <c r="P1225" s="25" t="s">
        <v>32</v>
      </c>
    </row>
    <row r="1226" spans="1:16" x14ac:dyDescent="0.3">
      <c r="A1226" s="25">
        <v>1225</v>
      </c>
      <c r="B1226" s="26">
        <v>45572</v>
      </c>
      <c r="C1226" s="25" t="s">
        <v>66</v>
      </c>
      <c r="D1226" s="25" t="s">
        <v>21</v>
      </c>
      <c r="E1226" s="25" t="s">
        <v>94</v>
      </c>
      <c r="F1226" s="25">
        <v>16</v>
      </c>
      <c r="G1226" s="25" t="s">
        <v>89</v>
      </c>
      <c r="H1226" s="25">
        <v>30</v>
      </c>
      <c r="I1226" s="25">
        <v>26</v>
      </c>
      <c r="J1226" s="25">
        <v>480</v>
      </c>
      <c r="K1226" s="25">
        <v>416</v>
      </c>
      <c r="L1226" s="25">
        <v>64</v>
      </c>
      <c r="M1226" s="27">
        <v>15.384615384615399</v>
      </c>
      <c r="N1226" s="25" t="s">
        <v>67</v>
      </c>
      <c r="O1226" s="25" t="s">
        <v>27</v>
      </c>
      <c r="P1226" s="25" t="s">
        <v>32</v>
      </c>
    </row>
    <row r="1227" spans="1:16" x14ac:dyDescent="0.3">
      <c r="A1227" s="25">
        <v>1226</v>
      </c>
      <c r="B1227" s="26">
        <v>45572</v>
      </c>
      <c r="C1227" s="25" t="s">
        <v>66</v>
      </c>
      <c r="D1227" s="25" t="s">
        <v>21</v>
      </c>
      <c r="E1227" s="25" t="s">
        <v>93</v>
      </c>
      <c r="F1227" s="25">
        <v>2</v>
      </c>
      <c r="G1227" s="25" t="s">
        <v>89</v>
      </c>
      <c r="H1227" s="25">
        <v>250</v>
      </c>
      <c r="I1227" s="25">
        <v>180</v>
      </c>
      <c r="J1227" s="25">
        <v>500</v>
      </c>
      <c r="K1227" s="25">
        <v>360</v>
      </c>
      <c r="L1227" s="25">
        <v>140</v>
      </c>
      <c r="M1227" s="27">
        <v>38.8888888888889</v>
      </c>
      <c r="N1227" s="25" t="s">
        <v>67</v>
      </c>
      <c r="O1227" s="25" t="s">
        <v>27</v>
      </c>
      <c r="P1227" s="25" t="s">
        <v>32</v>
      </c>
    </row>
    <row r="1228" spans="1:16" x14ac:dyDescent="0.3">
      <c r="A1228" s="25">
        <v>1227</v>
      </c>
      <c r="B1228" s="26">
        <v>45572</v>
      </c>
      <c r="C1228" s="25" t="s">
        <v>66</v>
      </c>
      <c r="D1228" s="25" t="s">
        <v>21</v>
      </c>
      <c r="E1228" s="25" t="s">
        <v>88</v>
      </c>
      <c r="F1228" s="25">
        <v>10</v>
      </c>
      <c r="G1228" s="25" t="s">
        <v>89</v>
      </c>
      <c r="H1228" s="25">
        <v>130</v>
      </c>
      <c r="I1228" s="25">
        <v>100</v>
      </c>
      <c r="J1228" s="25">
        <v>1300</v>
      </c>
      <c r="K1228" s="25">
        <v>1000</v>
      </c>
      <c r="L1228" s="25">
        <v>300</v>
      </c>
      <c r="M1228" s="27">
        <v>30</v>
      </c>
      <c r="N1228" s="25" t="s">
        <v>67</v>
      </c>
      <c r="O1228" s="25" t="s">
        <v>27</v>
      </c>
      <c r="P1228" s="25" t="s">
        <v>32</v>
      </c>
    </row>
    <row r="1229" spans="1:16" x14ac:dyDescent="0.3">
      <c r="A1229" s="25">
        <v>1228</v>
      </c>
      <c r="B1229" s="26">
        <v>45572</v>
      </c>
      <c r="C1229" s="25" t="s">
        <v>66</v>
      </c>
      <c r="D1229" s="25" t="s">
        <v>21</v>
      </c>
      <c r="E1229" s="25" t="s">
        <v>94</v>
      </c>
      <c r="F1229" s="25">
        <v>24</v>
      </c>
      <c r="G1229" s="25" t="s">
        <v>89</v>
      </c>
      <c r="H1229" s="25">
        <v>30</v>
      </c>
      <c r="I1229" s="25">
        <v>26</v>
      </c>
      <c r="J1229" s="25">
        <v>720</v>
      </c>
      <c r="K1229" s="25">
        <v>624</v>
      </c>
      <c r="L1229" s="25">
        <v>96</v>
      </c>
      <c r="M1229" s="27">
        <v>15.384615384615399</v>
      </c>
      <c r="N1229" s="25" t="s">
        <v>67</v>
      </c>
      <c r="O1229" s="25" t="s">
        <v>27</v>
      </c>
      <c r="P1229" s="25" t="s">
        <v>32</v>
      </c>
    </row>
    <row r="1230" spans="1:16" x14ac:dyDescent="0.3">
      <c r="A1230" s="25">
        <v>1229</v>
      </c>
      <c r="B1230" s="26">
        <v>45572</v>
      </c>
      <c r="C1230" s="25" t="s">
        <v>66</v>
      </c>
      <c r="D1230" s="25" t="s">
        <v>21</v>
      </c>
      <c r="E1230" s="25" t="s">
        <v>93</v>
      </c>
      <c r="F1230" s="25">
        <v>3</v>
      </c>
      <c r="G1230" s="25" t="s">
        <v>89</v>
      </c>
      <c r="H1230" s="25">
        <v>250</v>
      </c>
      <c r="I1230" s="25">
        <v>180</v>
      </c>
      <c r="J1230" s="25">
        <v>750</v>
      </c>
      <c r="K1230" s="25">
        <v>540</v>
      </c>
      <c r="L1230" s="25">
        <v>210</v>
      </c>
      <c r="M1230" s="27">
        <v>38.8888888888889</v>
      </c>
      <c r="N1230" s="25" t="s">
        <v>67</v>
      </c>
      <c r="O1230" s="25" t="s">
        <v>27</v>
      </c>
      <c r="P1230" s="25" t="s">
        <v>32</v>
      </c>
    </row>
    <row r="1231" spans="1:16" x14ac:dyDescent="0.3">
      <c r="A1231" s="25">
        <v>1230</v>
      </c>
      <c r="B1231" s="26">
        <v>45572</v>
      </c>
      <c r="C1231" s="25" t="s">
        <v>66</v>
      </c>
      <c r="D1231" s="25" t="s">
        <v>21</v>
      </c>
      <c r="E1231" s="25" t="s">
        <v>98</v>
      </c>
      <c r="F1231" s="25">
        <v>2</v>
      </c>
      <c r="G1231" s="25" t="s">
        <v>89</v>
      </c>
      <c r="H1231" s="25">
        <v>95</v>
      </c>
      <c r="I1231" s="25">
        <v>55</v>
      </c>
      <c r="J1231" s="25">
        <v>190</v>
      </c>
      <c r="K1231" s="25">
        <v>110</v>
      </c>
      <c r="L1231" s="25">
        <v>80</v>
      </c>
      <c r="M1231" s="27">
        <v>72.727272727272705</v>
      </c>
      <c r="N1231" s="25" t="s">
        <v>67</v>
      </c>
      <c r="O1231" s="25" t="s">
        <v>27</v>
      </c>
      <c r="P1231" s="25" t="s">
        <v>32</v>
      </c>
    </row>
    <row r="1232" spans="1:16" x14ac:dyDescent="0.3">
      <c r="A1232" s="25">
        <v>1231</v>
      </c>
      <c r="B1232" s="26">
        <v>45572</v>
      </c>
      <c r="C1232" s="25" t="s">
        <v>66</v>
      </c>
      <c r="D1232" s="25" t="s">
        <v>21</v>
      </c>
      <c r="E1232" s="25" t="s">
        <v>88</v>
      </c>
      <c r="F1232" s="25">
        <v>8</v>
      </c>
      <c r="G1232" s="25" t="s">
        <v>89</v>
      </c>
      <c r="H1232" s="25">
        <v>130</v>
      </c>
      <c r="I1232" s="25">
        <v>100</v>
      </c>
      <c r="J1232" s="25">
        <v>1040</v>
      </c>
      <c r="K1232" s="25">
        <v>800</v>
      </c>
      <c r="L1232" s="25">
        <v>240</v>
      </c>
      <c r="M1232" s="27">
        <v>30</v>
      </c>
      <c r="N1232" s="25" t="s">
        <v>67</v>
      </c>
      <c r="O1232" s="25" t="s">
        <v>27</v>
      </c>
      <c r="P1232" s="25" t="s">
        <v>32</v>
      </c>
    </row>
    <row r="1233" spans="1:16" x14ac:dyDescent="0.3">
      <c r="A1233" s="25">
        <v>1232</v>
      </c>
      <c r="B1233" s="26">
        <v>45572</v>
      </c>
      <c r="C1233" s="25" t="s">
        <v>66</v>
      </c>
      <c r="D1233" s="25" t="s">
        <v>21</v>
      </c>
      <c r="E1233" s="25" t="s">
        <v>88</v>
      </c>
      <c r="F1233" s="25">
        <v>9</v>
      </c>
      <c r="G1233" s="25" t="s">
        <v>89</v>
      </c>
      <c r="H1233" s="25">
        <v>130</v>
      </c>
      <c r="I1233" s="25">
        <v>100</v>
      </c>
      <c r="J1233" s="25">
        <v>1170</v>
      </c>
      <c r="K1233" s="25">
        <v>900</v>
      </c>
      <c r="L1233" s="25">
        <v>270</v>
      </c>
      <c r="M1233" s="27">
        <v>30</v>
      </c>
      <c r="N1233" s="25" t="s">
        <v>67</v>
      </c>
      <c r="O1233" s="25" t="s">
        <v>27</v>
      </c>
      <c r="P1233" s="25" t="s">
        <v>32</v>
      </c>
    </row>
    <row r="1234" spans="1:16" x14ac:dyDescent="0.3">
      <c r="A1234" s="25">
        <v>1233</v>
      </c>
      <c r="B1234" s="26">
        <v>45572</v>
      </c>
      <c r="C1234" s="25" t="s">
        <v>66</v>
      </c>
      <c r="D1234" s="25" t="s">
        <v>21</v>
      </c>
      <c r="E1234" s="25" t="s">
        <v>88</v>
      </c>
      <c r="F1234" s="25">
        <v>4</v>
      </c>
      <c r="G1234" s="25" t="s">
        <v>89</v>
      </c>
      <c r="H1234" s="25">
        <v>130</v>
      </c>
      <c r="I1234" s="25">
        <v>100</v>
      </c>
      <c r="J1234" s="25">
        <v>520</v>
      </c>
      <c r="K1234" s="25">
        <v>400</v>
      </c>
      <c r="L1234" s="25">
        <v>120</v>
      </c>
      <c r="M1234" s="27">
        <v>30</v>
      </c>
      <c r="N1234" s="25" t="s">
        <v>67</v>
      </c>
      <c r="O1234" s="25" t="s">
        <v>27</v>
      </c>
      <c r="P1234" s="25" t="s">
        <v>32</v>
      </c>
    </row>
    <row r="1235" spans="1:16" x14ac:dyDescent="0.3">
      <c r="A1235" s="25">
        <v>1234</v>
      </c>
      <c r="B1235" s="26">
        <v>45572</v>
      </c>
      <c r="C1235" s="25" t="s">
        <v>66</v>
      </c>
      <c r="D1235" s="25" t="s">
        <v>22</v>
      </c>
      <c r="E1235" s="25" t="s">
        <v>92</v>
      </c>
      <c r="F1235" s="25">
        <v>2</v>
      </c>
      <c r="G1235" s="25" t="s">
        <v>91</v>
      </c>
      <c r="H1235" s="25">
        <v>260</v>
      </c>
      <c r="I1235" s="25">
        <v>220</v>
      </c>
      <c r="J1235" s="25">
        <v>520</v>
      </c>
      <c r="K1235" s="25">
        <v>440</v>
      </c>
      <c r="L1235" s="25">
        <v>80</v>
      </c>
      <c r="M1235" s="27">
        <v>18.181818181818201</v>
      </c>
      <c r="N1235" s="25" t="s">
        <v>67</v>
      </c>
      <c r="O1235" s="25" t="s">
        <v>28</v>
      </c>
      <c r="P1235" s="25" t="s">
        <v>33</v>
      </c>
    </row>
    <row r="1236" spans="1:16" x14ac:dyDescent="0.3">
      <c r="A1236" s="25">
        <v>1235</v>
      </c>
      <c r="B1236" s="26">
        <v>45573</v>
      </c>
      <c r="C1236" s="25" t="s">
        <v>66</v>
      </c>
      <c r="D1236" s="25" t="s">
        <v>21</v>
      </c>
      <c r="E1236" s="25" t="s">
        <v>88</v>
      </c>
      <c r="F1236" s="25">
        <v>14</v>
      </c>
      <c r="G1236" s="25" t="s">
        <v>89</v>
      </c>
      <c r="H1236" s="25">
        <v>130</v>
      </c>
      <c r="I1236" s="25">
        <v>100</v>
      </c>
      <c r="J1236" s="25">
        <v>1820</v>
      </c>
      <c r="K1236" s="25">
        <v>1400</v>
      </c>
      <c r="L1236" s="25">
        <v>420</v>
      </c>
      <c r="M1236" s="27">
        <v>30</v>
      </c>
      <c r="N1236" s="25" t="s">
        <v>67</v>
      </c>
      <c r="O1236" s="25" t="s">
        <v>27</v>
      </c>
      <c r="P1236" s="25" t="s">
        <v>32</v>
      </c>
    </row>
    <row r="1237" spans="1:16" x14ac:dyDescent="0.3">
      <c r="A1237" s="25">
        <v>1236</v>
      </c>
      <c r="B1237" s="26">
        <v>45573</v>
      </c>
      <c r="C1237" s="25" t="s">
        <v>66</v>
      </c>
      <c r="D1237" s="25" t="s">
        <v>21</v>
      </c>
      <c r="E1237" s="25" t="s">
        <v>93</v>
      </c>
      <c r="F1237" s="25">
        <v>2</v>
      </c>
      <c r="G1237" s="25" t="s">
        <v>89</v>
      </c>
      <c r="H1237" s="25">
        <v>250</v>
      </c>
      <c r="I1237" s="25">
        <v>180</v>
      </c>
      <c r="J1237" s="25">
        <v>500</v>
      </c>
      <c r="K1237" s="25">
        <v>360</v>
      </c>
      <c r="L1237" s="25">
        <v>140</v>
      </c>
      <c r="M1237" s="27">
        <v>38.8888888888889</v>
      </c>
      <c r="N1237" s="25" t="s">
        <v>67</v>
      </c>
      <c r="O1237" s="25" t="s">
        <v>27</v>
      </c>
      <c r="P1237" s="25" t="s">
        <v>32</v>
      </c>
    </row>
    <row r="1238" spans="1:16" x14ac:dyDescent="0.3">
      <c r="A1238" s="25">
        <v>1237</v>
      </c>
      <c r="B1238" s="26">
        <v>45573</v>
      </c>
      <c r="C1238" s="25" t="s">
        <v>66</v>
      </c>
      <c r="D1238" s="25" t="s">
        <v>21</v>
      </c>
      <c r="E1238" s="25" t="s">
        <v>94</v>
      </c>
      <c r="F1238" s="25">
        <v>25</v>
      </c>
      <c r="G1238" s="25" t="s">
        <v>89</v>
      </c>
      <c r="H1238" s="25">
        <v>30</v>
      </c>
      <c r="I1238" s="25">
        <v>26</v>
      </c>
      <c r="J1238" s="25">
        <v>750</v>
      </c>
      <c r="K1238" s="25">
        <v>650</v>
      </c>
      <c r="L1238" s="25">
        <v>100</v>
      </c>
      <c r="M1238" s="27">
        <v>15.384615384615399</v>
      </c>
      <c r="N1238" s="25" t="s">
        <v>67</v>
      </c>
      <c r="O1238" s="25" t="s">
        <v>27</v>
      </c>
      <c r="P1238" s="25" t="s">
        <v>32</v>
      </c>
    </row>
    <row r="1239" spans="1:16" x14ac:dyDescent="0.3">
      <c r="A1239" s="25">
        <v>1238</v>
      </c>
      <c r="B1239" s="26">
        <v>45573</v>
      </c>
      <c r="C1239" s="25" t="s">
        <v>66</v>
      </c>
      <c r="D1239" s="25" t="s">
        <v>21</v>
      </c>
      <c r="E1239" s="25" t="s">
        <v>88</v>
      </c>
      <c r="F1239" s="25">
        <v>2</v>
      </c>
      <c r="G1239" s="25" t="s">
        <v>89</v>
      </c>
      <c r="H1239" s="25">
        <v>130</v>
      </c>
      <c r="I1239" s="25">
        <v>100</v>
      </c>
      <c r="J1239" s="25">
        <v>260</v>
      </c>
      <c r="K1239" s="25">
        <v>200</v>
      </c>
      <c r="L1239" s="25">
        <v>60</v>
      </c>
      <c r="M1239" s="27">
        <v>30</v>
      </c>
      <c r="N1239" s="25" t="s">
        <v>67</v>
      </c>
      <c r="O1239" s="25" t="s">
        <v>27</v>
      </c>
      <c r="P1239" s="25" t="s">
        <v>32</v>
      </c>
    </row>
    <row r="1240" spans="1:16" x14ac:dyDescent="0.3">
      <c r="A1240" s="25">
        <v>1239</v>
      </c>
      <c r="B1240" s="26">
        <v>45573</v>
      </c>
      <c r="C1240" s="25" t="s">
        <v>66</v>
      </c>
      <c r="D1240" s="25" t="s">
        <v>21</v>
      </c>
      <c r="E1240" s="25" t="s">
        <v>98</v>
      </c>
      <c r="F1240" s="25">
        <v>2</v>
      </c>
      <c r="G1240" s="25" t="s">
        <v>89</v>
      </c>
      <c r="H1240" s="25">
        <v>95</v>
      </c>
      <c r="I1240" s="25">
        <v>55</v>
      </c>
      <c r="J1240" s="25">
        <v>190</v>
      </c>
      <c r="K1240" s="25">
        <v>110</v>
      </c>
      <c r="L1240" s="25">
        <v>80</v>
      </c>
      <c r="M1240" s="27">
        <v>72.727272727272705</v>
      </c>
      <c r="N1240" s="25" t="s">
        <v>67</v>
      </c>
      <c r="O1240" s="25" t="s">
        <v>27</v>
      </c>
      <c r="P1240" s="25" t="s">
        <v>32</v>
      </c>
    </row>
    <row r="1241" spans="1:16" x14ac:dyDescent="0.3">
      <c r="A1241" s="25">
        <v>1240</v>
      </c>
      <c r="B1241" s="26">
        <v>45573</v>
      </c>
      <c r="C1241" s="25" t="s">
        <v>66</v>
      </c>
      <c r="D1241" s="25" t="s">
        <v>21</v>
      </c>
      <c r="E1241" s="25" t="s">
        <v>88</v>
      </c>
      <c r="F1241" s="25">
        <v>5</v>
      </c>
      <c r="G1241" s="25" t="s">
        <v>89</v>
      </c>
      <c r="H1241" s="25">
        <v>130</v>
      </c>
      <c r="I1241" s="25">
        <v>100</v>
      </c>
      <c r="J1241" s="25">
        <v>650</v>
      </c>
      <c r="K1241" s="25">
        <v>500</v>
      </c>
      <c r="L1241" s="25">
        <v>150</v>
      </c>
      <c r="M1241" s="27">
        <v>30</v>
      </c>
      <c r="N1241" s="25" t="s">
        <v>67</v>
      </c>
      <c r="O1241" s="25" t="s">
        <v>27</v>
      </c>
      <c r="P1241" s="25" t="s">
        <v>32</v>
      </c>
    </row>
    <row r="1242" spans="1:16" x14ac:dyDescent="0.3">
      <c r="A1242" s="25">
        <v>1241</v>
      </c>
      <c r="B1242" s="26">
        <v>45573</v>
      </c>
      <c r="C1242" s="25" t="s">
        <v>66</v>
      </c>
      <c r="D1242" s="25" t="s">
        <v>22</v>
      </c>
      <c r="E1242" s="25" t="s">
        <v>99</v>
      </c>
      <c r="F1242" s="25">
        <v>2</v>
      </c>
      <c r="G1242" s="25" t="s">
        <v>100</v>
      </c>
      <c r="H1242" s="25">
        <v>200</v>
      </c>
      <c r="I1242" s="25">
        <v>160</v>
      </c>
      <c r="J1242" s="25">
        <v>400</v>
      </c>
      <c r="K1242" s="25">
        <v>320</v>
      </c>
      <c r="L1242" s="25">
        <v>80</v>
      </c>
      <c r="M1242" s="27">
        <v>25</v>
      </c>
      <c r="N1242" s="25" t="s">
        <v>67</v>
      </c>
      <c r="O1242" s="25" t="s">
        <v>28</v>
      </c>
      <c r="P1242" s="25" t="s">
        <v>33</v>
      </c>
    </row>
    <row r="1243" spans="1:16" x14ac:dyDescent="0.3">
      <c r="A1243" s="25">
        <v>1242</v>
      </c>
      <c r="B1243" s="26">
        <v>45573</v>
      </c>
      <c r="C1243" s="25" t="s">
        <v>66</v>
      </c>
      <c r="D1243" s="25" t="s">
        <v>21</v>
      </c>
      <c r="E1243" s="25" t="s">
        <v>98</v>
      </c>
      <c r="F1243" s="25">
        <v>2</v>
      </c>
      <c r="G1243" s="25" t="s">
        <v>89</v>
      </c>
      <c r="H1243" s="25">
        <v>95</v>
      </c>
      <c r="I1243" s="25">
        <v>55</v>
      </c>
      <c r="J1243" s="25">
        <v>190</v>
      </c>
      <c r="K1243" s="25">
        <v>110</v>
      </c>
      <c r="L1243" s="25">
        <v>80</v>
      </c>
      <c r="M1243" s="27">
        <v>72.727272727272705</v>
      </c>
      <c r="N1243" s="25" t="s">
        <v>67</v>
      </c>
      <c r="O1243" s="25" t="s">
        <v>27</v>
      </c>
      <c r="P1243" s="25" t="s">
        <v>32</v>
      </c>
    </row>
    <row r="1244" spans="1:16" x14ac:dyDescent="0.3">
      <c r="A1244" s="25">
        <v>1243</v>
      </c>
      <c r="B1244" s="26">
        <v>45574</v>
      </c>
      <c r="C1244" s="25" t="s">
        <v>66</v>
      </c>
      <c r="D1244" s="25" t="s">
        <v>22</v>
      </c>
      <c r="E1244" s="25" t="s">
        <v>96</v>
      </c>
      <c r="F1244" s="25">
        <v>2</v>
      </c>
      <c r="G1244" s="25" t="s">
        <v>97</v>
      </c>
      <c r="H1244" s="25">
        <v>300</v>
      </c>
      <c r="I1244" s="25">
        <v>265</v>
      </c>
      <c r="J1244" s="25">
        <v>600</v>
      </c>
      <c r="K1244" s="25">
        <v>530</v>
      </c>
      <c r="L1244" s="25">
        <v>70</v>
      </c>
      <c r="M1244" s="27">
        <v>13.207547169811299</v>
      </c>
      <c r="N1244" s="25" t="s">
        <v>67</v>
      </c>
      <c r="O1244" s="25" t="s">
        <v>28</v>
      </c>
      <c r="P1244" s="25" t="s">
        <v>32</v>
      </c>
    </row>
    <row r="1245" spans="1:16" x14ac:dyDescent="0.3">
      <c r="A1245" s="25">
        <v>1244</v>
      </c>
      <c r="B1245" s="26">
        <v>45574</v>
      </c>
      <c r="C1245" s="25" t="s">
        <v>66</v>
      </c>
      <c r="D1245" s="25" t="s">
        <v>22</v>
      </c>
      <c r="E1245" s="25" t="s">
        <v>90</v>
      </c>
      <c r="F1245" s="25">
        <v>2</v>
      </c>
      <c r="G1245" s="25" t="s">
        <v>91</v>
      </c>
      <c r="H1245" s="25">
        <v>280</v>
      </c>
      <c r="I1245" s="25">
        <v>240</v>
      </c>
      <c r="J1245" s="25">
        <v>560</v>
      </c>
      <c r="K1245" s="25">
        <v>480</v>
      </c>
      <c r="L1245" s="25">
        <v>80</v>
      </c>
      <c r="M1245" s="27">
        <v>16.6666666666667</v>
      </c>
      <c r="N1245" s="25" t="s">
        <v>67</v>
      </c>
      <c r="O1245" s="25" t="s">
        <v>28</v>
      </c>
      <c r="P1245" s="25" t="s">
        <v>32</v>
      </c>
    </row>
    <row r="1246" spans="1:16" x14ac:dyDescent="0.3">
      <c r="A1246" s="25">
        <v>1245</v>
      </c>
      <c r="B1246" s="26">
        <v>45574</v>
      </c>
      <c r="C1246" s="25" t="s">
        <v>66</v>
      </c>
      <c r="D1246" s="25" t="s">
        <v>21</v>
      </c>
      <c r="E1246" s="25" t="s">
        <v>88</v>
      </c>
      <c r="F1246" s="25">
        <v>5</v>
      </c>
      <c r="G1246" s="25" t="s">
        <v>89</v>
      </c>
      <c r="H1246" s="25">
        <v>130</v>
      </c>
      <c r="I1246" s="25">
        <v>100</v>
      </c>
      <c r="J1246" s="25">
        <v>650</v>
      </c>
      <c r="K1246" s="25">
        <v>500</v>
      </c>
      <c r="L1246" s="25">
        <v>150</v>
      </c>
      <c r="M1246" s="27">
        <v>30</v>
      </c>
      <c r="N1246" s="25" t="s">
        <v>67</v>
      </c>
      <c r="O1246" s="25" t="s">
        <v>27</v>
      </c>
      <c r="P1246" s="25" t="s">
        <v>32</v>
      </c>
    </row>
    <row r="1247" spans="1:16" x14ac:dyDescent="0.3">
      <c r="A1247" s="25">
        <v>1246</v>
      </c>
      <c r="B1247" s="26">
        <v>45574</v>
      </c>
      <c r="C1247" s="25" t="s">
        <v>66</v>
      </c>
      <c r="D1247" s="25" t="s">
        <v>21</v>
      </c>
      <c r="E1247" s="25" t="s">
        <v>88</v>
      </c>
      <c r="F1247" s="25">
        <v>7</v>
      </c>
      <c r="G1247" s="25" t="s">
        <v>89</v>
      </c>
      <c r="H1247" s="25">
        <v>130</v>
      </c>
      <c r="I1247" s="25">
        <v>100</v>
      </c>
      <c r="J1247" s="25">
        <v>910</v>
      </c>
      <c r="K1247" s="25">
        <v>700</v>
      </c>
      <c r="L1247" s="25">
        <v>210</v>
      </c>
      <c r="M1247" s="27">
        <v>30</v>
      </c>
      <c r="N1247" s="25" t="s">
        <v>67</v>
      </c>
      <c r="O1247" s="25" t="s">
        <v>27</v>
      </c>
      <c r="P1247" s="25" t="s">
        <v>32</v>
      </c>
    </row>
    <row r="1248" spans="1:16" x14ac:dyDescent="0.3">
      <c r="A1248" s="25">
        <v>1247</v>
      </c>
      <c r="B1248" s="26">
        <v>45574</v>
      </c>
      <c r="C1248" s="25" t="s">
        <v>66</v>
      </c>
      <c r="D1248" s="25" t="s">
        <v>21</v>
      </c>
      <c r="E1248" s="25" t="s">
        <v>98</v>
      </c>
      <c r="F1248" s="25">
        <v>2</v>
      </c>
      <c r="G1248" s="25" t="s">
        <v>89</v>
      </c>
      <c r="H1248" s="25">
        <v>95</v>
      </c>
      <c r="I1248" s="25">
        <v>55</v>
      </c>
      <c r="J1248" s="25">
        <v>190</v>
      </c>
      <c r="K1248" s="25">
        <v>110</v>
      </c>
      <c r="L1248" s="25">
        <v>80</v>
      </c>
      <c r="M1248" s="27">
        <v>72.727272727272705</v>
      </c>
      <c r="N1248" s="25" t="s">
        <v>67</v>
      </c>
      <c r="O1248" s="25" t="s">
        <v>27</v>
      </c>
      <c r="P1248" s="25" t="s">
        <v>32</v>
      </c>
    </row>
    <row r="1249" spans="1:16" x14ac:dyDescent="0.3">
      <c r="A1249" s="25">
        <v>1248</v>
      </c>
      <c r="B1249" s="26">
        <v>45574</v>
      </c>
      <c r="C1249" s="25" t="s">
        <v>66</v>
      </c>
      <c r="D1249" s="25" t="s">
        <v>21</v>
      </c>
      <c r="E1249" s="25" t="s">
        <v>88</v>
      </c>
      <c r="F1249" s="25">
        <v>15</v>
      </c>
      <c r="G1249" s="25" t="s">
        <v>89</v>
      </c>
      <c r="H1249" s="25">
        <v>130</v>
      </c>
      <c r="I1249" s="25">
        <v>100</v>
      </c>
      <c r="J1249" s="25">
        <v>1950</v>
      </c>
      <c r="K1249" s="25">
        <v>1500</v>
      </c>
      <c r="L1249" s="25">
        <v>450</v>
      </c>
      <c r="M1249" s="27">
        <v>30</v>
      </c>
      <c r="N1249" s="25" t="s">
        <v>67</v>
      </c>
      <c r="O1249" s="25" t="s">
        <v>27</v>
      </c>
      <c r="P1249" s="25" t="s">
        <v>32</v>
      </c>
    </row>
    <row r="1250" spans="1:16" x14ac:dyDescent="0.3">
      <c r="A1250" s="25">
        <v>1249</v>
      </c>
      <c r="B1250" s="26">
        <v>45574</v>
      </c>
      <c r="C1250" s="25" t="s">
        <v>66</v>
      </c>
      <c r="D1250" s="25" t="s">
        <v>21</v>
      </c>
      <c r="E1250" s="25" t="s">
        <v>94</v>
      </c>
      <c r="F1250" s="25">
        <v>10</v>
      </c>
      <c r="G1250" s="25" t="s">
        <v>89</v>
      </c>
      <c r="H1250" s="25">
        <v>30</v>
      </c>
      <c r="I1250" s="25">
        <v>26</v>
      </c>
      <c r="J1250" s="25">
        <v>300</v>
      </c>
      <c r="K1250" s="25">
        <v>260</v>
      </c>
      <c r="L1250" s="25">
        <v>40</v>
      </c>
      <c r="M1250" s="27">
        <v>15.384615384615399</v>
      </c>
      <c r="N1250" s="25" t="s">
        <v>67</v>
      </c>
      <c r="O1250" s="25" t="s">
        <v>27</v>
      </c>
      <c r="P1250" s="25" t="s">
        <v>32</v>
      </c>
    </row>
    <row r="1251" spans="1:16" x14ac:dyDescent="0.3">
      <c r="A1251" s="25">
        <v>1250</v>
      </c>
      <c r="B1251" s="26">
        <v>45574</v>
      </c>
      <c r="C1251" s="25" t="s">
        <v>66</v>
      </c>
      <c r="D1251" s="25" t="s">
        <v>21</v>
      </c>
      <c r="E1251" s="25" t="s">
        <v>93</v>
      </c>
      <c r="F1251" s="25">
        <v>2</v>
      </c>
      <c r="G1251" s="25" t="s">
        <v>89</v>
      </c>
      <c r="H1251" s="25">
        <v>250</v>
      </c>
      <c r="I1251" s="25">
        <v>180</v>
      </c>
      <c r="J1251" s="25">
        <v>500</v>
      </c>
      <c r="K1251" s="25">
        <v>360</v>
      </c>
      <c r="L1251" s="25">
        <v>140</v>
      </c>
      <c r="M1251" s="27">
        <v>38.8888888888889</v>
      </c>
      <c r="N1251" s="25" t="s">
        <v>67</v>
      </c>
      <c r="O1251" s="25" t="s">
        <v>27</v>
      </c>
      <c r="P1251" s="25" t="s">
        <v>32</v>
      </c>
    </row>
    <row r="1252" spans="1:16" x14ac:dyDescent="0.3">
      <c r="A1252" s="25">
        <v>1251</v>
      </c>
      <c r="B1252" s="26">
        <v>45574</v>
      </c>
      <c r="C1252" s="25" t="s">
        <v>66</v>
      </c>
      <c r="D1252" s="25" t="s">
        <v>21</v>
      </c>
      <c r="E1252" s="25" t="s">
        <v>88</v>
      </c>
      <c r="F1252" s="25">
        <v>14</v>
      </c>
      <c r="G1252" s="25" t="s">
        <v>89</v>
      </c>
      <c r="H1252" s="25">
        <v>130</v>
      </c>
      <c r="I1252" s="25">
        <v>100</v>
      </c>
      <c r="J1252" s="25">
        <v>1820</v>
      </c>
      <c r="K1252" s="25">
        <v>1400</v>
      </c>
      <c r="L1252" s="25">
        <v>420</v>
      </c>
      <c r="M1252" s="27">
        <v>30</v>
      </c>
      <c r="N1252" s="25" t="s">
        <v>67</v>
      </c>
      <c r="O1252" s="25" t="s">
        <v>27</v>
      </c>
      <c r="P1252" s="25" t="s">
        <v>32</v>
      </c>
    </row>
    <row r="1253" spans="1:16" x14ac:dyDescent="0.3">
      <c r="A1253" s="25">
        <v>1252</v>
      </c>
      <c r="B1253" s="26">
        <v>45574</v>
      </c>
      <c r="C1253" s="25" t="s">
        <v>66</v>
      </c>
      <c r="D1253" s="25" t="s">
        <v>21</v>
      </c>
      <c r="E1253" s="25" t="s">
        <v>94</v>
      </c>
      <c r="F1253" s="25">
        <v>24</v>
      </c>
      <c r="G1253" s="25" t="s">
        <v>89</v>
      </c>
      <c r="H1253" s="25">
        <v>30</v>
      </c>
      <c r="I1253" s="25">
        <v>26</v>
      </c>
      <c r="J1253" s="25">
        <v>720</v>
      </c>
      <c r="K1253" s="25">
        <v>624</v>
      </c>
      <c r="L1253" s="25">
        <v>96</v>
      </c>
      <c r="M1253" s="27">
        <v>15.384615384615399</v>
      </c>
      <c r="N1253" s="25" t="s">
        <v>67</v>
      </c>
      <c r="O1253" s="25" t="s">
        <v>27</v>
      </c>
      <c r="P1253" s="25" t="s">
        <v>32</v>
      </c>
    </row>
    <row r="1254" spans="1:16" x14ac:dyDescent="0.3">
      <c r="A1254" s="25">
        <v>1253</v>
      </c>
      <c r="B1254" s="26">
        <v>45574</v>
      </c>
      <c r="C1254" s="25" t="s">
        <v>66</v>
      </c>
      <c r="D1254" s="25" t="s">
        <v>21</v>
      </c>
      <c r="E1254" s="25" t="s">
        <v>98</v>
      </c>
      <c r="F1254" s="25">
        <v>2</v>
      </c>
      <c r="G1254" s="25" t="s">
        <v>89</v>
      </c>
      <c r="H1254" s="25">
        <v>95</v>
      </c>
      <c r="I1254" s="25">
        <v>55</v>
      </c>
      <c r="J1254" s="25">
        <v>190</v>
      </c>
      <c r="K1254" s="25">
        <v>110</v>
      </c>
      <c r="L1254" s="25">
        <v>80</v>
      </c>
      <c r="M1254" s="27">
        <v>72.727272727272705</v>
      </c>
      <c r="N1254" s="25" t="s">
        <v>67</v>
      </c>
      <c r="O1254" s="25" t="s">
        <v>27</v>
      </c>
      <c r="P1254" s="25" t="s">
        <v>32</v>
      </c>
    </row>
    <row r="1255" spans="1:16" x14ac:dyDescent="0.3">
      <c r="A1255" s="25">
        <v>1254</v>
      </c>
      <c r="B1255" s="26">
        <v>45575</v>
      </c>
      <c r="C1255" s="25" t="s">
        <v>66</v>
      </c>
      <c r="D1255" s="25" t="s">
        <v>22</v>
      </c>
      <c r="E1255" s="25" t="s">
        <v>92</v>
      </c>
      <c r="F1255" s="25">
        <v>2.5</v>
      </c>
      <c r="G1255" s="25" t="s">
        <v>91</v>
      </c>
      <c r="H1255" s="25">
        <v>260</v>
      </c>
      <c r="I1255" s="25">
        <v>220</v>
      </c>
      <c r="J1255" s="25">
        <v>650</v>
      </c>
      <c r="K1255" s="25">
        <v>550</v>
      </c>
      <c r="L1255" s="25">
        <v>100</v>
      </c>
      <c r="M1255" s="27">
        <v>18.181818181818201</v>
      </c>
      <c r="N1255" s="25" t="s">
        <v>67</v>
      </c>
      <c r="O1255" s="25" t="s">
        <v>28</v>
      </c>
      <c r="P1255" s="25" t="s">
        <v>32</v>
      </c>
    </row>
    <row r="1256" spans="1:16" x14ac:dyDescent="0.3">
      <c r="A1256" s="25">
        <v>1255</v>
      </c>
      <c r="B1256" s="26">
        <v>45575</v>
      </c>
      <c r="C1256" s="25" t="s">
        <v>66</v>
      </c>
      <c r="D1256" s="25" t="s">
        <v>22</v>
      </c>
      <c r="E1256" s="25" t="s">
        <v>103</v>
      </c>
      <c r="F1256" s="25">
        <v>1</v>
      </c>
      <c r="G1256" s="25" t="s">
        <v>102</v>
      </c>
      <c r="H1256" s="25">
        <v>30</v>
      </c>
      <c r="I1256" s="25">
        <v>20</v>
      </c>
      <c r="J1256" s="25">
        <v>30</v>
      </c>
      <c r="K1256" s="25">
        <v>20</v>
      </c>
      <c r="L1256" s="25">
        <v>10</v>
      </c>
      <c r="M1256" s="27">
        <v>50</v>
      </c>
      <c r="N1256" s="25" t="s">
        <v>67</v>
      </c>
      <c r="O1256" s="25" t="s">
        <v>28</v>
      </c>
      <c r="P1256" s="25" t="s">
        <v>32</v>
      </c>
    </row>
    <row r="1257" spans="1:16" x14ac:dyDescent="0.3">
      <c r="A1257" s="25">
        <v>1256</v>
      </c>
      <c r="B1257" s="26">
        <v>45575</v>
      </c>
      <c r="C1257" s="25" t="s">
        <v>66</v>
      </c>
      <c r="D1257" s="25" t="s">
        <v>21</v>
      </c>
      <c r="E1257" s="25" t="s">
        <v>93</v>
      </c>
      <c r="F1257" s="25">
        <v>5</v>
      </c>
      <c r="G1257" s="25" t="s">
        <v>89</v>
      </c>
      <c r="H1257" s="25">
        <v>250</v>
      </c>
      <c r="I1257" s="25">
        <v>180</v>
      </c>
      <c r="J1257" s="25">
        <v>1250</v>
      </c>
      <c r="K1257" s="25">
        <v>900</v>
      </c>
      <c r="L1257" s="25">
        <v>350</v>
      </c>
      <c r="M1257" s="27">
        <v>38.8888888888889</v>
      </c>
      <c r="N1257" s="25" t="s">
        <v>67</v>
      </c>
      <c r="O1257" s="25" t="s">
        <v>27</v>
      </c>
      <c r="P1257" s="25" t="s">
        <v>32</v>
      </c>
    </row>
    <row r="1258" spans="1:16" x14ac:dyDescent="0.3">
      <c r="A1258" s="25">
        <v>1257</v>
      </c>
      <c r="B1258" s="26">
        <v>45575</v>
      </c>
      <c r="C1258" s="25" t="s">
        <v>66</v>
      </c>
      <c r="D1258" s="25" t="s">
        <v>21</v>
      </c>
      <c r="E1258" s="25" t="s">
        <v>88</v>
      </c>
      <c r="F1258" s="25">
        <v>8</v>
      </c>
      <c r="G1258" s="25" t="s">
        <v>89</v>
      </c>
      <c r="H1258" s="25">
        <v>130</v>
      </c>
      <c r="I1258" s="25">
        <v>100</v>
      </c>
      <c r="J1258" s="25">
        <v>1040</v>
      </c>
      <c r="K1258" s="25">
        <v>800</v>
      </c>
      <c r="L1258" s="25">
        <v>240</v>
      </c>
      <c r="M1258" s="27">
        <v>30</v>
      </c>
      <c r="N1258" s="25" t="s">
        <v>67</v>
      </c>
      <c r="O1258" s="25" t="s">
        <v>27</v>
      </c>
      <c r="P1258" s="25" t="s">
        <v>32</v>
      </c>
    </row>
    <row r="1259" spans="1:16" x14ac:dyDescent="0.3">
      <c r="A1259" s="25">
        <v>1258</v>
      </c>
      <c r="B1259" s="26">
        <v>45575</v>
      </c>
      <c r="C1259" s="25" t="s">
        <v>66</v>
      </c>
      <c r="D1259" s="25" t="s">
        <v>21</v>
      </c>
      <c r="E1259" s="25" t="s">
        <v>98</v>
      </c>
      <c r="F1259" s="25">
        <v>3</v>
      </c>
      <c r="G1259" s="25" t="s">
        <v>89</v>
      </c>
      <c r="H1259" s="25">
        <v>95</v>
      </c>
      <c r="I1259" s="25">
        <v>55</v>
      </c>
      <c r="J1259" s="25">
        <v>285</v>
      </c>
      <c r="K1259" s="25">
        <v>165</v>
      </c>
      <c r="L1259" s="25">
        <v>120</v>
      </c>
      <c r="M1259" s="27">
        <v>72.727272727272705</v>
      </c>
      <c r="N1259" s="25" t="s">
        <v>67</v>
      </c>
      <c r="O1259" s="25" t="s">
        <v>27</v>
      </c>
      <c r="P1259" s="25" t="s">
        <v>32</v>
      </c>
    </row>
    <row r="1260" spans="1:16" x14ac:dyDescent="0.3">
      <c r="A1260" s="25">
        <v>1259</v>
      </c>
      <c r="B1260" s="26">
        <v>45575</v>
      </c>
      <c r="C1260" s="25" t="s">
        <v>66</v>
      </c>
      <c r="D1260" s="25" t="s">
        <v>21</v>
      </c>
      <c r="E1260" s="25" t="s">
        <v>88</v>
      </c>
      <c r="F1260" s="25">
        <v>6</v>
      </c>
      <c r="G1260" s="25" t="s">
        <v>89</v>
      </c>
      <c r="H1260" s="25">
        <v>130</v>
      </c>
      <c r="I1260" s="25">
        <v>100</v>
      </c>
      <c r="J1260" s="25">
        <v>780</v>
      </c>
      <c r="K1260" s="25">
        <v>600</v>
      </c>
      <c r="L1260" s="25">
        <v>180</v>
      </c>
      <c r="M1260" s="27">
        <v>30</v>
      </c>
      <c r="N1260" s="25" t="s">
        <v>67</v>
      </c>
      <c r="O1260" s="25" t="s">
        <v>27</v>
      </c>
      <c r="P1260" s="25" t="s">
        <v>32</v>
      </c>
    </row>
    <row r="1261" spans="1:16" x14ac:dyDescent="0.3">
      <c r="A1261" s="25">
        <v>1260</v>
      </c>
      <c r="B1261" s="26">
        <v>45575</v>
      </c>
      <c r="C1261" s="25" t="s">
        <v>66</v>
      </c>
      <c r="D1261" s="25" t="s">
        <v>21</v>
      </c>
      <c r="E1261" s="25" t="s">
        <v>88</v>
      </c>
      <c r="F1261" s="25">
        <v>5</v>
      </c>
      <c r="G1261" s="25" t="s">
        <v>89</v>
      </c>
      <c r="H1261" s="25">
        <v>130</v>
      </c>
      <c r="I1261" s="25">
        <v>100</v>
      </c>
      <c r="J1261" s="25">
        <v>650</v>
      </c>
      <c r="K1261" s="25">
        <v>500</v>
      </c>
      <c r="L1261" s="25">
        <v>150</v>
      </c>
      <c r="M1261" s="27">
        <v>30</v>
      </c>
      <c r="N1261" s="25" t="s">
        <v>67</v>
      </c>
      <c r="O1261" s="25" t="s">
        <v>27</v>
      </c>
      <c r="P1261" s="25" t="s">
        <v>32</v>
      </c>
    </row>
    <row r="1262" spans="1:16" x14ac:dyDescent="0.3">
      <c r="A1262" s="25">
        <v>1261</v>
      </c>
      <c r="B1262" s="26">
        <v>45575</v>
      </c>
      <c r="C1262" s="25" t="s">
        <v>66</v>
      </c>
      <c r="D1262" s="25" t="s">
        <v>21</v>
      </c>
      <c r="E1262" s="25" t="s">
        <v>88</v>
      </c>
      <c r="F1262" s="25">
        <v>4</v>
      </c>
      <c r="G1262" s="25" t="s">
        <v>89</v>
      </c>
      <c r="H1262" s="25">
        <v>130</v>
      </c>
      <c r="I1262" s="25">
        <v>100</v>
      </c>
      <c r="J1262" s="25">
        <v>520</v>
      </c>
      <c r="K1262" s="25">
        <v>400</v>
      </c>
      <c r="L1262" s="25">
        <v>120</v>
      </c>
      <c r="M1262" s="27">
        <v>30</v>
      </c>
      <c r="N1262" s="25" t="s">
        <v>67</v>
      </c>
      <c r="O1262" s="25" t="s">
        <v>27</v>
      </c>
      <c r="P1262" s="25" t="s">
        <v>32</v>
      </c>
    </row>
    <row r="1263" spans="1:16" x14ac:dyDescent="0.3">
      <c r="A1263" s="25">
        <v>1262</v>
      </c>
      <c r="B1263" s="26">
        <v>45575</v>
      </c>
      <c r="C1263" s="25" t="s">
        <v>66</v>
      </c>
      <c r="D1263" s="25" t="s">
        <v>21</v>
      </c>
      <c r="E1263" s="25" t="s">
        <v>94</v>
      </c>
      <c r="F1263" s="25">
        <v>13</v>
      </c>
      <c r="G1263" s="25" t="s">
        <v>89</v>
      </c>
      <c r="H1263" s="25">
        <v>30</v>
      </c>
      <c r="I1263" s="25">
        <v>26</v>
      </c>
      <c r="J1263" s="25">
        <v>390</v>
      </c>
      <c r="K1263" s="25">
        <v>338</v>
      </c>
      <c r="L1263" s="25">
        <v>52</v>
      </c>
      <c r="M1263" s="27">
        <v>15.384615384615399</v>
      </c>
      <c r="N1263" s="25" t="s">
        <v>67</v>
      </c>
      <c r="O1263" s="25" t="s">
        <v>27</v>
      </c>
      <c r="P1263" s="25" t="s">
        <v>32</v>
      </c>
    </row>
    <row r="1264" spans="1:16" x14ac:dyDescent="0.3">
      <c r="A1264" s="25">
        <v>1263</v>
      </c>
      <c r="B1264" s="26">
        <v>45575</v>
      </c>
      <c r="C1264" s="25" t="s">
        <v>66</v>
      </c>
      <c r="D1264" s="25" t="s">
        <v>21</v>
      </c>
      <c r="E1264" s="25" t="s">
        <v>93</v>
      </c>
      <c r="F1264" s="25">
        <v>2</v>
      </c>
      <c r="G1264" s="25" t="s">
        <v>89</v>
      </c>
      <c r="H1264" s="25">
        <v>250</v>
      </c>
      <c r="I1264" s="25">
        <v>180</v>
      </c>
      <c r="J1264" s="25">
        <v>500</v>
      </c>
      <c r="K1264" s="25">
        <v>360</v>
      </c>
      <c r="L1264" s="25">
        <v>140</v>
      </c>
      <c r="M1264" s="27">
        <v>38.8888888888889</v>
      </c>
      <c r="N1264" s="25" t="s">
        <v>67</v>
      </c>
      <c r="O1264" s="25" t="s">
        <v>27</v>
      </c>
      <c r="P1264" s="25" t="s">
        <v>32</v>
      </c>
    </row>
    <row r="1265" spans="1:16" x14ac:dyDescent="0.3">
      <c r="A1265" s="25">
        <v>1264</v>
      </c>
      <c r="B1265" s="26">
        <v>45575</v>
      </c>
      <c r="C1265" s="25" t="s">
        <v>66</v>
      </c>
      <c r="D1265" s="25" t="s">
        <v>21</v>
      </c>
      <c r="E1265" s="25" t="s">
        <v>98</v>
      </c>
      <c r="F1265" s="25">
        <v>2</v>
      </c>
      <c r="G1265" s="25" t="s">
        <v>89</v>
      </c>
      <c r="H1265" s="25">
        <v>95</v>
      </c>
      <c r="I1265" s="25">
        <v>55</v>
      </c>
      <c r="J1265" s="25">
        <v>190</v>
      </c>
      <c r="K1265" s="25">
        <v>110</v>
      </c>
      <c r="L1265" s="25">
        <v>80</v>
      </c>
      <c r="M1265" s="27">
        <v>72.727272727272705</v>
      </c>
      <c r="N1265" s="25" t="s">
        <v>67</v>
      </c>
      <c r="O1265" s="25" t="s">
        <v>27</v>
      </c>
      <c r="P1265" s="25" t="s">
        <v>32</v>
      </c>
    </row>
    <row r="1266" spans="1:16" x14ac:dyDescent="0.3">
      <c r="A1266" s="25">
        <v>1265</v>
      </c>
      <c r="B1266" s="26">
        <v>45576</v>
      </c>
      <c r="C1266" s="25" t="s">
        <v>66</v>
      </c>
      <c r="D1266" s="25" t="s">
        <v>21</v>
      </c>
      <c r="E1266" s="25" t="s">
        <v>88</v>
      </c>
      <c r="F1266" s="25">
        <v>16</v>
      </c>
      <c r="G1266" s="25" t="s">
        <v>89</v>
      </c>
      <c r="H1266" s="25">
        <v>130</v>
      </c>
      <c r="I1266" s="25">
        <v>100</v>
      </c>
      <c r="J1266" s="25">
        <v>2080</v>
      </c>
      <c r="K1266" s="25">
        <v>1600</v>
      </c>
      <c r="L1266" s="25">
        <v>480</v>
      </c>
      <c r="M1266" s="27">
        <v>30</v>
      </c>
      <c r="N1266" s="25" t="s">
        <v>67</v>
      </c>
      <c r="O1266" s="25" t="s">
        <v>27</v>
      </c>
      <c r="P1266" s="25" t="s">
        <v>32</v>
      </c>
    </row>
    <row r="1267" spans="1:16" x14ac:dyDescent="0.3">
      <c r="A1267" s="25">
        <v>1266</v>
      </c>
      <c r="B1267" s="26">
        <v>45576</v>
      </c>
      <c r="C1267" s="25" t="s">
        <v>66</v>
      </c>
      <c r="D1267" s="25" t="s">
        <v>21</v>
      </c>
      <c r="E1267" s="25" t="s">
        <v>88</v>
      </c>
      <c r="F1267" s="25">
        <v>7</v>
      </c>
      <c r="G1267" s="25" t="s">
        <v>89</v>
      </c>
      <c r="H1267" s="25">
        <v>130</v>
      </c>
      <c r="I1267" s="25">
        <v>100</v>
      </c>
      <c r="J1267" s="25">
        <v>910</v>
      </c>
      <c r="K1267" s="25">
        <v>700</v>
      </c>
      <c r="L1267" s="25">
        <v>210</v>
      </c>
      <c r="M1267" s="27">
        <v>30</v>
      </c>
      <c r="N1267" s="25" t="s">
        <v>67</v>
      </c>
      <c r="O1267" s="25" t="s">
        <v>27</v>
      </c>
      <c r="P1267" s="25" t="s">
        <v>32</v>
      </c>
    </row>
    <row r="1268" spans="1:16" x14ac:dyDescent="0.3">
      <c r="A1268" s="25">
        <v>1267</v>
      </c>
      <c r="B1268" s="26">
        <v>45576</v>
      </c>
      <c r="C1268" s="25" t="s">
        <v>66</v>
      </c>
      <c r="D1268" s="25" t="s">
        <v>21</v>
      </c>
      <c r="E1268" s="25" t="s">
        <v>98</v>
      </c>
      <c r="F1268" s="25">
        <v>3</v>
      </c>
      <c r="G1268" s="25" t="s">
        <v>89</v>
      </c>
      <c r="H1268" s="25">
        <v>95</v>
      </c>
      <c r="I1268" s="25">
        <v>55</v>
      </c>
      <c r="J1268" s="25">
        <v>285</v>
      </c>
      <c r="K1268" s="25">
        <v>165</v>
      </c>
      <c r="L1268" s="25">
        <v>120</v>
      </c>
      <c r="M1268" s="27">
        <v>72.727272727272705</v>
      </c>
      <c r="N1268" s="25" t="s">
        <v>67</v>
      </c>
      <c r="O1268" s="25" t="s">
        <v>27</v>
      </c>
      <c r="P1268" s="25" t="s">
        <v>32</v>
      </c>
    </row>
    <row r="1269" spans="1:16" x14ac:dyDescent="0.3">
      <c r="A1269" s="25">
        <v>1268</v>
      </c>
      <c r="B1269" s="26">
        <v>45576</v>
      </c>
      <c r="C1269" s="25" t="s">
        <v>66</v>
      </c>
      <c r="D1269" s="25" t="s">
        <v>21</v>
      </c>
      <c r="E1269" s="25" t="s">
        <v>88</v>
      </c>
      <c r="F1269" s="25">
        <v>8</v>
      </c>
      <c r="G1269" s="25" t="s">
        <v>89</v>
      </c>
      <c r="H1269" s="25">
        <v>130</v>
      </c>
      <c r="I1269" s="25">
        <v>100</v>
      </c>
      <c r="J1269" s="25">
        <v>1040</v>
      </c>
      <c r="K1269" s="25">
        <v>800</v>
      </c>
      <c r="L1269" s="25">
        <v>240</v>
      </c>
      <c r="M1269" s="27">
        <v>30</v>
      </c>
      <c r="N1269" s="25" t="s">
        <v>67</v>
      </c>
      <c r="O1269" s="25" t="s">
        <v>27</v>
      </c>
      <c r="P1269" s="25" t="s">
        <v>32</v>
      </c>
    </row>
    <row r="1270" spans="1:16" x14ac:dyDescent="0.3">
      <c r="A1270" s="25">
        <v>1269</v>
      </c>
      <c r="B1270" s="26">
        <v>45576</v>
      </c>
      <c r="C1270" s="25" t="s">
        <v>66</v>
      </c>
      <c r="D1270" s="25" t="s">
        <v>21</v>
      </c>
      <c r="E1270" s="25" t="s">
        <v>93</v>
      </c>
      <c r="F1270" s="25">
        <v>2</v>
      </c>
      <c r="G1270" s="25" t="s">
        <v>89</v>
      </c>
      <c r="H1270" s="25">
        <v>250</v>
      </c>
      <c r="I1270" s="25">
        <v>180</v>
      </c>
      <c r="J1270" s="25">
        <v>500</v>
      </c>
      <c r="K1270" s="25">
        <v>360</v>
      </c>
      <c r="L1270" s="25">
        <v>140</v>
      </c>
      <c r="M1270" s="27">
        <v>38.8888888888889</v>
      </c>
      <c r="N1270" s="25" t="s">
        <v>67</v>
      </c>
      <c r="O1270" s="25" t="s">
        <v>27</v>
      </c>
      <c r="P1270" s="25" t="s">
        <v>32</v>
      </c>
    </row>
    <row r="1271" spans="1:16" x14ac:dyDescent="0.3">
      <c r="A1271" s="25">
        <v>1270</v>
      </c>
      <c r="B1271" s="26">
        <v>45576</v>
      </c>
      <c r="C1271" s="25" t="s">
        <v>66</v>
      </c>
      <c r="D1271" s="25" t="s">
        <v>22</v>
      </c>
      <c r="E1271" s="25" t="s">
        <v>90</v>
      </c>
      <c r="F1271" s="25">
        <v>2</v>
      </c>
      <c r="G1271" s="25" t="s">
        <v>91</v>
      </c>
      <c r="H1271" s="25">
        <v>280</v>
      </c>
      <c r="I1271" s="25">
        <v>240</v>
      </c>
      <c r="J1271" s="25">
        <v>560</v>
      </c>
      <c r="K1271" s="25">
        <v>480</v>
      </c>
      <c r="L1271" s="25">
        <v>80</v>
      </c>
      <c r="M1271" s="27">
        <v>16.6666666666667</v>
      </c>
      <c r="N1271" s="25" t="s">
        <v>67</v>
      </c>
      <c r="O1271" s="25" t="s">
        <v>28</v>
      </c>
      <c r="P1271" s="25" t="s">
        <v>32</v>
      </c>
    </row>
    <row r="1272" spans="1:16" x14ac:dyDescent="0.3">
      <c r="A1272" s="25">
        <v>1271</v>
      </c>
      <c r="B1272" s="26">
        <v>45576</v>
      </c>
      <c r="C1272" s="25" t="s">
        <v>66</v>
      </c>
      <c r="D1272" s="25" t="s">
        <v>21</v>
      </c>
      <c r="E1272" s="25" t="s">
        <v>94</v>
      </c>
      <c r="F1272" s="25">
        <v>15</v>
      </c>
      <c r="G1272" s="25" t="s">
        <v>89</v>
      </c>
      <c r="H1272" s="25">
        <v>30</v>
      </c>
      <c r="I1272" s="25">
        <v>26</v>
      </c>
      <c r="J1272" s="25">
        <v>450</v>
      </c>
      <c r="K1272" s="25">
        <v>390</v>
      </c>
      <c r="L1272" s="25">
        <v>60</v>
      </c>
      <c r="M1272" s="27">
        <v>15.384615384615399</v>
      </c>
      <c r="N1272" s="25" t="s">
        <v>67</v>
      </c>
      <c r="O1272" s="25" t="s">
        <v>27</v>
      </c>
      <c r="P1272" s="25" t="s">
        <v>32</v>
      </c>
    </row>
    <row r="1273" spans="1:16" x14ac:dyDescent="0.3">
      <c r="A1273" s="25">
        <v>1272</v>
      </c>
      <c r="B1273" s="26">
        <v>45576</v>
      </c>
      <c r="C1273" s="25" t="s">
        <v>66</v>
      </c>
      <c r="D1273" s="25" t="s">
        <v>21</v>
      </c>
      <c r="E1273" s="25" t="s">
        <v>93</v>
      </c>
      <c r="F1273" s="25">
        <v>2</v>
      </c>
      <c r="G1273" s="25" t="s">
        <v>89</v>
      </c>
      <c r="H1273" s="25">
        <v>250</v>
      </c>
      <c r="I1273" s="25">
        <v>180</v>
      </c>
      <c r="J1273" s="25">
        <v>500</v>
      </c>
      <c r="K1273" s="25">
        <v>360</v>
      </c>
      <c r="L1273" s="25">
        <v>140</v>
      </c>
      <c r="M1273" s="27">
        <v>38.8888888888889</v>
      </c>
      <c r="N1273" s="25" t="s">
        <v>67</v>
      </c>
      <c r="O1273" s="25" t="s">
        <v>27</v>
      </c>
      <c r="P1273" s="25" t="s">
        <v>32</v>
      </c>
    </row>
    <row r="1274" spans="1:16" x14ac:dyDescent="0.3">
      <c r="A1274" s="25">
        <v>1273</v>
      </c>
      <c r="B1274" s="26">
        <v>45576</v>
      </c>
      <c r="C1274" s="25" t="s">
        <v>66</v>
      </c>
      <c r="D1274" s="25" t="s">
        <v>21</v>
      </c>
      <c r="E1274" s="25" t="s">
        <v>98</v>
      </c>
      <c r="F1274" s="25">
        <v>5</v>
      </c>
      <c r="G1274" s="25" t="s">
        <v>89</v>
      </c>
      <c r="H1274" s="25">
        <v>95</v>
      </c>
      <c r="I1274" s="25">
        <v>55</v>
      </c>
      <c r="J1274" s="25">
        <v>475</v>
      </c>
      <c r="K1274" s="25">
        <v>275</v>
      </c>
      <c r="L1274" s="25">
        <v>200</v>
      </c>
      <c r="M1274" s="27">
        <v>72.727272727272705</v>
      </c>
      <c r="N1274" s="25" t="s">
        <v>67</v>
      </c>
      <c r="O1274" s="25" t="s">
        <v>27</v>
      </c>
      <c r="P1274" s="25" t="s">
        <v>32</v>
      </c>
    </row>
    <row r="1275" spans="1:16" x14ac:dyDescent="0.3">
      <c r="A1275" s="25">
        <v>1274</v>
      </c>
      <c r="B1275" s="26">
        <v>45576</v>
      </c>
      <c r="C1275" s="25" t="s">
        <v>66</v>
      </c>
      <c r="D1275" s="25" t="s">
        <v>21</v>
      </c>
      <c r="E1275" s="25" t="s">
        <v>88</v>
      </c>
      <c r="F1275" s="25">
        <v>14</v>
      </c>
      <c r="G1275" s="25" t="s">
        <v>89</v>
      </c>
      <c r="H1275" s="25">
        <v>130</v>
      </c>
      <c r="I1275" s="25">
        <v>100</v>
      </c>
      <c r="J1275" s="25">
        <v>1820</v>
      </c>
      <c r="K1275" s="25">
        <v>1400</v>
      </c>
      <c r="L1275" s="25">
        <v>420</v>
      </c>
      <c r="M1275" s="27">
        <v>30</v>
      </c>
      <c r="N1275" s="25" t="s">
        <v>67</v>
      </c>
      <c r="O1275" s="25" t="s">
        <v>27</v>
      </c>
      <c r="P1275" s="25" t="s">
        <v>32</v>
      </c>
    </row>
    <row r="1276" spans="1:16" x14ac:dyDescent="0.3">
      <c r="A1276" s="25">
        <v>1275</v>
      </c>
      <c r="B1276" s="26">
        <v>45576</v>
      </c>
      <c r="C1276" s="25" t="s">
        <v>66</v>
      </c>
      <c r="D1276" s="25" t="s">
        <v>21</v>
      </c>
      <c r="E1276" s="25" t="s">
        <v>88</v>
      </c>
      <c r="F1276" s="25">
        <v>20</v>
      </c>
      <c r="G1276" s="25" t="s">
        <v>89</v>
      </c>
      <c r="H1276" s="25">
        <v>130</v>
      </c>
      <c r="I1276" s="25">
        <v>100</v>
      </c>
      <c r="J1276" s="25">
        <v>2600</v>
      </c>
      <c r="K1276" s="25">
        <v>2000</v>
      </c>
      <c r="L1276" s="25">
        <v>600</v>
      </c>
      <c r="M1276" s="27">
        <v>30</v>
      </c>
      <c r="N1276" s="25" t="s">
        <v>67</v>
      </c>
      <c r="O1276" s="25" t="s">
        <v>27</v>
      </c>
      <c r="P1276" s="25" t="s">
        <v>32</v>
      </c>
    </row>
    <row r="1277" spans="1:16" x14ac:dyDescent="0.3">
      <c r="A1277" s="25">
        <v>1276</v>
      </c>
      <c r="B1277" s="26">
        <v>45576</v>
      </c>
      <c r="C1277" s="25" t="s">
        <v>66</v>
      </c>
      <c r="D1277" s="25" t="s">
        <v>21</v>
      </c>
      <c r="E1277" s="25" t="s">
        <v>88</v>
      </c>
      <c r="F1277" s="25">
        <v>24</v>
      </c>
      <c r="G1277" s="25" t="s">
        <v>89</v>
      </c>
      <c r="H1277" s="25">
        <v>130</v>
      </c>
      <c r="I1277" s="25">
        <v>100</v>
      </c>
      <c r="J1277" s="25">
        <v>3120</v>
      </c>
      <c r="K1277" s="25">
        <v>2400</v>
      </c>
      <c r="L1277" s="25">
        <v>720</v>
      </c>
      <c r="M1277" s="27">
        <v>30</v>
      </c>
      <c r="N1277" s="25" t="s">
        <v>67</v>
      </c>
      <c r="O1277" s="25" t="s">
        <v>27</v>
      </c>
      <c r="P1277" s="25" t="s">
        <v>32</v>
      </c>
    </row>
    <row r="1278" spans="1:16" x14ac:dyDescent="0.3">
      <c r="A1278" s="25">
        <v>1277</v>
      </c>
      <c r="B1278" s="26">
        <v>45576</v>
      </c>
      <c r="C1278" s="25" t="s">
        <v>66</v>
      </c>
      <c r="D1278" s="25" t="s">
        <v>21</v>
      </c>
      <c r="E1278" s="25" t="s">
        <v>98</v>
      </c>
      <c r="F1278" s="25">
        <v>6</v>
      </c>
      <c r="G1278" s="25" t="s">
        <v>89</v>
      </c>
      <c r="H1278" s="25">
        <v>95</v>
      </c>
      <c r="I1278" s="25">
        <v>55</v>
      </c>
      <c r="J1278" s="25">
        <v>570</v>
      </c>
      <c r="K1278" s="25">
        <v>330</v>
      </c>
      <c r="L1278" s="25">
        <v>240</v>
      </c>
      <c r="M1278" s="27">
        <v>72.727272727272705</v>
      </c>
      <c r="N1278" s="25" t="s">
        <v>67</v>
      </c>
      <c r="O1278" s="25" t="s">
        <v>27</v>
      </c>
      <c r="P1278" s="25" t="s">
        <v>32</v>
      </c>
    </row>
    <row r="1279" spans="1:16" x14ac:dyDescent="0.3">
      <c r="A1279" s="25">
        <v>1278</v>
      </c>
      <c r="B1279" s="26">
        <v>45576</v>
      </c>
      <c r="C1279" s="25" t="s">
        <v>66</v>
      </c>
      <c r="D1279" s="25" t="s">
        <v>21</v>
      </c>
      <c r="E1279" s="25" t="s">
        <v>88</v>
      </c>
      <c r="F1279" s="25">
        <v>10</v>
      </c>
      <c r="G1279" s="25" t="s">
        <v>89</v>
      </c>
      <c r="H1279" s="25">
        <v>130</v>
      </c>
      <c r="I1279" s="25">
        <v>100</v>
      </c>
      <c r="J1279" s="25">
        <v>1300</v>
      </c>
      <c r="K1279" s="25">
        <v>1000</v>
      </c>
      <c r="L1279" s="25">
        <v>300</v>
      </c>
      <c r="M1279" s="27">
        <v>30</v>
      </c>
      <c r="N1279" s="25" t="s">
        <v>67</v>
      </c>
      <c r="O1279" s="25" t="s">
        <v>27</v>
      </c>
      <c r="P1279" s="25" t="s">
        <v>32</v>
      </c>
    </row>
    <row r="1280" spans="1:16" x14ac:dyDescent="0.3">
      <c r="A1280" s="25">
        <v>1279</v>
      </c>
      <c r="B1280" s="26">
        <v>45577</v>
      </c>
      <c r="C1280" s="25" t="s">
        <v>66</v>
      </c>
      <c r="D1280" s="25" t="s">
        <v>21</v>
      </c>
      <c r="E1280" s="25" t="s">
        <v>88</v>
      </c>
      <c r="F1280" s="25">
        <v>15</v>
      </c>
      <c r="G1280" s="25" t="s">
        <v>89</v>
      </c>
      <c r="H1280" s="25">
        <v>130</v>
      </c>
      <c r="I1280" s="25">
        <v>100</v>
      </c>
      <c r="J1280" s="25">
        <v>1950</v>
      </c>
      <c r="K1280" s="25">
        <v>1500</v>
      </c>
      <c r="L1280" s="25">
        <v>450</v>
      </c>
      <c r="M1280" s="27">
        <v>30</v>
      </c>
      <c r="N1280" s="25" t="s">
        <v>67</v>
      </c>
      <c r="O1280" s="25" t="s">
        <v>27</v>
      </c>
      <c r="P1280" s="25" t="s">
        <v>32</v>
      </c>
    </row>
    <row r="1281" spans="1:16" x14ac:dyDescent="0.3">
      <c r="A1281" s="25">
        <v>1280</v>
      </c>
      <c r="B1281" s="26">
        <v>45577</v>
      </c>
      <c r="C1281" s="25" t="s">
        <v>66</v>
      </c>
      <c r="D1281" s="25" t="s">
        <v>21</v>
      </c>
      <c r="E1281" s="25" t="s">
        <v>94</v>
      </c>
      <c r="F1281" s="25">
        <v>25</v>
      </c>
      <c r="G1281" s="25" t="s">
        <v>89</v>
      </c>
      <c r="H1281" s="25">
        <v>30</v>
      </c>
      <c r="I1281" s="25">
        <v>26</v>
      </c>
      <c r="J1281" s="25">
        <v>750</v>
      </c>
      <c r="K1281" s="25">
        <v>650</v>
      </c>
      <c r="L1281" s="25">
        <v>100</v>
      </c>
      <c r="M1281" s="27">
        <v>15.384615384615399</v>
      </c>
      <c r="N1281" s="25" t="s">
        <v>67</v>
      </c>
      <c r="O1281" s="25" t="s">
        <v>27</v>
      </c>
      <c r="P1281" s="25" t="s">
        <v>32</v>
      </c>
    </row>
    <row r="1282" spans="1:16" x14ac:dyDescent="0.3">
      <c r="A1282" s="25">
        <v>1281</v>
      </c>
      <c r="B1282" s="26">
        <v>45577</v>
      </c>
      <c r="C1282" s="25" t="s">
        <v>66</v>
      </c>
      <c r="D1282" s="25" t="s">
        <v>21</v>
      </c>
      <c r="E1282" s="25" t="s">
        <v>93</v>
      </c>
      <c r="F1282" s="25">
        <v>6</v>
      </c>
      <c r="G1282" s="25" t="s">
        <v>89</v>
      </c>
      <c r="H1282" s="25">
        <v>250</v>
      </c>
      <c r="I1282" s="25">
        <v>180</v>
      </c>
      <c r="J1282" s="25">
        <v>1500</v>
      </c>
      <c r="K1282" s="25">
        <v>1080</v>
      </c>
      <c r="L1282" s="25">
        <v>420</v>
      </c>
      <c r="M1282" s="27">
        <v>38.8888888888889</v>
      </c>
      <c r="N1282" s="25" t="s">
        <v>67</v>
      </c>
      <c r="O1282" s="25" t="s">
        <v>27</v>
      </c>
      <c r="P1282" s="25" t="s">
        <v>32</v>
      </c>
    </row>
    <row r="1283" spans="1:16" x14ac:dyDescent="0.3">
      <c r="A1283" s="25">
        <v>1282</v>
      </c>
      <c r="B1283" s="26">
        <v>45577</v>
      </c>
      <c r="C1283" s="25" t="s">
        <v>66</v>
      </c>
      <c r="D1283" s="25" t="s">
        <v>22</v>
      </c>
      <c r="E1283" s="25" t="s">
        <v>90</v>
      </c>
      <c r="F1283" s="25">
        <v>2</v>
      </c>
      <c r="G1283" s="25" t="s">
        <v>91</v>
      </c>
      <c r="H1283" s="25">
        <v>280</v>
      </c>
      <c r="I1283" s="25">
        <v>240</v>
      </c>
      <c r="J1283" s="25">
        <v>560</v>
      </c>
      <c r="K1283" s="25">
        <v>480</v>
      </c>
      <c r="L1283" s="25">
        <v>80</v>
      </c>
      <c r="M1283" s="27">
        <v>16.6666666666667</v>
      </c>
      <c r="N1283" s="25" t="s">
        <v>67</v>
      </c>
      <c r="O1283" s="25" t="s">
        <v>28</v>
      </c>
      <c r="P1283" s="25" t="s">
        <v>33</v>
      </c>
    </row>
    <row r="1284" spans="1:16" x14ac:dyDescent="0.3">
      <c r="A1284" s="25">
        <v>1283</v>
      </c>
      <c r="B1284" s="26">
        <v>45577</v>
      </c>
      <c r="C1284" s="25" t="s">
        <v>66</v>
      </c>
      <c r="D1284" s="25" t="s">
        <v>22</v>
      </c>
      <c r="E1284" s="25" t="s">
        <v>90</v>
      </c>
      <c r="F1284" s="25">
        <v>2.5</v>
      </c>
      <c r="G1284" s="25" t="s">
        <v>91</v>
      </c>
      <c r="H1284" s="25">
        <v>280</v>
      </c>
      <c r="I1284" s="25">
        <v>240</v>
      </c>
      <c r="J1284" s="25">
        <v>700</v>
      </c>
      <c r="K1284" s="25">
        <v>600</v>
      </c>
      <c r="L1284" s="25">
        <v>100</v>
      </c>
      <c r="M1284" s="27">
        <v>16.6666666666667</v>
      </c>
      <c r="N1284" s="25" t="s">
        <v>67</v>
      </c>
      <c r="O1284" s="25" t="s">
        <v>28</v>
      </c>
      <c r="P1284" s="25" t="s">
        <v>33</v>
      </c>
    </row>
    <row r="1285" spans="1:16" x14ac:dyDescent="0.3">
      <c r="A1285" s="25">
        <v>1284</v>
      </c>
      <c r="B1285" s="26">
        <v>45577</v>
      </c>
      <c r="C1285" s="25" t="s">
        <v>66</v>
      </c>
      <c r="D1285" s="25" t="s">
        <v>22</v>
      </c>
      <c r="E1285" s="25" t="s">
        <v>103</v>
      </c>
      <c r="F1285" s="25">
        <v>2</v>
      </c>
      <c r="G1285" s="25" t="s">
        <v>102</v>
      </c>
      <c r="H1285" s="25">
        <v>30</v>
      </c>
      <c r="I1285" s="25">
        <v>20</v>
      </c>
      <c r="J1285" s="25">
        <v>60</v>
      </c>
      <c r="K1285" s="25">
        <v>40</v>
      </c>
      <c r="L1285" s="25">
        <v>20</v>
      </c>
      <c r="M1285" s="27">
        <v>50</v>
      </c>
      <c r="N1285" s="25" t="s">
        <v>67</v>
      </c>
      <c r="O1285" s="25" t="s">
        <v>28</v>
      </c>
      <c r="P1285" s="25" t="s">
        <v>32</v>
      </c>
    </row>
    <row r="1286" spans="1:16" x14ac:dyDescent="0.3">
      <c r="A1286" s="25">
        <v>1285</v>
      </c>
      <c r="B1286" s="26">
        <v>45577</v>
      </c>
      <c r="C1286" s="25" t="s">
        <v>66</v>
      </c>
      <c r="D1286" s="25" t="s">
        <v>22</v>
      </c>
      <c r="E1286" s="25" t="s">
        <v>101</v>
      </c>
      <c r="F1286" s="25">
        <v>14</v>
      </c>
      <c r="G1286" s="25" t="s">
        <v>102</v>
      </c>
      <c r="H1286" s="25">
        <v>6</v>
      </c>
      <c r="I1286" s="25">
        <v>4</v>
      </c>
      <c r="J1286" s="25">
        <v>84</v>
      </c>
      <c r="K1286" s="25">
        <v>56</v>
      </c>
      <c r="L1286" s="25">
        <v>28</v>
      </c>
      <c r="M1286" s="27">
        <v>50</v>
      </c>
      <c r="N1286" s="25" t="s">
        <v>67</v>
      </c>
      <c r="O1286" s="25" t="s">
        <v>28</v>
      </c>
      <c r="P1286" s="25" t="s">
        <v>32</v>
      </c>
    </row>
    <row r="1287" spans="1:16" x14ac:dyDescent="0.3">
      <c r="A1287" s="25">
        <v>1286</v>
      </c>
      <c r="B1287" s="26">
        <v>45577</v>
      </c>
      <c r="C1287" s="25" t="s">
        <v>66</v>
      </c>
      <c r="D1287" s="25" t="s">
        <v>21</v>
      </c>
      <c r="E1287" s="25" t="s">
        <v>94</v>
      </c>
      <c r="F1287" s="25">
        <v>25</v>
      </c>
      <c r="G1287" s="25" t="s">
        <v>89</v>
      </c>
      <c r="H1287" s="25">
        <v>30</v>
      </c>
      <c r="I1287" s="25">
        <v>26</v>
      </c>
      <c r="J1287" s="25">
        <v>750</v>
      </c>
      <c r="K1287" s="25">
        <v>650</v>
      </c>
      <c r="L1287" s="25">
        <v>100</v>
      </c>
      <c r="M1287" s="27">
        <v>15.384615384615399</v>
      </c>
      <c r="N1287" s="25" t="s">
        <v>67</v>
      </c>
      <c r="O1287" s="25" t="s">
        <v>27</v>
      </c>
      <c r="P1287" s="25" t="s">
        <v>32</v>
      </c>
    </row>
    <row r="1288" spans="1:16" x14ac:dyDescent="0.3">
      <c r="A1288" s="25">
        <v>1287</v>
      </c>
      <c r="B1288" s="26">
        <v>45577</v>
      </c>
      <c r="C1288" s="25" t="s">
        <v>66</v>
      </c>
      <c r="D1288" s="25" t="s">
        <v>21</v>
      </c>
      <c r="E1288" s="25" t="s">
        <v>98</v>
      </c>
      <c r="F1288" s="25">
        <v>2</v>
      </c>
      <c r="G1288" s="25" t="s">
        <v>89</v>
      </c>
      <c r="H1288" s="25">
        <v>95</v>
      </c>
      <c r="I1288" s="25">
        <v>55</v>
      </c>
      <c r="J1288" s="25">
        <v>190</v>
      </c>
      <c r="K1288" s="25">
        <v>110</v>
      </c>
      <c r="L1288" s="25">
        <v>80</v>
      </c>
      <c r="M1288" s="27">
        <v>72.727272727272705</v>
      </c>
      <c r="N1288" s="25" t="s">
        <v>67</v>
      </c>
      <c r="O1288" s="25" t="s">
        <v>27</v>
      </c>
      <c r="P1288" s="25" t="s">
        <v>32</v>
      </c>
    </row>
    <row r="1289" spans="1:16" x14ac:dyDescent="0.3">
      <c r="A1289" s="25">
        <v>1288</v>
      </c>
      <c r="B1289" s="26">
        <v>45577</v>
      </c>
      <c r="C1289" s="25" t="s">
        <v>66</v>
      </c>
      <c r="D1289" s="25" t="s">
        <v>21</v>
      </c>
      <c r="E1289" s="25" t="s">
        <v>94</v>
      </c>
      <c r="F1289" s="25">
        <v>15</v>
      </c>
      <c r="G1289" s="25" t="s">
        <v>89</v>
      </c>
      <c r="H1289" s="25">
        <v>30</v>
      </c>
      <c r="I1289" s="25">
        <v>26</v>
      </c>
      <c r="J1289" s="25">
        <v>450</v>
      </c>
      <c r="K1289" s="25">
        <v>390</v>
      </c>
      <c r="L1289" s="25">
        <v>60</v>
      </c>
      <c r="M1289" s="27">
        <v>15.384615384615399</v>
      </c>
      <c r="N1289" s="25" t="s">
        <v>67</v>
      </c>
      <c r="O1289" s="25" t="s">
        <v>27</v>
      </c>
      <c r="P1289" s="25" t="s">
        <v>32</v>
      </c>
    </row>
    <row r="1290" spans="1:16" x14ac:dyDescent="0.3">
      <c r="A1290" s="25">
        <v>1289</v>
      </c>
      <c r="B1290" s="26">
        <v>45577</v>
      </c>
      <c r="C1290" s="25" t="s">
        <v>66</v>
      </c>
      <c r="D1290" s="25" t="s">
        <v>21</v>
      </c>
      <c r="E1290" s="25" t="s">
        <v>93</v>
      </c>
      <c r="F1290" s="25">
        <v>5</v>
      </c>
      <c r="G1290" s="25" t="s">
        <v>89</v>
      </c>
      <c r="H1290" s="25">
        <v>250</v>
      </c>
      <c r="I1290" s="25">
        <v>180</v>
      </c>
      <c r="J1290" s="25">
        <v>1250</v>
      </c>
      <c r="K1290" s="25">
        <v>900</v>
      </c>
      <c r="L1290" s="25">
        <v>350</v>
      </c>
      <c r="M1290" s="27">
        <v>38.8888888888889</v>
      </c>
      <c r="N1290" s="25" t="s">
        <v>67</v>
      </c>
      <c r="O1290" s="25" t="s">
        <v>27</v>
      </c>
      <c r="P1290" s="25" t="s">
        <v>32</v>
      </c>
    </row>
    <row r="1291" spans="1:16" x14ac:dyDescent="0.3">
      <c r="A1291" s="25">
        <v>1290</v>
      </c>
      <c r="B1291" s="26">
        <v>45577</v>
      </c>
      <c r="C1291" s="25" t="s">
        <v>66</v>
      </c>
      <c r="D1291" s="25" t="s">
        <v>21</v>
      </c>
      <c r="E1291" s="25" t="s">
        <v>88</v>
      </c>
      <c r="F1291" s="25">
        <v>10</v>
      </c>
      <c r="G1291" s="25" t="s">
        <v>89</v>
      </c>
      <c r="H1291" s="25">
        <v>130</v>
      </c>
      <c r="I1291" s="25">
        <v>100</v>
      </c>
      <c r="J1291" s="25">
        <v>1300</v>
      </c>
      <c r="K1291" s="25">
        <v>1000</v>
      </c>
      <c r="L1291" s="25">
        <v>300</v>
      </c>
      <c r="M1291" s="27">
        <v>30</v>
      </c>
      <c r="N1291" s="25" t="s">
        <v>67</v>
      </c>
      <c r="O1291" s="25" t="s">
        <v>27</v>
      </c>
      <c r="P1291" s="25" t="s">
        <v>32</v>
      </c>
    </row>
    <row r="1292" spans="1:16" x14ac:dyDescent="0.3">
      <c r="A1292" s="25">
        <v>1291</v>
      </c>
      <c r="B1292" s="26">
        <v>45577</v>
      </c>
      <c r="C1292" s="25" t="s">
        <v>66</v>
      </c>
      <c r="D1292" s="25" t="s">
        <v>21</v>
      </c>
      <c r="E1292" s="25" t="s">
        <v>98</v>
      </c>
      <c r="F1292" s="25">
        <v>4</v>
      </c>
      <c r="G1292" s="25" t="s">
        <v>89</v>
      </c>
      <c r="H1292" s="25">
        <v>95</v>
      </c>
      <c r="I1292" s="25">
        <v>55</v>
      </c>
      <c r="J1292" s="25">
        <v>380</v>
      </c>
      <c r="K1292" s="25">
        <v>220</v>
      </c>
      <c r="L1292" s="25">
        <v>160</v>
      </c>
      <c r="M1292" s="27">
        <v>72.727272727272705</v>
      </c>
      <c r="N1292" s="25" t="s">
        <v>67</v>
      </c>
      <c r="O1292" s="25" t="s">
        <v>27</v>
      </c>
      <c r="P1292" s="25" t="s">
        <v>32</v>
      </c>
    </row>
    <row r="1293" spans="1:16" x14ac:dyDescent="0.3">
      <c r="A1293" s="25">
        <v>1292</v>
      </c>
      <c r="B1293" s="26">
        <v>45578</v>
      </c>
      <c r="C1293" s="25" t="s">
        <v>66</v>
      </c>
      <c r="D1293" s="25" t="s">
        <v>21</v>
      </c>
      <c r="E1293" s="25" t="s">
        <v>88</v>
      </c>
      <c r="F1293" s="25">
        <v>5</v>
      </c>
      <c r="G1293" s="25" t="s">
        <v>89</v>
      </c>
      <c r="H1293" s="25">
        <v>130</v>
      </c>
      <c r="I1293" s="25">
        <v>100</v>
      </c>
      <c r="J1293" s="25">
        <v>650</v>
      </c>
      <c r="K1293" s="25">
        <v>500</v>
      </c>
      <c r="L1293" s="25">
        <v>150</v>
      </c>
      <c r="M1293" s="27">
        <v>30</v>
      </c>
      <c r="N1293" s="25" t="s">
        <v>67</v>
      </c>
      <c r="O1293" s="25" t="s">
        <v>27</v>
      </c>
      <c r="P1293" s="25" t="s">
        <v>32</v>
      </c>
    </row>
    <row r="1294" spans="1:16" x14ac:dyDescent="0.3">
      <c r="A1294" s="25">
        <v>1293</v>
      </c>
      <c r="B1294" s="26">
        <v>45578</v>
      </c>
      <c r="C1294" s="25" t="s">
        <v>66</v>
      </c>
      <c r="D1294" s="25" t="s">
        <v>21</v>
      </c>
      <c r="E1294" s="25" t="s">
        <v>88</v>
      </c>
      <c r="F1294" s="25">
        <v>8</v>
      </c>
      <c r="G1294" s="25" t="s">
        <v>89</v>
      </c>
      <c r="H1294" s="25">
        <v>130</v>
      </c>
      <c r="I1294" s="25">
        <v>100</v>
      </c>
      <c r="J1294" s="25">
        <v>1040</v>
      </c>
      <c r="K1294" s="25">
        <v>800</v>
      </c>
      <c r="L1294" s="25">
        <v>240</v>
      </c>
      <c r="M1294" s="27">
        <v>30</v>
      </c>
      <c r="N1294" s="25" t="s">
        <v>67</v>
      </c>
      <c r="O1294" s="25" t="s">
        <v>27</v>
      </c>
      <c r="P1294" s="25" t="s">
        <v>32</v>
      </c>
    </row>
    <row r="1295" spans="1:16" x14ac:dyDescent="0.3">
      <c r="A1295" s="25">
        <v>1294</v>
      </c>
      <c r="B1295" s="26">
        <v>45578</v>
      </c>
      <c r="C1295" s="25" t="s">
        <v>66</v>
      </c>
      <c r="D1295" s="25" t="s">
        <v>21</v>
      </c>
      <c r="E1295" s="25" t="s">
        <v>88</v>
      </c>
      <c r="F1295" s="25">
        <v>14</v>
      </c>
      <c r="G1295" s="25" t="s">
        <v>89</v>
      </c>
      <c r="H1295" s="25">
        <v>130</v>
      </c>
      <c r="I1295" s="25">
        <v>100</v>
      </c>
      <c r="J1295" s="25">
        <v>1820</v>
      </c>
      <c r="K1295" s="25">
        <v>1400</v>
      </c>
      <c r="L1295" s="25">
        <v>420</v>
      </c>
      <c r="M1295" s="27">
        <v>30</v>
      </c>
      <c r="N1295" s="25" t="s">
        <v>67</v>
      </c>
      <c r="O1295" s="25" t="s">
        <v>27</v>
      </c>
      <c r="P1295" s="25" t="s">
        <v>32</v>
      </c>
    </row>
    <row r="1296" spans="1:16" x14ac:dyDescent="0.3">
      <c r="A1296" s="25">
        <v>1295</v>
      </c>
      <c r="B1296" s="26">
        <v>45578</v>
      </c>
      <c r="C1296" s="25" t="s">
        <v>66</v>
      </c>
      <c r="D1296" s="25" t="s">
        <v>22</v>
      </c>
      <c r="E1296" s="25" t="s">
        <v>92</v>
      </c>
      <c r="F1296" s="25">
        <v>2</v>
      </c>
      <c r="G1296" s="25" t="s">
        <v>91</v>
      </c>
      <c r="H1296" s="25">
        <v>260</v>
      </c>
      <c r="I1296" s="25">
        <v>220</v>
      </c>
      <c r="J1296" s="25">
        <v>520</v>
      </c>
      <c r="K1296" s="25">
        <v>440</v>
      </c>
      <c r="L1296" s="25">
        <v>80</v>
      </c>
      <c r="M1296" s="27">
        <v>18.181818181818201</v>
      </c>
      <c r="N1296" s="25" t="s">
        <v>67</v>
      </c>
      <c r="O1296" s="25" t="s">
        <v>28</v>
      </c>
      <c r="P1296" s="25" t="s">
        <v>32</v>
      </c>
    </row>
    <row r="1297" spans="1:16" x14ac:dyDescent="0.3">
      <c r="A1297" s="25">
        <v>1296</v>
      </c>
      <c r="B1297" s="26">
        <v>45578</v>
      </c>
      <c r="C1297" s="25" t="s">
        <v>66</v>
      </c>
      <c r="D1297" s="25" t="s">
        <v>21</v>
      </c>
      <c r="E1297" s="25" t="s">
        <v>88</v>
      </c>
      <c r="F1297" s="25">
        <v>16</v>
      </c>
      <c r="G1297" s="25" t="s">
        <v>89</v>
      </c>
      <c r="H1297" s="25">
        <v>130</v>
      </c>
      <c r="I1297" s="25">
        <v>100</v>
      </c>
      <c r="J1297" s="25">
        <v>2080</v>
      </c>
      <c r="K1297" s="25">
        <v>1600</v>
      </c>
      <c r="L1297" s="25">
        <v>480</v>
      </c>
      <c r="M1297" s="27">
        <v>30</v>
      </c>
      <c r="N1297" s="25" t="s">
        <v>67</v>
      </c>
      <c r="O1297" s="25" t="s">
        <v>27</v>
      </c>
      <c r="P1297" s="25" t="s">
        <v>32</v>
      </c>
    </row>
    <row r="1298" spans="1:16" x14ac:dyDescent="0.3">
      <c r="A1298" s="25">
        <v>1297</v>
      </c>
      <c r="B1298" s="26">
        <v>45578</v>
      </c>
      <c r="C1298" s="25" t="s">
        <v>66</v>
      </c>
      <c r="D1298" s="25" t="s">
        <v>21</v>
      </c>
      <c r="E1298" s="25" t="s">
        <v>94</v>
      </c>
      <c r="F1298" s="25">
        <v>26</v>
      </c>
      <c r="G1298" s="25" t="s">
        <v>89</v>
      </c>
      <c r="H1298" s="25">
        <v>30</v>
      </c>
      <c r="I1298" s="25">
        <v>26</v>
      </c>
      <c r="J1298" s="25">
        <v>780</v>
      </c>
      <c r="K1298" s="25">
        <v>676</v>
      </c>
      <c r="L1298" s="25">
        <v>104</v>
      </c>
      <c r="M1298" s="27">
        <v>15.384615384615399</v>
      </c>
      <c r="N1298" s="25" t="s">
        <v>67</v>
      </c>
      <c r="O1298" s="25" t="s">
        <v>27</v>
      </c>
      <c r="P1298" s="25" t="s">
        <v>32</v>
      </c>
    </row>
    <row r="1299" spans="1:16" x14ac:dyDescent="0.3">
      <c r="A1299" s="25">
        <v>1298</v>
      </c>
      <c r="B1299" s="26">
        <v>45578</v>
      </c>
      <c r="C1299" s="25" t="s">
        <v>66</v>
      </c>
      <c r="D1299" s="25" t="s">
        <v>21</v>
      </c>
      <c r="E1299" s="25" t="s">
        <v>93</v>
      </c>
      <c r="F1299" s="25">
        <v>4</v>
      </c>
      <c r="G1299" s="25" t="s">
        <v>89</v>
      </c>
      <c r="H1299" s="25">
        <v>250</v>
      </c>
      <c r="I1299" s="25">
        <v>180</v>
      </c>
      <c r="J1299" s="25">
        <v>1000</v>
      </c>
      <c r="K1299" s="25">
        <v>720</v>
      </c>
      <c r="L1299" s="25">
        <v>280</v>
      </c>
      <c r="M1299" s="27">
        <v>38.8888888888889</v>
      </c>
      <c r="N1299" s="25" t="s">
        <v>67</v>
      </c>
      <c r="O1299" s="25" t="s">
        <v>27</v>
      </c>
      <c r="P1299" s="25" t="s">
        <v>32</v>
      </c>
    </row>
    <row r="1300" spans="1:16" x14ac:dyDescent="0.3">
      <c r="A1300" s="25">
        <v>1299</v>
      </c>
      <c r="B1300" s="26">
        <v>45578</v>
      </c>
      <c r="C1300" s="25" t="s">
        <v>66</v>
      </c>
      <c r="D1300" s="25" t="s">
        <v>21</v>
      </c>
      <c r="E1300" s="25" t="s">
        <v>94</v>
      </c>
      <c r="F1300" s="25">
        <v>24</v>
      </c>
      <c r="G1300" s="25" t="s">
        <v>89</v>
      </c>
      <c r="H1300" s="25">
        <v>30</v>
      </c>
      <c r="I1300" s="25">
        <v>26</v>
      </c>
      <c r="J1300" s="25">
        <v>720</v>
      </c>
      <c r="K1300" s="25">
        <v>624</v>
      </c>
      <c r="L1300" s="25">
        <v>96</v>
      </c>
      <c r="M1300" s="27">
        <v>15.384615384615399</v>
      </c>
      <c r="N1300" s="25" t="s">
        <v>67</v>
      </c>
      <c r="O1300" s="25" t="s">
        <v>27</v>
      </c>
      <c r="P1300" s="25" t="s">
        <v>32</v>
      </c>
    </row>
    <row r="1301" spans="1:16" x14ac:dyDescent="0.3">
      <c r="A1301" s="25">
        <v>1300</v>
      </c>
      <c r="B1301" s="26">
        <v>45578</v>
      </c>
      <c r="C1301" s="25" t="s">
        <v>66</v>
      </c>
      <c r="D1301" s="25" t="s">
        <v>21</v>
      </c>
      <c r="E1301" s="25" t="s">
        <v>93</v>
      </c>
      <c r="F1301" s="25">
        <v>5</v>
      </c>
      <c r="G1301" s="25" t="s">
        <v>89</v>
      </c>
      <c r="H1301" s="25">
        <v>250</v>
      </c>
      <c r="I1301" s="25">
        <v>180</v>
      </c>
      <c r="J1301" s="25">
        <v>1250</v>
      </c>
      <c r="K1301" s="25">
        <v>900</v>
      </c>
      <c r="L1301" s="25">
        <v>350</v>
      </c>
      <c r="M1301" s="27">
        <v>38.8888888888889</v>
      </c>
      <c r="N1301" s="25" t="s">
        <v>67</v>
      </c>
      <c r="O1301" s="25" t="s">
        <v>27</v>
      </c>
      <c r="P1301" s="25" t="s">
        <v>32</v>
      </c>
    </row>
    <row r="1302" spans="1:16" x14ac:dyDescent="0.3">
      <c r="A1302" s="25">
        <v>1301</v>
      </c>
      <c r="B1302" s="26">
        <v>45578</v>
      </c>
      <c r="C1302" s="25" t="s">
        <v>66</v>
      </c>
      <c r="D1302" s="25" t="s">
        <v>21</v>
      </c>
      <c r="E1302" s="25" t="s">
        <v>98</v>
      </c>
      <c r="F1302" s="25">
        <v>2</v>
      </c>
      <c r="G1302" s="25" t="s">
        <v>89</v>
      </c>
      <c r="H1302" s="25">
        <v>95</v>
      </c>
      <c r="I1302" s="25">
        <v>55</v>
      </c>
      <c r="J1302" s="25">
        <v>190</v>
      </c>
      <c r="K1302" s="25">
        <v>110</v>
      </c>
      <c r="L1302" s="25">
        <v>80</v>
      </c>
      <c r="M1302" s="27">
        <v>72.727272727272705</v>
      </c>
      <c r="N1302" s="25" t="s">
        <v>67</v>
      </c>
      <c r="O1302" s="25" t="s">
        <v>27</v>
      </c>
      <c r="P1302" s="25" t="s">
        <v>32</v>
      </c>
    </row>
    <row r="1303" spans="1:16" x14ac:dyDescent="0.3">
      <c r="A1303" s="25">
        <v>1302</v>
      </c>
      <c r="B1303" s="26">
        <v>45578</v>
      </c>
      <c r="C1303" s="25" t="s">
        <v>66</v>
      </c>
      <c r="D1303" s="25" t="s">
        <v>21</v>
      </c>
      <c r="E1303" s="25" t="s">
        <v>88</v>
      </c>
      <c r="F1303" s="25">
        <v>8</v>
      </c>
      <c r="G1303" s="25" t="s">
        <v>89</v>
      </c>
      <c r="H1303" s="25">
        <v>130</v>
      </c>
      <c r="I1303" s="25">
        <v>100</v>
      </c>
      <c r="J1303" s="25">
        <v>1040</v>
      </c>
      <c r="K1303" s="25">
        <v>800</v>
      </c>
      <c r="L1303" s="25">
        <v>240</v>
      </c>
      <c r="M1303" s="27">
        <v>30</v>
      </c>
      <c r="N1303" s="25" t="s">
        <v>67</v>
      </c>
      <c r="O1303" s="25" t="s">
        <v>27</v>
      </c>
      <c r="P1303" s="25" t="s">
        <v>32</v>
      </c>
    </row>
    <row r="1304" spans="1:16" x14ac:dyDescent="0.3">
      <c r="A1304" s="25">
        <v>1303</v>
      </c>
      <c r="B1304" s="26">
        <v>45578</v>
      </c>
      <c r="C1304" s="25" t="s">
        <v>66</v>
      </c>
      <c r="D1304" s="25" t="s">
        <v>22</v>
      </c>
      <c r="E1304" s="25" t="s">
        <v>90</v>
      </c>
      <c r="F1304" s="25">
        <v>2</v>
      </c>
      <c r="G1304" s="25" t="s">
        <v>91</v>
      </c>
      <c r="H1304" s="25">
        <v>280</v>
      </c>
      <c r="I1304" s="25">
        <v>240</v>
      </c>
      <c r="J1304" s="25">
        <v>560</v>
      </c>
      <c r="K1304" s="25">
        <v>480</v>
      </c>
      <c r="L1304" s="25">
        <v>80</v>
      </c>
      <c r="M1304" s="27">
        <v>16.6666666666667</v>
      </c>
      <c r="N1304" s="25" t="s">
        <v>67</v>
      </c>
      <c r="O1304" s="25" t="s">
        <v>28</v>
      </c>
      <c r="P1304" s="25" t="s">
        <v>32</v>
      </c>
    </row>
    <row r="1305" spans="1:16" x14ac:dyDescent="0.3">
      <c r="A1305" s="25">
        <v>1304</v>
      </c>
      <c r="B1305" s="26">
        <v>45578</v>
      </c>
      <c r="C1305" s="25" t="s">
        <v>66</v>
      </c>
      <c r="D1305" s="25" t="s">
        <v>21</v>
      </c>
      <c r="E1305" s="25" t="s">
        <v>88</v>
      </c>
      <c r="F1305" s="25">
        <v>16</v>
      </c>
      <c r="G1305" s="25" t="s">
        <v>89</v>
      </c>
      <c r="H1305" s="25">
        <v>130</v>
      </c>
      <c r="I1305" s="25">
        <v>100</v>
      </c>
      <c r="J1305" s="25">
        <v>2080</v>
      </c>
      <c r="K1305" s="25">
        <v>1600</v>
      </c>
      <c r="L1305" s="25">
        <v>480</v>
      </c>
      <c r="M1305" s="27">
        <v>30</v>
      </c>
      <c r="N1305" s="25" t="s">
        <v>67</v>
      </c>
      <c r="O1305" s="25" t="s">
        <v>27</v>
      </c>
      <c r="P1305" s="25" t="s">
        <v>32</v>
      </c>
    </row>
    <row r="1306" spans="1:16" x14ac:dyDescent="0.3">
      <c r="A1306" s="25">
        <v>1305</v>
      </c>
      <c r="B1306" s="26">
        <v>45578</v>
      </c>
      <c r="C1306" s="25" t="s">
        <v>66</v>
      </c>
      <c r="D1306" s="25" t="s">
        <v>21</v>
      </c>
      <c r="E1306" s="25" t="s">
        <v>88</v>
      </c>
      <c r="F1306" s="25">
        <v>2</v>
      </c>
      <c r="G1306" s="25" t="s">
        <v>89</v>
      </c>
      <c r="H1306" s="25">
        <v>130</v>
      </c>
      <c r="I1306" s="25">
        <v>100</v>
      </c>
      <c r="J1306" s="25">
        <v>260</v>
      </c>
      <c r="K1306" s="25">
        <v>200</v>
      </c>
      <c r="L1306" s="25">
        <v>60</v>
      </c>
      <c r="M1306" s="27">
        <v>30</v>
      </c>
      <c r="N1306" s="25" t="s">
        <v>67</v>
      </c>
      <c r="O1306" s="25" t="s">
        <v>27</v>
      </c>
      <c r="P1306" s="25" t="s">
        <v>32</v>
      </c>
    </row>
    <row r="1307" spans="1:16" x14ac:dyDescent="0.3">
      <c r="A1307" s="25">
        <v>1306</v>
      </c>
      <c r="B1307" s="26">
        <v>45578</v>
      </c>
      <c r="C1307" s="25" t="s">
        <v>66</v>
      </c>
      <c r="D1307" s="25" t="s">
        <v>21</v>
      </c>
      <c r="E1307" s="25" t="s">
        <v>94</v>
      </c>
      <c r="F1307" s="25">
        <v>15</v>
      </c>
      <c r="G1307" s="25" t="s">
        <v>89</v>
      </c>
      <c r="H1307" s="25">
        <v>30</v>
      </c>
      <c r="I1307" s="25">
        <v>26</v>
      </c>
      <c r="J1307" s="25">
        <v>450</v>
      </c>
      <c r="K1307" s="25">
        <v>390</v>
      </c>
      <c r="L1307" s="25">
        <v>60</v>
      </c>
      <c r="M1307" s="27">
        <v>15.384615384615399</v>
      </c>
      <c r="N1307" s="25" t="s">
        <v>67</v>
      </c>
      <c r="O1307" s="25" t="s">
        <v>27</v>
      </c>
      <c r="P1307" s="25" t="s">
        <v>32</v>
      </c>
    </row>
    <row r="1308" spans="1:16" x14ac:dyDescent="0.3">
      <c r="A1308" s="25">
        <v>1307</v>
      </c>
      <c r="B1308" s="26">
        <v>45578</v>
      </c>
      <c r="C1308" s="25" t="s">
        <v>66</v>
      </c>
      <c r="D1308" s="25" t="s">
        <v>21</v>
      </c>
      <c r="E1308" s="25" t="s">
        <v>93</v>
      </c>
      <c r="F1308" s="25">
        <v>4</v>
      </c>
      <c r="G1308" s="25" t="s">
        <v>89</v>
      </c>
      <c r="H1308" s="25">
        <v>250</v>
      </c>
      <c r="I1308" s="25">
        <v>180</v>
      </c>
      <c r="J1308" s="25">
        <v>1000</v>
      </c>
      <c r="K1308" s="25">
        <v>720</v>
      </c>
      <c r="L1308" s="25">
        <v>280</v>
      </c>
      <c r="M1308" s="27">
        <v>38.8888888888889</v>
      </c>
      <c r="N1308" s="25" t="s">
        <v>67</v>
      </c>
      <c r="O1308" s="25" t="s">
        <v>27</v>
      </c>
      <c r="P1308" s="25" t="s">
        <v>32</v>
      </c>
    </row>
    <row r="1309" spans="1:16" x14ac:dyDescent="0.3">
      <c r="A1309" s="25">
        <v>1308</v>
      </c>
      <c r="B1309" s="26">
        <v>45578</v>
      </c>
      <c r="C1309" s="25" t="s">
        <v>66</v>
      </c>
      <c r="D1309" s="25" t="s">
        <v>21</v>
      </c>
      <c r="E1309" s="25" t="s">
        <v>98</v>
      </c>
      <c r="F1309" s="25">
        <v>3</v>
      </c>
      <c r="G1309" s="25" t="s">
        <v>89</v>
      </c>
      <c r="H1309" s="25">
        <v>95</v>
      </c>
      <c r="I1309" s="25">
        <v>55</v>
      </c>
      <c r="J1309" s="25">
        <v>285</v>
      </c>
      <c r="K1309" s="25">
        <v>165</v>
      </c>
      <c r="L1309" s="25">
        <v>120</v>
      </c>
      <c r="M1309" s="27">
        <v>72.727272727272705</v>
      </c>
      <c r="N1309" s="25" t="s">
        <v>67</v>
      </c>
      <c r="O1309" s="25" t="s">
        <v>27</v>
      </c>
      <c r="P1309" s="25" t="s">
        <v>32</v>
      </c>
    </row>
    <row r="1310" spans="1:16" x14ac:dyDescent="0.3">
      <c r="A1310" s="25">
        <v>1309</v>
      </c>
      <c r="B1310" s="26">
        <v>45578</v>
      </c>
      <c r="C1310" s="25" t="s">
        <v>66</v>
      </c>
      <c r="D1310" s="25" t="s">
        <v>21</v>
      </c>
      <c r="E1310" s="25" t="s">
        <v>88</v>
      </c>
      <c r="F1310" s="25">
        <v>16</v>
      </c>
      <c r="G1310" s="25" t="s">
        <v>89</v>
      </c>
      <c r="H1310" s="25">
        <v>130</v>
      </c>
      <c r="I1310" s="25">
        <v>100</v>
      </c>
      <c r="J1310" s="25">
        <v>2080</v>
      </c>
      <c r="K1310" s="25">
        <v>1600</v>
      </c>
      <c r="L1310" s="25">
        <v>480</v>
      </c>
      <c r="M1310" s="27">
        <v>30</v>
      </c>
      <c r="N1310" s="25" t="s">
        <v>67</v>
      </c>
      <c r="O1310" s="25" t="s">
        <v>27</v>
      </c>
      <c r="P1310" s="25" t="s">
        <v>32</v>
      </c>
    </row>
    <row r="1311" spans="1:16" x14ac:dyDescent="0.3">
      <c r="A1311" s="25">
        <v>1310</v>
      </c>
      <c r="B1311" s="26">
        <v>45578</v>
      </c>
      <c r="C1311" s="25" t="s">
        <v>66</v>
      </c>
      <c r="D1311" s="25" t="s">
        <v>21</v>
      </c>
      <c r="E1311" s="25" t="s">
        <v>88</v>
      </c>
      <c r="F1311" s="25">
        <v>10</v>
      </c>
      <c r="G1311" s="25" t="s">
        <v>89</v>
      </c>
      <c r="H1311" s="25">
        <v>130</v>
      </c>
      <c r="I1311" s="25">
        <v>100</v>
      </c>
      <c r="J1311" s="25">
        <v>1300</v>
      </c>
      <c r="K1311" s="25">
        <v>1000</v>
      </c>
      <c r="L1311" s="25">
        <v>300</v>
      </c>
      <c r="M1311" s="27">
        <v>30</v>
      </c>
      <c r="N1311" s="25" t="s">
        <v>67</v>
      </c>
      <c r="O1311" s="25" t="s">
        <v>27</v>
      </c>
      <c r="P1311" s="25" t="s">
        <v>32</v>
      </c>
    </row>
    <row r="1312" spans="1:16" x14ac:dyDescent="0.3">
      <c r="A1312" s="25">
        <v>1311</v>
      </c>
      <c r="B1312" s="26">
        <v>45578</v>
      </c>
      <c r="C1312" s="25" t="s">
        <v>66</v>
      </c>
      <c r="D1312" s="25" t="s">
        <v>21</v>
      </c>
      <c r="E1312" s="25" t="s">
        <v>88</v>
      </c>
      <c r="F1312" s="25">
        <v>16</v>
      </c>
      <c r="G1312" s="25" t="s">
        <v>89</v>
      </c>
      <c r="H1312" s="25">
        <v>130</v>
      </c>
      <c r="I1312" s="25">
        <v>100</v>
      </c>
      <c r="J1312" s="25">
        <v>2080</v>
      </c>
      <c r="K1312" s="25">
        <v>1600</v>
      </c>
      <c r="L1312" s="25">
        <v>480</v>
      </c>
      <c r="M1312" s="27">
        <v>30</v>
      </c>
      <c r="N1312" s="25" t="s">
        <v>67</v>
      </c>
      <c r="O1312" s="25" t="s">
        <v>27</v>
      </c>
      <c r="P1312" s="25" t="s">
        <v>32</v>
      </c>
    </row>
    <row r="1313" spans="1:16" x14ac:dyDescent="0.3">
      <c r="A1313" s="25">
        <v>1312</v>
      </c>
      <c r="B1313" s="26">
        <v>45578</v>
      </c>
      <c r="C1313" s="25" t="s">
        <v>66</v>
      </c>
      <c r="D1313" s="25" t="s">
        <v>21</v>
      </c>
      <c r="E1313" s="25" t="s">
        <v>94</v>
      </c>
      <c r="F1313" s="25">
        <v>5</v>
      </c>
      <c r="G1313" s="25" t="s">
        <v>89</v>
      </c>
      <c r="H1313" s="25">
        <v>30</v>
      </c>
      <c r="I1313" s="25">
        <v>26</v>
      </c>
      <c r="J1313" s="25">
        <v>150</v>
      </c>
      <c r="K1313" s="25">
        <v>130</v>
      </c>
      <c r="L1313" s="25">
        <v>20</v>
      </c>
      <c r="M1313" s="27">
        <v>15.384615384615399</v>
      </c>
      <c r="N1313" s="25" t="s">
        <v>67</v>
      </c>
      <c r="O1313" s="25" t="s">
        <v>27</v>
      </c>
      <c r="P1313" s="25" t="s">
        <v>32</v>
      </c>
    </row>
    <row r="1314" spans="1:16" x14ac:dyDescent="0.3">
      <c r="A1314" s="25">
        <v>1313</v>
      </c>
      <c r="B1314" s="26">
        <v>45578</v>
      </c>
      <c r="C1314" s="25" t="s">
        <v>66</v>
      </c>
      <c r="D1314" s="25" t="s">
        <v>21</v>
      </c>
      <c r="E1314" s="25" t="s">
        <v>93</v>
      </c>
      <c r="F1314" s="25">
        <v>3</v>
      </c>
      <c r="G1314" s="25" t="s">
        <v>89</v>
      </c>
      <c r="H1314" s="25">
        <v>250</v>
      </c>
      <c r="I1314" s="25">
        <v>180</v>
      </c>
      <c r="J1314" s="25">
        <v>750</v>
      </c>
      <c r="K1314" s="25">
        <v>540</v>
      </c>
      <c r="L1314" s="25">
        <v>210</v>
      </c>
      <c r="M1314" s="27">
        <v>38.8888888888889</v>
      </c>
      <c r="N1314" s="25" t="s">
        <v>67</v>
      </c>
      <c r="O1314" s="25" t="s">
        <v>27</v>
      </c>
      <c r="P1314" s="25" t="s">
        <v>32</v>
      </c>
    </row>
    <row r="1315" spans="1:16" x14ac:dyDescent="0.3">
      <c r="A1315" s="25">
        <v>1314</v>
      </c>
      <c r="B1315" s="26">
        <v>45578</v>
      </c>
      <c r="C1315" s="25" t="s">
        <v>66</v>
      </c>
      <c r="D1315" s="25" t="s">
        <v>21</v>
      </c>
      <c r="E1315" s="25" t="s">
        <v>94</v>
      </c>
      <c r="F1315" s="25">
        <v>25</v>
      </c>
      <c r="G1315" s="25" t="s">
        <v>89</v>
      </c>
      <c r="H1315" s="25">
        <v>30</v>
      </c>
      <c r="I1315" s="25">
        <v>26</v>
      </c>
      <c r="J1315" s="25">
        <v>750</v>
      </c>
      <c r="K1315" s="25">
        <v>650</v>
      </c>
      <c r="L1315" s="25">
        <v>100</v>
      </c>
      <c r="M1315" s="27">
        <v>15.384615384615399</v>
      </c>
      <c r="N1315" s="25" t="s">
        <v>67</v>
      </c>
      <c r="O1315" s="25" t="s">
        <v>27</v>
      </c>
      <c r="P1315" s="25" t="s">
        <v>32</v>
      </c>
    </row>
    <row r="1316" spans="1:16" x14ac:dyDescent="0.3">
      <c r="A1316" s="25">
        <v>1315</v>
      </c>
      <c r="B1316" s="26">
        <v>45578</v>
      </c>
      <c r="C1316" s="25" t="s">
        <v>66</v>
      </c>
      <c r="D1316" s="25" t="s">
        <v>22</v>
      </c>
      <c r="E1316" s="25" t="s">
        <v>90</v>
      </c>
      <c r="F1316" s="25">
        <v>2</v>
      </c>
      <c r="G1316" s="25" t="s">
        <v>91</v>
      </c>
      <c r="H1316" s="25">
        <v>280</v>
      </c>
      <c r="I1316" s="25">
        <v>240</v>
      </c>
      <c r="J1316" s="25">
        <v>560</v>
      </c>
      <c r="K1316" s="25">
        <v>480</v>
      </c>
      <c r="L1316" s="25">
        <v>80</v>
      </c>
      <c r="M1316" s="27">
        <v>16.6666666666667</v>
      </c>
      <c r="N1316" s="25" t="s">
        <v>67</v>
      </c>
      <c r="O1316" s="25" t="s">
        <v>28</v>
      </c>
      <c r="P1316" s="25" t="s">
        <v>32</v>
      </c>
    </row>
    <row r="1317" spans="1:16" x14ac:dyDescent="0.3">
      <c r="A1317" s="25">
        <v>1316</v>
      </c>
      <c r="B1317" s="26">
        <v>45578</v>
      </c>
      <c r="C1317" s="25" t="s">
        <v>66</v>
      </c>
      <c r="D1317" s="25" t="s">
        <v>22</v>
      </c>
      <c r="E1317" s="25" t="s">
        <v>90</v>
      </c>
      <c r="F1317" s="25">
        <v>2.5</v>
      </c>
      <c r="G1317" s="25" t="s">
        <v>91</v>
      </c>
      <c r="H1317" s="25">
        <v>280</v>
      </c>
      <c r="I1317" s="25">
        <v>240</v>
      </c>
      <c r="J1317" s="25">
        <v>700</v>
      </c>
      <c r="K1317" s="25">
        <v>600</v>
      </c>
      <c r="L1317" s="25">
        <v>100</v>
      </c>
      <c r="M1317" s="27">
        <v>16.6666666666667</v>
      </c>
      <c r="N1317" s="25" t="s">
        <v>67</v>
      </c>
      <c r="O1317" s="25" t="s">
        <v>28</v>
      </c>
      <c r="P1317" s="25" t="s">
        <v>32</v>
      </c>
    </row>
    <row r="1318" spans="1:16" x14ac:dyDescent="0.3">
      <c r="A1318" s="25">
        <v>1317</v>
      </c>
      <c r="B1318" s="26">
        <v>45578</v>
      </c>
      <c r="C1318" s="25" t="s">
        <v>66</v>
      </c>
      <c r="D1318" s="25" t="s">
        <v>21</v>
      </c>
      <c r="E1318" s="25" t="s">
        <v>88</v>
      </c>
      <c r="F1318" s="25">
        <v>5</v>
      </c>
      <c r="G1318" s="25" t="s">
        <v>89</v>
      </c>
      <c r="H1318" s="25">
        <v>130</v>
      </c>
      <c r="I1318" s="25">
        <v>100</v>
      </c>
      <c r="J1318" s="25">
        <v>650</v>
      </c>
      <c r="K1318" s="25">
        <v>500</v>
      </c>
      <c r="L1318" s="25">
        <v>150</v>
      </c>
      <c r="M1318" s="27">
        <v>30</v>
      </c>
      <c r="N1318" s="25" t="s">
        <v>67</v>
      </c>
      <c r="O1318" s="25" t="s">
        <v>27</v>
      </c>
      <c r="P1318" s="25" t="s">
        <v>32</v>
      </c>
    </row>
    <row r="1319" spans="1:16" x14ac:dyDescent="0.3">
      <c r="A1319" s="25">
        <v>1318</v>
      </c>
      <c r="B1319" s="26">
        <v>45579</v>
      </c>
      <c r="C1319" s="25" t="s">
        <v>66</v>
      </c>
      <c r="D1319" s="25" t="s">
        <v>21</v>
      </c>
      <c r="E1319" s="25" t="s">
        <v>88</v>
      </c>
      <c r="F1319" s="25">
        <v>17</v>
      </c>
      <c r="G1319" s="25" t="s">
        <v>89</v>
      </c>
      <c r="H1319" s="25">
        <v>130</v>
      </c>
      <c r="I1319" s="25">
        <v>100</v>
      </c>
      <c r="J1319" s="25">
        <v>2210</v>
      </c>
      <c r="K1319" s="25">
        <v>1700</v>
      </c>
      <c r="L1319" s="25">
        <v>510</v>
      </c>
      <c r="M1319" s="27">
        <v>30</v>
      </c>
      <c r="N1319" s="25" t="s">
        <v>67</v>
      </c>
      <c r="O1319" s="25" t="s">
        <v>27</v>
      </c>
      <c r="P1319" s="25" t="s">
        <v>32</v>
      </c>
    </row>
    <row r="1320" spans="1:16" x14ac:dyDescent="0.3">
      <c r="A1320" s="25">
        <v>1319</v>
      </c>
      <c r="B1320" s="26">
        <v>45579</v>
      </c>
      <c r="C1320" s="25" t="s">
        <v>66</v>
      </c>
      <c r="D1320" s="25" t="s">
        <v>21</v>
      </c>
      <c r="E1320" s="25" t="s">
        <v>98</v>
      </c>
      <c r="F1320" s="25">
        <v>1</v>
      </c>
      <c r="G1320" s="25" t="s">
        <v>89</v>
      </c>
      <c r="H1320" s="25">
        <v>95</v>
      </c>
      <c r="I1320" s="25">
        <v>55</v>
      </c>
      <c r="J1320" s="25">
        <v>95</v>
      </c>
      <c r="K1320" s="25">
        <v>55</v>
      </c>
      <c r="L1320" s="25">
        <v>40</v>
      </c>
      <c r="M1320" s="27">
        <v>72.727272727272705</v>
      </c>
      <c r="N1320" s="25" t="s">
        <v>67</v>
      </c>
      <c r="O1320" s="25" t="s">
        <v>27</v>
      </c>
      <c r="P1320" s="25" t="s">
        <v>32</v>
      </c>
    </row>
    <row r="1321" spans="1:16" x14ac:dyDescent="0.3">
      <c r="A1321" s="25">
        <v>1320</v>
      </c>
      <c r="B1321" s="26">
        <v>45579</v>
      </c>
      <c r="C1321" s="25" t="s">
        <v>66</v>
      </c>
      <c r="D1321" s="25" t="s">
        <v>21</v>
      </c>
      <c r="E1321" s="25" t="s">
        <v>88</v>
      </c>
      <c r="F1321" s="25">
        <v>4</v>
      </c>
      <c r="G1321" s="25" t="s">
        <v>89</v>
      </c>
      <c r="H1321" s="25">
        <v>130</v>
      </c>
      <c r="I1321" s="25">
        <v>100</v>
      </c>
      <c r="J1321" s="25">
        <v>520</v>
      </c>
      <c r="K1321" s="25">
        <v>400</v>
      </c>
      <c r="L1321" s="25">
        <v>120</v>
      </c>
      <c r="M1321" s="27">
        <v>30</v>
      </c>
      <c r="N1321" s="25" t="s">
        <v>67</v>
      </c>
      <c r="O1321" s="25" t="s">
        <v>27</v>
      </c>
      <c r="P1321" s="25" t="s">
        <v>32</v>
      </c>
    </row>
    <row r="1322" spans="1:16" x14ac:dyDescent="0.3">
      <c r="A1322" s="25">
        <v>1321</v>
      </c>
      <c r="B1322" s="26">
        <v>45579</v>
      </c>
      <c r="C1322" s="25" t="s">
        <v>66</v>
      </c>
      <c r="D1322" s="25" t="s">
        <v>21</v>
      </c>
      <c r="E1322" s="25" t="s">
        <v>94</v>
      </c>
      <c r="F1322" s="25">
        <v>14</v>
      </c>
      <c r="G1322" s="25" t="s">
        <v>89</v>
      </c>
      <c r="H1322" s="25">
        <v>30</v>
      </c>
      <c r="I1322" s="25">
        <v>26</v>
      </c>
      <c r="J1322" s="25">
        <v>420</v>
      </c>
      <c r="K1322" s="25">
        <v>364</v>
      </c>
      <c r="L1322" s="25">
        <v>56</v>
      </c>
      <c r="M1322" s="27">
        <v>15.384615384615399</v>
      </c>
      <c r="N1322" s="25" t="s">
        <v>67</v>
      </c>
      <c r="O1322" s="25" t="s">
        <v>27</v>
      </c>
      <c r="P1322" s="25" t="s">
        <v>32</v>
      </c>
    </row>
    <row r="1323" spans="1:16" x14ac:dyDescent="0.3">
      <c r="A1323" s="25">
        <v>1322</v>
      </c>
      <c r="B1323" s="26">
        <v>45579</v>
      </c>
      <c r="C1323" s="25" t="s">
        <v>66</v>
      </c>
      <c r="D1323" s="25" t="s">
        <v>21</v>
      </c>
      <c r="E1323" s="25" t="s">
        <v>93</v>
      </c>
      <c r="F1323" s="25">
        <v>3</v>
      </c>
      <c r="G1323" s="25" t="s">
        <v>89</v>
      </c>
      <c r="H1323" s="25">
        <v>250</v>
      </c>
      <c r="I1323" s="25">
        <v>180</v>
      </c>
      <c r="J1323" s="25">
        <v>750</v>
      </c>
      <c r="K1323" s="25">
        <v>540</v>
      </c>
      <c r="L1323" s="25">
        <v>210</v>
      </c>
      <c r="M1323" s="27">
        <v>38.8888888888889</v>
      </c>
      <c r="N1323" s="25" t="s">
        <v>67</v>
      </c>
      <c r="O1323" s="25" t="s">
        <v>27</v>
      </c>
      <c r="P1323" s="25" t="s">
        <v>32</v>
      </c>
    </row>
    <row r="1324" spans="1:16" x14ac:dyDescent="0.3">
      <c r="A1324" s="25">
        <v>1323</v>
      </c>
      <c r="B1324" s="26">
        <v>45579</v>
      </c>
      <c r="C1324" s="25" t="s">
        <v>66</v>
      </c>
      <c r="D1324" s="25" t="s">
        <v>21</v>
      </c>
      <c r="E1324" s="25" t="s">
        <v>94</v>
      </c>
      <c r="F1324" s="25">
        <v>16</v>
      </c>
      <c r="G1324" s="25" t="s">
        <v>89</v>
      </c>
      <c r="H1324" s="25">
        <v>30</v>
      </c>
      <c r="I1324" s="25">
        <v>26</v>
      </c>
      <c r="J1324" s="25">
        <v>480</v>
      </c>
      <c r="K1324" s="25">
        <v>416</v>
      </c>
      <c r="L1324" s="25">
        <v>64</v>
      </c>
      <c r="M1324" s="27">
        <v>15.384615384615399</v>
      </c>
      <c r="N1324" s="25" t="s">
        <v>67</v>
      </c>
      <c r="O1324" s="25" t="s">
        <v>27</v>
      </c>
      <c r="P1324" s="25" t="s">
        <v>32</v>
      </c>
    </row>
    <row r="1325" spans="1:16" x14ac:dyDescent="0.3">
      <c r="A1325" s="25">
        <v>1324</v>
      </c>
      <c r="B1325" s="26">
        <v>45579</v>
      </c>
      <c r="C1325" s="25" t="s">
        <v>66</v>
      </c>
      <c r="D1325" s="25" t="s">
        <v>21</v>
      </c>
      <c r="E1325" s="25" t="s">
        <v>98</v>
      </c>
      <c r="F1325" s="25">
        <v>2</v>
      </c>
      <c r="G1325" s="25" t="s">
        <v>89</v>
      </c>
      <c r="H1325" s="25">
        <v>95</v>
      </c>
      <c r="I1325" s="25">
        <v>55</v>
      </c>
      <c r="J1325" s="25">
        <v>190</v>
      </c>
      <c r="K1325" s="25">
        <v>110</v>
      </c>
      <c r="L1325" s="25">
        <v>80</v>
      </c>
      <c r="M1325" s="27">
        <v>72.727272727272705</v>
      </c>
      <c r="N1325" s="25" t="s">
        <v>67</v>
      </c>
      <c r="O1325" s="25" t="s">
        <v>27</v>
      </c>
      <c r="P1325" s="25" t="s">
        <v>32</v>
      </c>
    </row>
    <row r="1326" spans="1:16" x14ac:dyDescent="0.3">
      <c r="A1326" s="25">
        <v>1325</v>
      </c>
      <c r="B1326" s="26">
        <v>45579</v>
      </c>
      <c r="C1326" s="25" t="s">
        <v>66</v>
      </c>
      <c r="D1326" s="25" t="s">
        <v>21</v>
      </c>
      <c r="E1326" s="25" t="s">
        <v>88</v>
      </c>
      <c r="F1326" s="25">
        <v>25</v>
      </c>
      <c r="G1326" s="25" t="s">
        <v>89</v>
      </c>
      <c r="H1326" s="25">
        <v>130</v>
      </c>
      <c r="I1326" s="25">
        <v>100</v>
      </c>
      <c r="J1326" s="25">
        <v>3250</v>
      </c>
      <c r="K1326" s="25">
        <v>2500</v>
      </c>
      <c r="L1326" s="25">
        <v>750</v>
      </c>
      <c r="M1326" s="27">
        <v>30</v>
      </c>
      <c r="N1326" s="25" t="s">
        <v>67</v>
      </c>
      <c r="O1326" s="25" t="s">
        <v>27</v>
      </c>
      <c r="P1326" s="25" t="s">
        <v>32</v>
      </c>
    </row>
    <row r="1327" spans="1:16" x14ac:dyDescent="0.3">
      <c r="A1327" s="25">
        <v>1326</v>
      </c>
      <c r="B1327" s="26">
        <v>45579</v>
      </c>
      <c r="C1327" s="25" t="s">
        <v>66</v>
      </c>
      <c r="D1327" s="25" t="s">
        <v>21</v>
      </c>
      <c r="E1327" s="25" t="s">
        <v>88</v>
      </c>
      <c r="F1327" s="25">
        <v>14</v>
      </c>
      <c r="G1327" s="25" t="s">
        <v>89</v>
      </c>
      <c r="H1327" s="25">
        <v>130</v>
      </c>
      <c r="I1327" s="25">
        <v>100</v>
      </c>
      <c r="J1327" s="25">
        <v>1820</v>
      </c>
      <c r="K1327" s="25">
        <v>1400</v>
      </c>
      <c r="L1327" s="25">
        <v>420</v>
      </c>
      <c r="M1327" s="27">
        <v>30</v>
      </c>
      <c r="N1327" s="25" t="s">
        <v>67</v>
      </c>
      <c r="O1327" s="25" t="s">
        <v>27</v>
      </c>
      <c r="P1327" s="25" t="s">
        <v>32</v>
      </c>
    </row>
    <row r="1328" spans="1:16" x14ac:dyDescent="0.3">
      <c r="A1328" s="25">
        <v>1327</v>
      </c>
      <c r="B1328" s="26">
        <v>45579</v>
      </c>
      <c r="C1328" s="25" t="s">
        <v>66</v>
      </c>
      <c r="D1328" s="25" t="s">
        <v>21</v>
      </c>
      <c r="E1328" s="25" t="s">
        <v>88</v>
      </c>
      <c r="F1328" s="25">
        <v>12</v>
      </c>
      <c r="G1328" s="25" t="s">
        <v>89</v>
      </c>
      <c r="H1328" s="25">
        <v>130</v>
      </c>
      <c r="I1328" s="25">
        <v>100</v>
      </c>
      <c r="J1328" s="25">
        <v>1560</v>
      </c>
      <c r="K1328" s="25">
        <v>1200</v>
      </c>
      <c r="L1328" s="25">
        <v>360</v>
      </c>
      <c r="M1328" s="27">
        <v>30</v>
      </c>
      <c r="N1328" s="25" t="s">
        <v>67</v>
      </c>
      <c r="O1328" s="25" t="s">
        <v>27</v>
      </c>
      <c r="P1328" s="25" t="s">
        <v>32</v>
      </c>
    </row>
    <row r="1329" spans="1:16" x14ac:dyDescent="0.3">
      <c r="A1329" s="25">
        <v>1328</v>
      </c>
      <c r="B1329" s="26">
        <v>45579</v>
      </c>
      <c r="C1329" s="25" t="s">
        <v>66</v>
      </c>
      <c r="D1329" s="25" t="s">
        <v>21</v>
      </c>
      <c r="E1329" s="25" t="s">
        <v>94</v>
      </c>
      <c r="F1329" s="25">
        <v>12</v>
      </c>
      <c r="G1329" s="25" t="s">
        <v>89</v>
      </c>
      <c r="H1329" s="25">
        <v>30</v>
      </c>
      <c r="I1329" s="25">
        <v>26</v>
      </c>
      <c r="J1329" s="25">
        <v>360</v>
      </c>
      <c r="K1329" s="25">
        <v>312</v>
      </c>
      <c r="L1329" s="25">
        <v>48</v>
      </c>
      <c r="M1329" s="27">
        <v>15.384615384615399</v>
      </c>
      <c r="N1329" s="25" t="s">
        <v>67</v>
      </c>
      <c r="O1329" s="25" t="s">
        <v>27</v>
      </c>
      <c r="P1329" s="25" t="s">
        <v>32</v>
      </c>
    </row>
    <row r="1330" spans="1:16" x14ac:dyDescent="0.3">
      <c r="A1330" s="25">
        <v>1329</v>
      </c>
      <c r="B1330" s="26">
        <v>45579</v>
      </c>
      <c r="C1330" s="25" t="s">
        <v>66</v>
      </c>
      <c r="D1330" s="25" t="s">
        <v>21</v>
      </c>
      <c r="E1330" s="25" t="s">
        <v>98</v>
      </c>
      <c r="F1330" s="25">
        <v>4</v>
      </c>
      <c r="G1330" s="25" t="s">
        <v>89</v>
      </c>
      <c r="H1330" s="25">
        <v>95</v>
      </c>
      <c r="I1330" s="25">
        <v>55</v>
      </c>
      <c r="J1330" s="25">
        <v>380</v>
      </c>
      <c r="K1330" s="25">
        <v>220</v>
      </c>
      <c r="L1330" s="25">
        <v>160</v>
      </c>
      <c r="M1330" s="27">
        <v>72.727272727272705</v>
      </c>
      <c r="N1330" s="25" t="s">
        <v>67</v>
      </c>
      <c r="O1330" s="25" t="s">
        <v>27</v>
      </c>
      <c r="P1330" s="25" t="s">
        <v>32</v>
      </c>
    </row>
    <row r="1331" spans="1:16" x14ac:dyDescent="0.3">
      <c r="A1331" s="25">
        <v>1330</v>
      </c>
      <c r="B1331" s="26">
        <v>45579</v>
      </c>
      <c r="C1331" s="25" t="s">
        <v>66</v>
      </c>
      <c r="D1331" s="25" t="s">
        <v>21</v>
      </c>
      <c r="E1331" s="25" t="s">
        <v>93</v>
      </c>
      <c r="F1331" s="25">
        <v>5</v>
      </c>
      <c r="G1331" s="25" t="s">
        <v>89</v>
      </c>
      <c r="H1331" s="25">
        <v>250</v>
      </c>
      <c r="I1331" s="25">
        <v>180</v>
      </c>
      <c r="J1331" s="25">
        <v>1250</v>
      </c>
      <c r="K1331" s="25">
        <v>900</v>
      </c>
      <c r="L1331" s="25">
        <v>350</v>
      </c>
      <c r="M1331" s="27">
        <v>38.8888888888889</v>
      </c>
      <c r="N1331" s="25" t="s">
        <v>67</v>
      </c>
      <c r="O1331" s="25" t="s">
        <v>27</v>
      </c>
      <c r="P1331" s="25" t="s">
        <v>32</v>
      </c>
    </row>
    <row r="1332" spans="1:16" x14ac:dyDescent="0.3">
      <c r="A1332" s="25">
        <v>1331</v>
      </c>
      <c r="B1332" s="26">
        <v>45579</v>
      </c>
      <c r="C1332" s="25" t="s">
        <v>66</v>
      </c>
      <c r="D1332" s="25" t="s">
        <v>21</v>
      </c>
      <c r="E1332" s="25" t="s">
        <v>88</v>
      </c>
      <c r="F1332" s="25">
        <v>8</v>
      </c>
      <c r="G1332" s="25" t="s">
        <v>89</v>
      </c>
      <c r="H1332" s="25">
        <v>130</v>
      </c>
      <c r="I1332" s="25">
        <v>100</v>
      </c>
      <c r="J1332" s="25">
        <v>1040</v>
      </c>
      <c r="K1332" s="25">
        <v>800</v>
      </c>
      <c r="L1332" s="25">
        <v>240</v>
      </c>
      <c r="M1332" s="27">
        <v>30</v>
      </c>
      <c r="N1332" s="25" t="s">
        <v>67</v>
      </c>
      <c r="O1332" s="25" t="s">
        <v>27</v>
      </c>
      <c r="P1332" s="25" t="s">
        <v>32</v>
      </c>
    </row>
    <row r="1333" spans="1:16" x14ac:dyDescent="0.3">
      <c r="A1333" s="25">
        <v>1332</v>
      </c>
      <c r="B1333" s="26">
        <v>45579</v>
      </c>
      <c r="C1333" s="25" t="s">
        <v>66</v>
      </c>
      <c r="D1333" s="25" t="s">
        <v>21</v>
      </c>
      <c r="E1333" s="25" t="s">
        <v>88</v>
      </c>
      <c r="F1333" s="25">
        <v>10</v>
      </c>
      <c r="G1333" s="25" t="s">
        <v>89</v>
      </c>
      <c r="H1333" s="25">
        <v>130</v>
      </c>
      <c r="I1333" s="25">
        <v>100</v>
      </c>
      <c r="J1333" s="25">
        <v>1300</v>
      </c>
      <c r="K1333" s="25">
        <v>1000</v>
      </c>
      <c r="L1333" s="25">
        <v>300</v>
      </c>
      <c r="M1333" s="27">
        <v>30</v>
      </c>
      <c r="N1333" s="25" t="s">
        <v>67</v>
      </c>
      <c r="O1333" s="25" t="s">
        <v>27</v>
      </c>
      <c r="P1333" s="25" t="s">
        <v>32</v>
      </c>
    </row>
    <row r="1334" spans="1:16" x14ac:dyDescent="0.3">
      <c r="A1334" s="25">
        <v>1333</v>
      </c>
      <c r="B1334" s="26">
        <v>45579</v>
      </c>
      <c r="C1334" s="25" t="s">
        <v>66</v>
      </c>
      <c r="D1334" s="25" t="s">
        <v>21</v>
      </c>
      <c r="E1334" s="25" t="s">
        <v>88</v>
      </c>
      <c r="F1334" s="25">
        <v>10</v>
      </c>
      <c r="G1334" s="25" t="s">
        <v>89</v>
      </c>
      <c r="H1334" s="25">
        <v>130</v>
      </c>
      <c r="I1334" s="25">
        <v>100</v>
      </c>
      <c r="J1334" s="25">
        <v>1300</v>
      </c>
      <c r="K1334" s="25">
        <v>1000</v>
      </c>
      <c r="L1334" s="25">
        <v>300</v>
      </c>
      <c r="M1334" s="27">
        <v>30</v>
      </c>
      <c r="N1334" s="25" t="s">
        <v>67</v>
      </c>
      <c r="O1334" s="25" t="s">
        <v>27</v>
      </c>
      <c r="P1334" s="25" t="s">
        <v>32</v>
      </c>
    </row>
    <row r="1335" spans="1:16" x14ac:dyDescent="0.3">
      <c r="A1335" s="25">
        <v>1334</v>
      </c>
      <c r="B1335" s="26">
        <v>45579</v>
      </c>
      <c r="C1335" s="25" t="s">
        <v>66</v>
      </c>
      <c r="D1335" s="25" t="s">
        <v>21</v>
      </c>
      <c r="E1335" s="25" t="s">
        <v>88</v>
      </c>
      <c r="F1335" s="25">
        <v>15</v>
      </c>
      <c r="G1335" s="25" t="s">
        <v>89</v>
      </c>
      <c r="H1335" s="25">
        <v>130</v>
      </c>
      <c r="I1335" s="25">
        <v>100</v>
      </c>
      <c r="J1335" s="25">
        <v>1950</v>
      </c>
      <c r="K1335" s="25">
        <v>1500</v>
      </c>
      <c r="L1335" s="25">
        <v>450</v>
      </c>
      <c r="M1335" s="27">
        <v>30</v>
      </c>
      <c r="N1335" s="25" t="s">
        <v>67</v>
      </c>
      <c r="O1335" s="25" t="s">
        <v>27</v>
      </c>
      <c r="P1335" s="25" t="s">
        <v>32</v>
      </c>
    </row>
    <row r="1336" spans="1:16" x14ac:dyDescent="0.3">
      <c r="A1336" s="25">
        <v>1335</v>
      </c>
      <c r="B1336" s="26">
        <v>45579</v>
      </c>
      <c r="C1336" s="25" t="s">
        <v>66</v>
      </c>
      <c r="D1336" s="25" t="s">
        <v>21</v>
      </c>
      <c r="E1336" s="25" t="s">
        <v>94</v>
      </c>
      <c r="F1336" s="25">
        <v>18</v>
      </c>
      <c r="G1336" s="25" t="s">
        <v>89</v>
      </c>
      <c r="H1336" s="25">
        <v>30</v>
      </c>
      <c r="I1336" s="25">
        <v>26</v>
      </c>
      <c r="J1336" s="25">
        <v>540</v>
      </c>
      <c r="K1336" s="25">
        <v>468</v>
      </c>
      <c r="L1336" s="25">
        <v>72</v>
      </c>
      <c r="M1336" s="27">
        <v>15.384615384615399</v>
      </c>
      <c r="N1336" s="25" t="s">
        <v>67</v>
      </c>
      <c r="O1336" s="25" t="s">
        <v>27</v>
      </c>
      <c r="P1336" s="25" t="s">
        <v>32</v>
      </c>
    </row>
    <row r="1337" spans="1:16" x14ac:dyDescent="0.3">
      <c r="A1337" s="25">
        <v>1336</v>
      </c>
      <c r="B1337" s="26">
        <v>45579</v>
      </c>
      <c r="C1337" s="25" t="s">
        <v>66</v>
      </c>
      <c r="D1337" s="25" t="s">
        <v>21</v>
      </c>
      <c r="E1337" s="25" t="s">
        <v>93</v>
      </c>
      <c r="F1337" s="25">
        <v>4</v>
      </c>
      <c r="G1337" s="25" t="s">
        <v>89</v>
      </c>
      <c r="H1337" s="25">
        <v>250</v>
      </c>
      <c r="I1337" s="25">
        <v>180</v>
      </c>
      <c r="J1337" s="25">
        <v>1000</v>
      </c>
      <c r="K1337" s="25">
        <v>720</v>
      </c>
      <c r="L1337" s="25">
        <v>280</v>
      </c>
      <c r="M1337" s="27">
        <v>38.8888888888889</v>
      </c>
      <c r="N1337" s="25" t="s">
        <v>67</v>
      </c>
      <c r="O1337" s="25" t="s">
        <v>27</v>
      </c>
      <c r="P1337" s="25" t="s">
        <v>32</v>
      </c>
    </row>
    <row r="1338" spans="1:16" x14ac:dyDescent="0.3">
      <c r="A1338" s="25">
        <v>1337</v>
      </c>
      <c r="B1338" s="26">
        <v>45579</v>
      </c>
      <c r="C1338" s="25" t="s">
        <v>66</v>
      </c>
      <c r="D1338" s="25" t="s">
        <v>21</v>
      </c>
      <c r="E1338" s="25" t="s">
        <v>98</v>
      </c>
      <c r="F1338" s="25">
        <v>4</v>
      </c>
      <c r="G1338" s="25" t="s">
        <v>89</v>
      </c>
      <c r="H1338" s="25">
        <v>95</v>
      </c>
      <c r="I1338" s="25">
        <v>55</v>
      </c>
      <c r="J1338" s="25">
        <v>380</v>
      </c>
      <c r="K1338" s="25">
        <v>220</v>
      </c>
      <c r="L1338" s="25">
        <v>160</v>
      </c>
      <c r="M1338" s="27">
        <v>72.727272727272705</v>
      </c>
      <c r="N1338" s="25" t="s">
        <v>67</v>
      </c>
      <c r="O1338" s="25" t="s">
        <v>27</v>
      </c>
      <c r="P1338" s="25" t="s">
        <v>32</v>
      </c>
    </row>
    <row r="1339" spans="1:16" x14ac:dyDescent="0.3">
      <c r="A1339" s="25">
        <v>1338</v>
      </c>
      <c r="B1339" s="26">
        <v>45579</v>
      </c>
      <c r="C1339" s="25" t="s">
        <v>66</v>
      </c>
      <c r="D1339" s="25" t="s">
        <v>21</v>
      </c>
      <c r="E1339" s="25" t="s">
        <v>88</v>
      </c>
      <c r="F1339" s="25">
        <v>14</v>
      </c>
      <c r="G1339" s="25" t="s">
        <v>89</v>
      </c>
      <c r="H1339" s="25">
        <v>130</v>
      </c>
      <c r="I1339" s="25">
        <v>100</v>
      </c>
      <c r="J1339" s="25">
        <v>1820</v>
      </c>
      <c r="K1339" s="25">
        <v>1400</v>
      </c>
      <c r="L1339" s="25">
        <v>420</v>
      </c>
      <c r="M1339" s="27">
        <v>30</v>
      </c>
      <c r="N1339" s="25" t="s">
        <v>67</v>
      </c>
      <c r="O1339" s="25" t="s">
        <v>27</v>
      </c>
      <c r="P1339" s="25" t="s">
        <v>32</v>
      </c>
    </row>
    <row r="1340" spans="1:16" x14ac:dyDescent="0.3">
      <c r="A1340" s="25">
        <v>1339</v>
      </c>
      <c r="B1340" s="26">
        <v>45579</v>
      </c>
      <c r="C1340" s="25" t="s">
        <v>66</v>
      </c>
      <c r="D1340" s="25" t="s">
        <v>21</v>
      </c>
      <c r="E1340" s="25" t="s">
        <v>88</v>
      </c>
      <c r="F1340" s="25">
        <v>5</v>
      </c>
      <c r="G1340" s="25" t="s">
        <v>89</v>
      </c>
      <c r="H1340" s="25">
        <v>130</v>
      </c>
      <c r="I1340" s="25">
        <v>100</v>
      </c>
      <c r="J1340" s="25">
        <v>650</v>
      </c>
      <c r="K1340" s="25">
        <v>500</v>
      </c>
      <c r="L1340" s="25">
        <v>150</v>
      </c>
      <c r="M1340" s="27">
        <v>30</v>
      </c>
      <c r="N1340" s="25" t="s">
        <v>67</v>
      </c>
      <c r="O1340" s="25" t="s">
        <v>27</v>
      </c>
      <c r="P1340" s="25" t="s">
        <v>32</v>
      </c>
    </row>
    <row r="1341" spans="1:16" x14ac:dyDescent="0.3">
      <c r="A1341" s="25">
        <v>1340</v>
      </c>
      <c r="B1341" s="26">
        <v>45579</v>
      </c>
      <c r="C1341" s="25" t="s">
        <v>66</v>
      </c>
      <c r="D1341" s="25" t="s">
        <v>21</v>
      </c>
      <c r="E1341" s="25" t="s">
        <v>88</v>
      </c>
      <c r="F1341" s="25">
        <v>8</v>
      </c>
      <c r="G1341" s="25" t="s">
        <v>89</v>
      </c>
      <c r="H1341" s="25">
        <v>130</v>
      </c>
      <c r="I1341" s="25">
        <v>100</v>
      </c>
      <c r="J1341" s="25">
        <v>1040</v>
      </c>
      <c r="K1341" s="25">
        <v>800</v>
      </c>
      <c r="L1341" s="25">
        <v>240</v>
      </c>
      <c r="M1341" s="27">
        <v>30</v>
      </c>
      <c r="N1341" s="25" t="s">
        <v>67</v>
      </c>
      <c r="O1341" s="25" t="s">
        <v>27</v>
      </c>
      <c r="P1341" s="25" t="s">
        <v>32</v>
      </c>
    </row>
    <row r="1342" spans="1:16" x14ac:dyDescent="0.3">
      <c r="A1342" s="25">
        <v>1341</v>
      </c>
      <c r="B1342" s="26">
        <v>45579</v>
      </c>
      <c r="C1342" s="25" t="s">
        <v>66</v>
      </c>
      <c r="D1342" s="25" t="s">
        <v>21</v>
      </c>
      <c r="E1342" s="25" t="s">
        <v>88</v>
      </c>
      <c r="F1342" s="25">
        <v>10</v>
      </c>
      <c r="G1342" s="25" t="s">
        <v>89</v>
      </c>
      <c r="H1342" s="25">
        <v>130</v>
      </c>
      <c r="I1342" s="25">
        <v>100</v>
      </c>
      <c r="J1342" s="25">
        <v>1300</v>
      </c>
      <c r="K1342" s="25">
        <v>1000</v>
      </c>
      <c r="L1342" s="25">
        <v>300</v>
      </c>
      <c r="M1342" s="27">
        <v>30</v>
      </c>
      <c r="N1342" s="25" t="s">
        <v>67</v>
      </c>
      <c r="O1342" s="25" t="s">
        <v>27</v>
      </c>
      <c r="P1342" s="25" t="s">
        <v>32</v>
      </c>
    </row>
    <row r="1343" spans="1:16" x14ac:dyDescent="0.3">
      <c r="A1343" s="25">
        <v>1342</v>
      </c>
      <c r="B1343" s="26">
        <v>45579</v>
      </c>
      <c r="C1343" s="25" t="s">
        <v>66</v>
      </c>
      <c r="D1343" s="25" t="s">
        <v>21</v>
      </c>
      <c r="E1343" s="25" t="s">
        <v>94</v>
      </c>
      <c r="F1343" s="25">
        <v>14</v>
      </c>
      <c r="G1343" s="25" t="s">
        <v>89</v>
      </c>
      <c r="H1343" s="25">
        <v>30</v>
      </c>
      <c r="I1343" s="25">
        <v>26</v>
      </c>
      <c r="J1343" s="25">
        <v>420</v>
      </c>
      <c r="K1343" s="25">
        <v>364</v>
      </c>
      <c r="L1343" s="25">
        <v>56</v>
      </c>
      <c r="M1343" s="27">
        <v>15.384615384615399</v>
      </c>
      <c r="N1343" s="25" t="s">
        <v>67</v>
      </c>
      <c r="O1343" s="25" t="s">
        <v>27</v>
      </c>
      <c r="P1343" s="25" t="s">
        <v>32</v>
      </c>
    </row>
    <row r="1344" spans="1:16" x14ac:dyDescent="0.3">
      <c r="A1344" s="25">
        <v>1343</v>
      </c>
      <c r="B1344" s="26">
        <v>45579</v>
      </c>
      <c r="C1344" s="25" t="s">
        <v>66</v>
      </c>
      <c r="D1344" s="25" t="s">
        <v>21</v>
      </c>
      <c r="E1344" s="25" t="s">
        <v>88</v>
      </c>
      <c r="F1344" s="25">
        <v>10</v>
      </c>
      <c r="G1344" s="25" t="s">
        <v>89</v>
      </c>
      <c r="H1344" s="25">
        <v>130</v>
      </c>
      <c r="I1344" s="25">
        <v>100</v>
      </c>
      <c r="J1344" s="25">
        <v>1300</v>
      </c>
      <c r="K1344" s="25">
        <v>1000</v>
      </c>
      <c r="L1344" s="25">
        <v>300</v>
      </c>
      <c r="M1344" s="27">
        <v>30</v>
      </c>
      <c r="N1344" s="25" t="s">
        <v>67</v>
      </c>
      <c r="O1344" s="25" t="s">
        <v>27</v>
      </c>
      <c r="P1344" s="25" t="s">
        <v>32</v>
      </c>
    </row>
    <row r="1345" spans="1:16" x14ac:dyDescent="0.3">
      <c r="A1345" s="25">
        <v>1344</v>
      </c>
      <c r="B1345" s="26">
        <v>45580</v>
      </c>
      <c r="C1345" s="25" t="s">
        <v>66</v>
      </c>
      <c r="D1345" s="25" t="s">
        <v>22</v>
      </c>
      <c r="E1345" s="25" t="s">
        <v>90</v>
      </c>
      <c r="F1345" s="25">
        <v>2</v>
      </c>
      <c r="G1345" s="25" t="s">
        <v>91</v>
      </c>
      <c r="H1345" s="25">
        <v>280</v>
      </c>
      <c r="I1345" s="25">
        <v>240</v>
      </c>
      <c r="J1345" s="25">
        <v>560</v>
      </c>
      <c r="K1345" s="25">
        <v>480</v>
      </c>
      <c r="L1345" s="25">
        <v>80</v>
      </c>
      <c r="M1345" s="27">
        <v>16.6666666666667</v>
      </c>
      <c r="N1345" s="25" t="s">
        <v>67</v>
      </c>
      <c r="O1345" s="25" t="s">
        <v>28</v>
      </c>
      <c r="P1345" s="25" t="s">
        <v>32</v>
      </c>
    </row>
    <row r="1346" spans="1:16" x14ac:dyDescent="0.3">
      <c r="A1346" s="25">
        <v>1345</v>
      </c>
      <c r="B1346" s="26">
        <v>45580</v>
      </c>
      <c r="C1346" s="25" t="s">
        <v>66</v>
      </c>
      <c r="D1346" s="25" t="s">
        <v>22</v>
      </c>
      <c r="E1346" s="25" t="s">
        <v>99</v>
      </c>
      <c r="F1346" s="25">
        <v>2</v>
      </c>
      <c r="G1346" s="25" t="s">
        <v>100</v>
      </c>
      <c r="H1346" s="25">
        <v>200</v>
      </c>
      <c r="I1346" s="25">
        <v>160</v>
      </c>
      <c r="J1346" s="25">
        <v>400</v>
      </c>
      <c r="K1346" s="25">
        <v>320</v>
      </c>
      <c r="L1346" s="25">
        <v>80</v>
      </c>
      <c r="M1346" s="27">
        <v>25</v>
      </c>
      <c r="N1346" s="25" t="s">
        <v>67</v>
      </c>
      <c r="O1346" s="25" t="s">
        <v>28</v>
      </c>
      <c r="P1346" s="25" t="s">
        <v>32</v>
      </c>
    </row>
    <row r="1347" spans="1:16" x14ac:dyDescent="0.3">
      <c r="A1347" s="25">
        <v>1346</v>
      </c>
      <c r="B1347" s="26">
        <v>45580</v>
      </c>
      <c r="C1347" s="25" t="s">
        <v>66</v>
      </c>
      <c r="D1347" s="25" t="s">
        <v>21</v>
      </c>
      <c r="E1347" s="25" t="s">
        <v>88</v>
      </c>
      <c r="F1347" s="25">
        <v>5</v>
      </c>
      <c r="G1347" s="25" t="s">
        <v>89</v>
      </c>
      <c r="H1347" s="25">
        <v>130</v>
      </c>
      <c r="I1347" s="25">
        <v>100</v>
      </c>
      <c r="J1347" s="25">
        <v>650</v>
      </c>
      <c r="K1347" s="25">
        <v>500</v>
      </c>
      <c r="L1347" s="25">
        <v>150</v>
      </c>
      <c r="M1347" s="27">
        <v>30</v>
      </c>
      <c r="N1347" s="25" t="s">
        <v>67</v>
      </c>
      <c r="O1347" s="25" t="s">
        <v>27</v>
      </c>
      <c r="P1347" s="25" t="s">
        <v>33</v>
      </c>
    </row>
    <row r="1348" spans="1:16" x14ac:dyDescent="0.3">
      <c r="A1348" s="25">
        <v>1347</v>
      </c>
      <c r="B1348" s="26">
        <v>45580</v>
      </c>
      <c r="C1348" s="25" t="s">
        <v>66</v>
      </c>
      <c r="D1348" s="25" t="s">
        <v>21</v>
      </c>
      <c r="E1348" s="25" t="s">
        <v>98</v>
      </c>
      <c r="F1348" s="25">
        <v>3</v>
      </c>
      <c r="G1348" s="25" t="s">
        <v>89</v>
      </c>
      <c r="H1348" s="25">
        <v>95</v>
      </c>
      <c r="I1348" s="25">
        <v>55</v>
      </c>
      <c r="J1348" s="25">
        <v>285</v>
      </c>
      <c r="K1348" s="25">
        <v>165</v>
      </c>
      <c r="L1348" s="25">
        <v>120</v>
      </c>
      <c r="M1348" s="27">
        <v>72.727272727272705</v>
      </c>
      <c r="N1348" s="25" t="s">
        <v>67</v>
      </c>
      <c r="O1348" s="25" t="s">
        <v>27</v>
      </c>
      <c r="P1348" s="25" t="s">
        <v>33</v>
      </c>
    </row>
    <row r="1349" spans="1:16" x14ac:dyDescent="0.3">
      <c r="A1349" s="25">
        <v>1348</v>
      </c>
      <c r="B1349" s="26">
        <v>45580</v>
      </c>
      <c r="C1349" s="25" t="s">
        <v>66</v>
      </c>
      <c r="D1349" s="25" t="s">
        <v>22</v>
      </c>
      <c r="E1349" s="25" t="s">
        <v>90</v>
      </c>
      <c r="F1349" s="25">
        <v>2</v>
      </c>
      <c r="G1349" s="25" t="s">
        <v>91</v>
      </c>
      <c r="H1349" s="25">
        <v>280</v>
      </c>
      <c r="I1349" s="25">
        <v>240</v>
      </c>
      <c r="J1349" s="25">
        <v>560</v>
      </c>
      <c r="K1349" s="25">
        <v>480</v>
      </c>
      <c r="L1349" s="25">
        <v>80</v>
      </c>
      <c r="M1349" s="27">
        <v>16.6666666666667</v>
      </c>
      <c r="N1349" s="25" t="s">
        <v>67</v>
      </c>
      <c r="O1349" s="25" t="s">
        <v>28</v>
      </c>
      <c r="P1349" s="25" t="s">
        <v>33</v>
      </c>
    </row>
    <row r="1350" spans="1:16" x14ac:dyDescent="0.3">
      <c r="A1350" s="25">
        <v>1349</v>
      </c>
      <c r="B1350" s="26">
        <v>45580</v>
      </c>
      <c r="C1350" s="25" t="s">
        <v>66</v>
      </c>
      <c r="D1350" s="25" t="s">
        <v>22</v>
      </c>
      <c r="E1350" s="25" t="s">
        <v>99</v>
      </c>
      <c r="F1350" s="25">
        <v>2</v>
      </c>
      <c r="G1350" s="25" t="s">
        <v>100</v>
      </c>
      <c r="H1350" s="25">
        <v>200</v>
      </c>
      <c r="I1350" s="25">
        <v>160</v>
      </c>
      <c r="J1350" s="25">
        <v>400</v>
      </c>
      <c r="K1350" s="25">
        <v>320</v>
      </c>
      <c r="L1350" s="25">
        <v>80</v>
      </c>
      <c r="M1350" s="27">
        <v>25</v>
      </c>
      <c r="N1350" s="25" t="s">
        <v>67</v>
      </c>
      <c r="O1350" s="25" t="s">
        <v>28</v>
      </c>
      <c r="P1350" s="25" t="s">
        <v>33</v>
      </c>
    </row>
    <row r="1351" spans="1:16" x14ac:dyDescent="0.3">
      <c r="A1351" s="25">
        <v>1350</v>
      </c>
      <c r="B1351" s="26">
        <v>45580</v>
      </c>
      <c r="C1351" s="25" t="s">
        <v>66</v>
      </c>
      <c r="D1351" s="25" t="s">
        <v>21</v>
      </c>
      <c r="E1351" s="25" t="s">
        <v>88</v>
      </c>
      <c r="F1351" s="25">
        <v>5</v>
      </c>
      <c r="G1351" s="25" t="s">
        <v>89</v>
      </c>
      <c r="H1351" s="25">
        <v>130</v>
      </c>
      <c r="I1351" s="25">
        <v>100</v>
      </c>
      <c r="J1351" s="25">
        <v>650</v>
      </c>
      <c r="K1351" s="25">
        <v>500</v>
      </c>
      <c r="L1351" s="25">
        <v>150</v>
      </c>
      <c r="M1351" s="27">
        <v>30</v>
      </c>
      <c r="N1351" s="25" t="s">
        <v>67</v>
      </c>
      <c r="O1351" s="25" t="s">
        <v>27</v>
      </c>
      <c r="P1351" s="25" t="s">
        <v>32</v>
      </c>
    </row>
    <row r="1352" spans="1:16" x14ac:dyDescent="0.3">
      <c r="A1352" s="25">
        <v>1351</v>
      </c>
      <c r="B1352" s="26">
        <v>45580</v>
      </c>
      <c r="C1352" s="25" t="s">
        <v>66</v>
      </c>
      <c r="D1352" s="25" t="s">
        <v>21</v>
      </c>
      <c r="E1352" s="25" t="s">
        <v>93</v>
      </c>
      <c r="F1352" s="25">
        <v>1</v>
      </c>
      <c r="G1352" s="25" t="s">
        <v>89</v>
      </c>
      <c r="H1352" s="25">
        <v>250</v>
      </c>
      <c r="I1352" s="25">
        <v>180</v>
      </c>
      <c r="J1352" s="25">
        <v>250</v>
      </c>
      <c r="K1352" s="25">
        <v>180</v>
      </c>
      <c r="L1352" s="25">
        <v>70</v>
      </c>
      <c r="M1352" s="27">
        <v>38.8888888888889</v>
      </c>
      <c r="N1352" s="25" t="s">
        <v>67</v>
      </c>
      <c r="O1352" s="25" t="s">
        <v>27</v>
      </c>
      <c r="P1352" s="25" t="s">
        <v>32</v>
      </c>
    </row>
    <row r="1353" spans="1:16" x14ac:dyDescent="0.3">
      <c r="A1353" s="25">
        <v>1352</v>
      </c>
      <c r="B1353" s="26">
        <v>45580</v>
      </c>
      <c r="C1353" s="25" t="s">
        <v>66</v>
      </c>
      <c r="D1353" s="25" t="s">
        <v>21</v>
      </c>
      <c r="E1353" s="25" t="s">
        <v>88</v>
      </c>
      <c r="F1353" s="25">
        <v>14</v>
      </c>
      <c r="G1353" s="25" t="s">
        <v>89</v>
      </c>
      <c r="H1353" s="25">
        <v>130</v>
      </c>
      <c r="I1353" s="25">
        <v>100</v>
      </c>
      <c r="J1353" s="25">
        <v>1820</v>
      </c>
      <c r="K1353" s="25">
        <v>1400</v>
      </c>
      <c r="L1353" s="25">
        <v>420</v>
      </c>
      <c r="M1353" s="27">
        <v>30</v>
      </c>
      <c r="N1353" s="25" t="s">
        <v>67</v>
      </c>
      <c r="O1353" s="25" t="s">
        <v>27</v>
      </c>
      <c r="P1353" s="25" t="s">
        <v>32</v>
      </c>
    </row>
    <row r="1354" spans="1:16" x14ac:dyDescent="0.3">
      <c r="A1354" s="25">
        <v>1353</v>
      </c>
      <c r="B1354" s="26">
        <v>45580</v>
      </c>
      <c r="C1354" s="25" t="s">
        <v>66</v>
      </c>
      <c r="D1354" s="25" t="s">
        <v>21</v>
      </c>
      <c r="E1354" s="25" t="s">
        <v>88</v>
      </c>
      <c r="F1354" s="25">
        <v>10</v>
      </c>
      <c r="G1354" s="25" t="s">
        <v>89</v>
      </c>
      <c r="H1354" s="25">
        <v>130</v>
      </c>
      <c r="I1354" s="25">
        <v>100</v>
      </c>
      <c r="J1354" s="25">
        <v>1300</v>
      </c>
      <c r="K1354" s="25">
        <v>1000</v>
      </c>
      <c r="L1354" s="25">
        <v>300</v>
      </c>
      <c r="M1354" s="27">
        <v>30</v>
      </c>
      <c r="N1354" s="25" t="s">
        <v>67</v>
      </c>
      <c r="O1354" s="25" t="s">
        <v>27</v>
      </c>
      <c r="P1354" s="25" t="s">
        <v>32</v>
      </c>
    </row>
    <row r="1355" spans="1:16" x14ac:dyDescent="0.3">
      <c r="A1355" s="25">
        <v>1354</v>
      </c>
      <c r="B1355" s="26">
        <v>45580</v>
      </c>
      <c r="C1355" s="25" t="s">
        <v>66</v>
      </c>
      <c r="D1355" s="25" t="s">
        <v>21</v>
      </c>
      <c r="E1355" s="25" t="s">
        <v>88</v>
      </c>
      <c r="F1355" s="25">
        <v>8</v>
      </c>
      <c r="G1355" s="25" t="s">
        <v>89</v>
      </c>
      <c r="H1355" s="25">
        <v>130</v>
      </c>
      <c r="I1355" s="25">
        <v>100</v>
      </c>
      <c r="J1355" s="25">
        <v>1040</v>
      </c>
      <c r="K1355" s="25">
        <v>800</v>
      </c>
      <c r="L1355" s="25">
        <v>240</v>
      </c>
      <c r="M1355" s="27">
        <v>30</v>
      </c>
      <c r="N1355" s="25" t="s">
        <v>67</v>
      </c>
      <c r="O1355" s="25" t="s">
        <v>27</v>
      </c>
      <c r="P1355" s="25" t="s">
        <v>32</v>
      </c>
    </row>
    <row r="1356" spans="1:16" x14ac:dyDescent="0.3">
      <c r="A1356" s="25">
        <v>1355</v>
      </c>
      <c r="B1356" s="26">
        <v>45580</v>
      </c>
      <c r="C1356" s="25" t="s">
        <v>66</v>
      </c>
      <c r="D1356" s="25" t="s">
        <v>21</v>
      </c>
      <c r="E1356" s="25" t="s">
        <v>98</v>
      </c>
      <c r="F1356" s="25">
        <v>2</v>
      </c>
      <c r="G1356" s="25" t="s">
        <v>89</v>
      </c>
      <c r="H1356" s="25">
        <v>95</v>
      </c>
      <c r="I1356" s="25">
        <v>55</v>
      </c>
      <c r="J1356" s="25">
        <v>190</v>
      </c>
      <c r="K1356" s="25">
        <v>110</v>
      </c>
      <c r="L1356" s="25">
        <v>80</v>
      </c>
      <c r="M1356" s="27">
        <v>72.727272727272705</v>
      </c>
      <c r="N1356" s="25" t="s">
        <v>67</v>
      </c>
      <c r="O1356" s="25" t="s">
        <v>27</v>
      </c>
      <c r="P1356" s="25" t="s">
        <v>32</v>
      </c>
    </row>
    <row r="1357" spans="1:16" x14ac:dyDescent="0.3">
      <c r="A1357" s="25">
        <v>1356</v>
      </c>
      <c r="B1357" s="26">
        <v>45580</v>
      </c>
      <c r="C1357" s="25" t="s">
        <v>66</v>
      </c>
      <c r="D1357" s="25" t="s">
        <v>21</v>
      </c>
      <c r="E1357" s="25" t="s">
        <v>88</v>
      </c>
      <c r="F1357" s="25">
        <v>15</v>
      </c>
      <c r="G1357" s="25" t="s">
        <v>89</v>
      </c>
      <c r="H1357" s="25">
        <v>130</v>
      </c>
      <c r="I1357" s="25">
        <v>100</v>
      </c>
      <c r="J1357" s="25">
        <v>1950</v>
      </c>
      <c r="K1357" s="25">
        <v>1500</v>
      </c>
      <c r="L1357" s="25">
        <v>450</v>
      </c>
      <c r="M1357" s="27">
        <v>30</v>
      </c>
      <c r="N1357" s="25" t="s">
        <v>67</v>
      </c>
      <c r="O1357" s="25" t="s">
        <v>27</v>
      </c>
      <c r="P1357" s="25" t="s">
        <v>32</v>
      </c>
    </row>
    <row r="1358" spans="1:16" x14ac:dyDescent="0.3">
      <c r="A1358" s="25">
        <v>1357</v>
      </c>
      <c r="B1358" s="26">
        <v>45580</v>
      </c>
      <c r="C1358" s="25" t="s">
        <v>66</v>
      </c>
      <c r="D1358" s="25" t="s">
        <v>22</v>
      </c>
      <c r="E1358" s="25" t="s">
        <v>96</v>
      </c>
      <c r="F1358" s="25">
        <v>2</v>
      </c>
      <c r="G1358" s="25" t="s">
        <v>97</v>
      </c>
      <c r="H1358" s="25">
        <v>300</v>
      </c>
      <c r="I1358" s="25">
        <v>265</v>
      </c>
      <c r="J1358" s="25">
        <v>600</v>
      </c>
      <c r="K1358" s="25">
        <v>530</v>
      </c>
      <c r="L1358" s="25">
        <v>70</v>
      </c>
      <c r="M1358" s="27">
        <v>13.207547169811299</v>
      </c>
      <c r="N1358" s="25" t="s">
        <v>67</v>
      </c>
      <c r="O1358" s="25" t="s">
        <v>28</v>
      </c>
      <c r="P1358" s="25" t="s">
        <v>32</v>
      </c>
    </row>
    <row r="1359" spans="1:16" x14ac:dyDescent="0.3">
      <c r="A1359" s="25">
        <v>1358</v>
      </c>
      <c r="B1359" s="26">
        <v>45580</v>
      </c>
      <c r="C1359" s="25" t="s">
        <v>66</v>
      </c>
      <c r="D1359" s="25" t="s">
        <v>21</v>
      </c>
      <c r="E1359" s="25" t="s">
        <v>88</v>
      </c>
      <c r="F1359" s="25">
        <v>4</v>
      </c>
      <c r="G1359" s="25" t="s">
        <v>89</v>
      </c>
      <c r="H1359" s="25">
        <v>130</v>
      </c>
      <c r="I1359" s="25">
        <v>100</v>
      </c>
      <c r="J1359" s="25">
        <v>520</v>
      </c>
      <c r="K1359" s="25">
        <v>400</v>
      </c>
      <c r="L1359" s="25">
        <v>120</v>
      </c>
      <c r="M1359" s="27">
        <v>30</v>
      </c>
      <c r="N1359" s="25" t="s">
        <v>67</v>
      </c>
      <c r="O1359" s="25" t="s">
        <v>27</v>
      </c>
      <c r="P1359" s="25" t="s">
        <v>32</v>
      </c>
    </row>
    <row r="1360" spans="1:16" x14ac:dyDescent="0.3">
      <c r="A1360" s="25">
        <v>1359</v>
      </c>
      <c r="B1360" s="26">
        <v>45580</v>
      </c>
      <c r="C1360" s="25" t="s">
        <v>66</v>
      </c>
      <c r="D1360" s="25" t="s">
        <v>21</v>
      </c>
      <c r="E1360" s="25" t="s">
        <v>94</v>
      </c>
      <c r="F1360" s="25">
        <v>15</v>
      </c>
      <c r="G1360" s="25" t="s">
        <v>89</v>
      </c>
      <c r="H1360" s="25">
        <v>30</v>
      </c>
      <c r="I1360" s="25">
        <v>26</v>
      </c>
      <c r="J1360" s="25">
        <v>450</v>
      </c>
      <c r="K1360" s="25">
        <v>390</v>
      </c>
      <c r="L1360" s="25">
        <v>60</v>
      </c>
      <c r="M1360" s="27">
        <v>15.384615384615399</v>
      </c>
      <c r="N1360" s="25" t="s">
        <v>67</v>
      </c>
      <c r="O1360" s="25" t="s">
        <v>27</v>
      </c>
      <c r="P1360" s="25" t="s">
        <v>32</v>
      </c>
    </row>
    <row r="1361" spans="1:16" x14ac:dyDescent="0.3">
      <c r="A1361" s="25">
        <v>1360</v>
      </c>
      <c r="B1361" s="26">
        <v>45580</v>
      </c>
      <c r="C1361" s="25" t="s">
        <v>66</v>
      </c>
      <c r="D1361" s="25" t="s">
        <v>21</v>
      </c>
      <c r="E1361" s="25" t="s">
        <v>93</v>
      </c>
      <c r="F1361" s="25">
        <v>5</v>
      </c>
      <c r="G1361" s="25" t="s">
        <v>89</v>
      </c>
      <c r="H1361" s="25">
        <v>250</v>
      </c>
      <c r="I1361" s="25">
        <v>180</v>
      </c>
      <c r="J1361" s="25">
        <v>1250</v>
      </c>
      <c r="K1361" s="25">
        <v>900</v>
      </c>
      <c r="L1361" s="25">
        <v>350</v>
      </c>
      <c r="M1361" s="27">
        <v>38.8888888888889</v>
      </c>
      <c r="N1361" s="25" t="s">
        <v>67</v>
      </c>
      <c r="O1361" s="25" t="s">
        <v>27</v>
      </c>
      <c r="P1361" s="25" t="s">
        <v>32</v>
      </c>
    </row>
    <row r="1362" spans="1:16" x14ac:dyDescent="0.3">
      <c r="A1362" s="25">
        <v>1361</v>
      </c>
      <c r="B1362" s="26">
        <v>45580</v>
      </c>
      <c r="C1362" s="25" t="s">
        <v>66</v>
      </c>
      <c r="D1362" s="25" t="s">
        <v>21</v>
      </c>
      <c r="E1362" s="25" t="s">
        <v>94</v>
      </c>
      <c r="F1362" s="25">
        <v>12</v>
      </c>
      <c r="G1362" s="25" t="s">
        <v>89</v>
      </c>
      <c r="H1362" s="25">
        <v>30</v>
      </c>
      <c r="I1362" s="25">
        <v>26</v>
      </c>
      <c r="J1362" s="25">
        <v>360</v>
      </c>
      <c r="K1362" s="25">
        <v>312</v>
      </c>
      <c r="L1362" s="25">
        <v>48</v>
      </c>
      <c r="M1362" s="27">
        <v>15.384615384615399</v>
      </c>
      <c r="N1362" s="25" t="s">
        <v>67</v>
      </c>
      <c r="O1362" s="25" t="s">
        <v>27</v>
      </c>
      <c r="P1362" s="25" t="s">
        <v>32</v>
      </c>
    </row>
    <row r="1363" spans="1:16" x14ac:dyDescent="0.3">
      <c r="A1363" s="25">
        <v>1362</v>
      </c>
      <c r="B1363" s="26">
        <v>45580</v>
      </c>
      <c r="C1363" s="25" t="s">
        <v>66</v>
      </c>
      <c r="D1363" s="25" t="s">
        <v>21</v>
      </c>
      <c r="E1363" s="25" t="s">
        <v>98</v>
      </c>
      <c r="F1363" s="25">
        <v>2</v>
      </c>
      <c r="G1363" s="25" t="s">
        <v>89</v>
      </c>
      <c r="H1363" s="25">
        <v>95</v>
      </c>
      <c r="I1363" s="25">
        <v>55</v>
      </c>
      <c r="J1363" s="25">
        <v>190</v>
      </c>
      <c r="K1363" s="25">
        <v>110</v>
      </c>
      <c r="L1363" s="25">
        <v>80</v>
      </c>
      <c r="M1363" s="27">
        <v>72.727272727272705</v>
      </c>
      <c r="N1363" s="25" t="s">
        <v>67</v>
      </c>
      <c r="O1363" s="25" t="s">
        <v>27</v>
      </c>
      <c r="P1363" s="25" t="s">
        <v>32</v>
      </c>
    </row>
    <row r="1364" spans="1:16" x14ac:dyDescent="0.3">
      <c r="A1364" s="25">
        <v>1363</v>
      </c>
      <c r="B1364" s="26">
        <v>45580</v>
      </c>
      <c r="C1364" s="25" t="s">
        <v>66</v>
      </c>
      <c r="D1364" s="25" t="s">
        <v>21</v>
      </c>
      <c r="E1364" s="25" t="s">
        <v>88</v>
      </c>
      <c r="F1364" s="25">
        <v>12</v>
      </c>
      <c r="G1364" s="25" t="s">
        <v>89</v>
      </c>
      <c r="H1364" s="25">
        <v>130</v>
      </c>
      <c r="I1364" s="25">
        <v>100</v>
      </c>
      <c r="J1364" s="25">
        <v>1560</v>
      </c>
      <c r="K1364" s="25">
        <v>1200</v>
      </c>
      <c r="L1364" s="25">
        <v>360</v>
      </c>
      <c r="M1364" s="27">
        <v>30</v>
      </c>
      <c r="N1364" s="25" t="s">
        <v>67</v>
      </c>
      <c r="O1364" s="25" t="s">
        <v>27</v>
      </c>
      <c r="P1364" s="25" t="s">
        <v>32</v>
      </c>
    </row>
    <row r="1365" spans="1:16" x14ac:dyDescent="0.3">
      <c r="A1365" s="25">
        <v>1364</v>
      </c>
      <c r="B1365" s="26">
        <v>45580</v>
      </c>
      <c r="C1365" s="25" t="s">
        <v>66</v>
      </c>
      <c r="D1365" s="25" t="s">
        <v>21</v>
      </c>
      <c r="E1365" s="25" t="s">
        <v>88</v>
      </c>
      <c r="F1365" s="25">
        <v>15</v>
      </c>
      <c r="G1365" s="25" t="s">
        <v>89</v>
      </c>
      <c r="H1365" s="25">
        <v>130</v>
      </c>
      <c r="I1365" s="25">
        <v>100</v>
      </c>
      <c r="J1365" s="25">
        <v>1950</v>
      </c>
      <c r="K1365" s="25">
        <v>1500</v>
      </c>
      <c r="L1365" s="25">
        <v>450</v>
      </c>
      <c r="M1365" s="27">
        <v>30</v>
      </c>
      <c r="N1365" s="25" t="s">
        <v>67</v>
      </c>
      <c r="O1365" s="25" t="s">
        <v>27</v>
      </c>
      <c r="P1365" s="25" t="s">
        <v>32</v>
      </c>
    </row>
    <row r="1366" spans="1:16" x14ac:dyDescent="0.3">
      <c r="A1366" s="25">
        <v>1365</v>
      </c>
      <c r="B1366" s="26">
        <v>45580</v>
      </c>
      <c r="C1366" s="25" t="s">
        <v>66</v>
      </c>
      <c r="D1366" s="25" t="s">
        <v>22</v>
      </c>
      <c r="E1366" s="25" t="s">
        <v>96</v>
      </c>
      <c r="F1366" s="25">
        <v>1</v>
      </c>
      <c r="G1366" s="25" t="s">
        <v>97</v>
      </c>
      <c r="H1366" s="25">
        <v>300</v>
      </c>
      <c r="I1366" s="25">
        <v>265</v>
      </c>
      <c r="J1366" s="25">
        <v>300</v>
      </c>
      <c r="K1366" s="25">
        <v>265</v>
      </c>
      <c r="L1366" s="25">
        <v>35</v>
      </c>
      <c r="M1366" s="27">
        <v>13.207547169811299</v>
      </c>
      <c r="N1366" s="25" t="s">
        <v>67</v>
      </c>
      <c r="O1366" s="25" t="s">
        <v>28</v>
      </c>
      <c r="P1366" s="25" t="s">
        <v>32</v>
      </c>
    </row>
    <row r="1367" spans="1:16" x14ac:dyDescent="0.3">
      <c r="A1367" s="25">
        <v>1366</v>
      </c>
      <c r="B1367" s="26">
        <v>45580</v>
      </c>
      <c r="C1367" s="25" t="s">
        <v>66</v>
      </c>
      <c r="D1367" s="25" t="s">
        <v>22</v>
      </c>
      <c r="E1367" s="25" t="s">
        <v>90</v>
      </c>
      <c r="F1367" s="25">
        <v>2</v>
      </c>
      <c r="G1367" s="25" t="s">
        <v>91</v>
      </c>
      <c r="H1367" s="25">
        <v>280</v>
      </c>
      <c r="I1367" s="25">
        <v>240</v>
      </c>
      <c r="J1367" s="25">
        <v>560</v>
      </c>
      <c r="K1367" s="25">
        <v>480</v>
      </c>
      <c r="L1367" s="25">
        <v>80</v>
      </c>
      <c r="M1367" s="27">
        <v>16.6666666666667</v>
      </c>
      <c r="N1367" s="25" t="s">
        <v>67</v>
      </c>
      <c r="O1367" s="25" t="s">
        <v>28</v>
      </c>
      <c r="P1367" s="25" t="s">
        <v>32</v>
      </c>
    </row>
    <row r="1368" spans="1:16" x14ac:dyDescent="0.3">
      <c r="A1368" s="25">
        <v>1367</v>
      </c>
      <c r="B1368" s="26">
        <v>45580</v>
      </c>
      <c r="C1368" s="25" t="s">
        <v>66</v>
      </c>
      <c r="D1368" s="25" t="s">
        <v>22</v>
      </c>
      <c r="E1368" s="25" t="s">
        <v>92</v>
      </c>
      <c r="F1368" s="25">
        <v>0.5</v>
      </c>
      <c r="G1368" s="25" t="s">
        <v>91</v>
      </c>
      <c r="H1368" s="25">
        <v>260</v>
      </c>
      <c r="I1368" s="25">
        <v>220</v>
      </c>
      <c r="J1368" s="25">
        <v>130</v>
      </c>
      <c r="K1368" s="25">
        <v>110</v>
      </c>
      <c r="L1368" s="25">
        <v>20</v>
      </c>
      <c r="M1368" s="27">
        <v>18.181818181818201</v>
      </c>
      <c r="N1368" s="25" t="s">
        <v>67</v>
      </c>
      <c r="O1368" s="25" t="s">
        <v>28</v>
      </c>
      <c r="P1368" s="25" t="s">
        <v>32</v>
      </c>
    </row>
    <row r="1369" spans="1:16" x14ac:dyDescent="0.3">
      <c r="A1369" s="25">
        <v>1368</v>
      </c>
      <c r="B1369" s="26">
        <v>45580</v>
      </c>
      <c r="C1369" s="25" t="s">
        <v>66</v>
      </c>
      <c r="D1369" s="25" t="s">
        <v>21</v>
      </c>
      <c r="E1369" s="25" t="s">
        <v>88</v>
      </c>
      <c r="F1369" s="25">
        <v>5</v>
      </c>
      <c r="G1369" s="25" t="s">
        <v>89</v>
      </c>
      <c r="H1369" s="25">
        <v>130</v>
      </c>
      <c r="I1369" s="25">
        <v>100</v>
      </c>
      <c r="J1369" s="25">
        <v>650</v>
      </c>
      <c r="K1369" s="25">
        <v>500</v>
      </c>
      <c r="L1369" s="25">
        <v>150</v>
      </c>
      <c r="M1369" s="27">
        <v>30</v>
      </c>
      <c r="N1369" s="25" t="s">
        <v>67</v>
      </c>
      <c r="O1369" s="25" t="s">
        <v>27</v>
      </c>
      <c r="P1369" s="25" t="s">
        <v>32</v>
      </c>
    </row>
    <row r="1370" spans="1:16" x14ac:dyDescent="0.3">
      <c r="A1370" s="25">
        <v>1369</v>
      </c>
      <c r="B1370" s="26">
        <v>45580</v>
      </c>
      <c r="C1370" s="25" t="s">
        <v>66</v>
      </c>
      <c r="D1370" s="25" t="s">
        <v>21</v>
      </c>
      <c r="E1370" s="25" t="s">
        <v>93</v>
      </c>
      <c r="F1370" s="25">
        <v>8</v>
      </c>
      <c r="G1370" s="25" t="s">
        <v>89</v>
      </c>
      <c r="H1370" s="25">
        <v>250</v>
      </c>
      <c r="I1370" s="25">
        <v>180</v>
      </c>
      <c r="J1370" s="25">
        <v>2000</v>
      </c>
      <c r="K1370" s="25">
        <v>1440</v>
      </c>
      <c r="L1370" s="25">
        <v>560</v>
      </c>
      <c r="M1370" s="27">
        <v>38.8888888888889</v>
      </c>
      <c r="N1370" s="25" t="s">
        <v>67</v>
      </c>
      <c r="O1370" s="25" t="s">
        <v>27</v>
      </c>
      <c r="P1370" s="25" t="s">
        <v>32</v>
      </c>
    </row>
    <row r="1371" spans="1:16" x14ac:dyDescent="0.3">
      <c r="A1371" s="25">
        <v>1370</v>
      </c>
      <c r="B1371" s="26">
        <v>45580</v>
      </c>
      <c r="C1371" s="25" t="s">
        <v>66</v>
      </c>
      <c r="D1371" s="25" t="s">
        <v>21</v>
      </c>
      <c r="E1371" s="25" t="s">
        <v>88</v>
      </c>
      <c r="F1371" s="25">
        <v>3</v>
      </c>
      <c r="G1371" s="25" t="s">
        <v>89</v>
      </c>
      <c r="H1371" s="25">
        <v>130</v>
      </c>
      <c r="I1371" s="25">
        <v>100</v>
      </c>
      <c r="J1371" s="25">
        <v>390</v>
      </c>
      <c r="K1371" s="25">
        <v>300</v>
      </c>
      <c r="L1371" s="25">
        <v>90</v>
      </c>
      <c r="M1371" s="27">
        <v>30</v>
      </c>
      <c r="N1371" s="25" t="s">
        <v>67</v>
      </c>
      <c r="O1371" s="25" t="s">
        <v>27</v>
      </c>
      <c r="P1371" s="25" t="s">
        <v>32</v>
      </c>
    </row>
    <row r="1372" spans="1:16" x14ac:dyDescent="0.3">
      <c r="A1372" s="25">
        <v>1371</v>
      </c>
      <c r="B1372" s="26">
        <v>45580</v>
      </c>
      <c r="C1372" s="25" t="s">
        <v>66</v>
      </c>
      <c r="D1372" s="25" t="s">
        <v>21</v>
      </c>
      <c r="E1372" s="25" t="s">
        <v>88</v>
      </c>
      <c r="F1372" s="25">
        <v>5</v>
      </c>
      <c r="G1372" s="25" t="s">
        <v>89</v>
      </c>
      <c r="H1372" s="25">
        <v>130</v>
      </c>
      <c r="I1372" s="25">
        <v>100</v>
      </c>
      <c r="J1372" s="25">
        <v>650</v>
      </c>
      <c r="K1372" s="25">
        <v>500</v>
      </c>
      <c r="L1372" s="25">
        <v>150</v>
      </c>
      <c r="M1372" s="27">
        <v>30</v>
      </c>
      <c r="N1372" s="25" t="s">
        <v>67</v>
      </c>
      <c r="O1372" s="25" t="s">
        <v>27</v>
      </c>
      <c r="P1372" s="25" t="s">
        <v>32</v>
      </c>
    </row>
    <row r="1373" spans="1:16" x14ac:dyDescent="0.3">
      <c r="A1373" s="25">
        <v>1372</v>
      </c>
      <c r="B1373" s="26">
        <v>45580</v>
      </c>
      <c r="C1373" s="25" t="s">
        <v>66</v>
      </c>
      <c r="D1373" s="25" t="s">
        <v>21</v>
      </c>
      <c r="E1373" s="25" t="s">
        <v>88</v>
      </c>
      <c r="F1373" s="25">
        <v>3</v>
      </c>
      <c r="G1373" s="25" t="s">
        <v>89</v>
      </c>
      <c r="H1373" s="25">
        <v>130</v>
      </c>
      <c r="I1373" s="25">
        <v>100</v>
      </c>
      <c r="J1373" s="25">
        <v>390</v>
      </c>
      <c r="K1373" s="25">
        <v>300</v>
      </c>
      <c r="L1373" s="25">
        <v>90</v>
      </c>
      <c r="M1373" s="27">
        <v>30</v>
      </c>
      <c r="N1373" s="25" t="s">
        <v>67</v>
      </c>
      <c r="O1373" s="25" t="s">
        <v>27</v>
      </c>
      <c r="P1373" s="25" t="s">
        <v>32</v>
      </c>
    </row>
    <row r="1374" spans="1:16" x14ac:dyDescent="0.3">
      <c r="A1374" s="25">
        <v>1373</v>
      </c>
      <c r="B1374" s="26">
        <v>45581</v>
      </c>
      <c r="C1374" s="25" t="s">
        <v>66</v>
      </c>
      <c r="D1374" s="25" t="s">
        <v>21</v>
      </c>
      <c r="E1374" s="25" t="s">
        <v>88</v>
      </c>
      <c r="F1374" s="25">
        <v>16</v>
      </c>
      <c r="G1374" s="25" t="s">
        <v>89</v>
      </c>
      <c r="H1374" s="25">
        <v>130</v>
      </c>
      <c r="I1374" s="25">
        <v>100</v>
      </c>
      <c r="J1374" s="25">
        <v>2080</v>
      </c>
      <c r="K1374" s="25">
        <v>1600</v>
      </c>
      <c r="L1374" s="25">
        <v>480</v>
      </c>
      <c r="M1374" s="27">
        <v>30</v>
      </c>
      <c r="N1374" s="25" t="s">
        <v>67</v>
      </c>
      <c r="O1374" s="25" t="s">
        <v>27</v>
      </c>
      <c r="P1374" s="25" t="s">
        <v>32</v>
      </c>
    </row>
    <row r="1375" spans="1:16" x14ac:dyDescent="0.3">
      <c r="A1375" s="25">
        <v>1374</v>
      </c>
      <c r="B1375" s="26">
        <v>45581</v>
      </c>
      <c r="C1375" s="25" t="s">
        <v>66</v>
      </c>
      <c r="D1375" s="25" t="s">
        <v>21</v>
      </c>
      <c r="E1375" s="25" t="s">
        <v>88</v>
      </c>
      <c r="F1375" s="25">
        <v>10</v>
      </c>
      <c r="G1375" s="25" t="s">
        <v>89</v>
      </c>
      <c r="H1375" s="25">
        <v>130</v>
      </c>
      <c r="I1375" s="25">
        <v>100</v>
      </c>
      <c r="J1375" s="25">
        <v>1300</v>
      </c>
      <c r="K1375" s="25">
        <v>1000</v>
      </c>
      <c r="L1375" s="25">
        <v>300</v>
      </c>
      <c r="M1375" s="27">
        <v>30</v>
      </c>
      <c r="N1375" s="25" t="s">
        <v>67</v>
      </c>
      <c r="O1375" s="25" t="s">
        <v>27</v>
      </c>
      <c r="P1375" s="25" t="s">
        <v>32</v>
      </c>
    </row>
    <row r="1376" spans="1:16" x14ac:dyDescent="0.3">
      <c r="A1376" s="25">
        <v>1375</v>
      </c>
      <c r="B1376" s="26">
        <v>45581</v>
      </c>
      <c r="C1376" s="25" t="s">
        <v>66</v>
      </c>
      <c r="D1376" s="25" t="s">
        <v>21</v>
      </c>
      <c r="E1376" s="25" t="s">
        <v>88</v>
      </c>
      <c r="F1376" s="25">
        <v>16</v>
      </c>
      <c r="G1376" s="25" t="s">
        <v>89</v>
      </c>
      <c r="H1376" s="25">
        <v>130</v>
      </c>
      <c r="I1376" s="25">
        <v>100</v>
      </c>
      <c r="J1376" s="25">
        <v>2080</v>
      </c>
      <c r="K1376" s="25">
        <v>1600</v>
      </c>
      <c r="L1376" s="25">
        <v>480</v>
      </c>
      <c r="M1376" s="27">
        <v>30</v>
      </c>
      <c r="N1376" s="25" t="s">
        <v>67</v>
      </c>
      <c r="O1376" s="25" t="s">
        <v>27</v>
      </c>
      <c r="P1376" s="25" t="s">
        <v>32</v>
      </c>
    </row>
    <row r="1377" spans="1:16" x14ac:dyDescent="0.3">
      <c r="A1377" s="25">
        <v>1376</v>
      </c>
      <c r="B1377" s="26">
        <v>45581</v>
      </c>
      <c r="C1377" s="25" t="s">
        <v>66</v>
      </c>
      <c r="D1377" s="25" t="s">
        <v>21</v>
      </c>
      <c r="E1377" s="25" t="s">
        <v>98</v>
      </c>
      <c r="F1377" s="25">
        <v>2</v>
      </c>
      <c r="G1377" s="25" t="s">
        <v>89</v>
      </c>
      <c r="H1377" s="25">
        <v>95</v>
      </c>
      <c r="I1377" s="25">
        <v>55</v>
      </c>
      <c r="J1377" s="25">
        <v>190</v>
      </c>
      <c r="K1377" s="25">
        <v>110</v>
      </c>
      <c r="L1377" s="25">
        <v>80</v>
      </c>
      <c r="M1377" s="27">
        <v>72.727272727272705</v>
      </c>
      <c r="N1377" s="25" t="s">
        <v>67</v>
      </c>
      <c r="O1377" s="25" t="s">
        <v>27</v>
      </c>
      <c r="P1377" s="25" t="s">
        <v>32</v>
      </c>
    </row>
    <row r="1378" spans="1:16" x14ac:dyDescent="0.3">
      <c r="A1378" s="25">
        <v>1377</v>
      </c>
      <c r="B1378" s="26">
        <v>45581</v>
      </c>
      <c r="C1378" s="25" t="s">
        <v>66</v>
      </c>
      <c r="D1378" s="25" t="s">
        <v>21</v>
      </c>
      <c r="E1378" s="25" t="s">
        <v>94</v>
      </c>
      <c r="F1378" s="25">
        <v>15</v>
      </c>
      <c r="G1378" s="25" t="s">
        <v>89</v>
      </c>
      <c r="H1378" s="25">
        <v>30</v>
      </c>
      <c r="I1378" s="25">
        <v>26</v>
      </c>
      <c r="J1378" s="25">
        <v>450</v>
      </c>
      <c r="K1378" s="25">
        <v>390</v>
      </c>
      <c r="L1378" s="25">
        <v>60</v>
      </c>
      <c r="M1378" s="27">
        <v>15.384615384615399</v>
      </c>
      <c r="N1378" s="25" t="s">
        <v>67</v>
      </c>
      <c r="O1378" s="25" t="s">
        <v>27</v>
      </c>
      <c r="P1378" s="25" t="s">
        <v>32</v>
      </c>
    </row>
    <row r="1379" spans="1:16" x14ac:dyDescent="0.3">
      <c r="A1379" s="25">
        <v>1378</v>
      </c>
      <c r="B1379" s="26">
        <v>45581</v>
      </c>
      <c r="C1379" s="25" t="s">
        <v>66</v>
      </c>
      <c r="D1379" s="25" t="s">
        <v>21</v>
      </c>
      <c r="E1379" s="25" t="s">
        <v>93</v>
      </c>
      <c r="F1379" s="25">
        <v>1</v>
      </c>
      <c r="G1379" s="25" t="s">
        <v>89</v>
      </c>
      <c r="H1379" s="25">
        <v>250</v>
      </c>
      <c r="I1379" s="25">
        <v>180</v>
      </c>
      <c r="J1379" s="25">
        <v>250</v>
      </c>
      <c r="K1379" s="25">
        <v>180</v>
      </c>
      <c r="L1379" s="25">
        <v>70</v>
      </c>
      <c r="M1379" s="27">
        <v>38.8888888888889</v>
      </c>
      <c r="N1379" s="25" t="s">
        <v>67</v>
      </c>
      <c r="O1379" s="25" t="s">
        <v>27</v>
      </c>
      <c r="P1379" s="25" t="s">
        <v>32</v>
      </c>
    </row>
    <row r="1380" spans="1:16" x14ac:dyDescent="0.3">
      <c r="A1380" s="25">
        <v>1379</v>
      </c>
      <c r="B1380" s="26">
        <v>45581</v>
      </c>
      <c r="C1380" s="25" t="s">
        <v>66</v>
      </c>
      <c r="D1380" s="25" t="s">
        <v>21</v>
      </c>
      <c r="E1380" s="25" t="s">
        <v>94</v>
      </c>
      <c r="F1380" s="25">
        <v>14</v>
      </c>
      <c r="G1380" s="25" t="s">
        <v>89</v>
      </c>
      <c r="H1380" s="25">
        <v>30</v>
      </c>
      <c r="I1380" s="25">
        <v>26</v>
      </c>
      <c r="J1380" s="25">
        <v>420</v>
      </c>
      <c r="K1380" s="25">
        <v>364</v>
      </c>
      <c r="L1380" s="25">
        <v>56</v>
      </c>
      <c r="M1380" s="27">
        <v>15.384615384615399</v>
      </c>
      <c r="N1380" s="25" t="s">
        <v>67</v>
      </c>
      <c r="O1380" s="25" t="s">
        <v>27</v>
      </c>
      <c r="P1380" s="25" t="s">
        <v>32</v>
      </c>
    </row>
    <row r="1381" spans="1:16" x14ac:dyDescent="0.3">
      <c r="A1381" s="25">
        <v>1380</v>
      </c>
      <c r="B1381" s="26">
        <v>45581</v>
      </c>
      <c r="C1381" s="25" t="s">
        <v>66</v>
      </c>
      <c r="D1381" s="25" t="s">
        <v>21</v>
      </c>
      <c r="E1381" s="25" t="s">
        <v>98</v>
      </c>
      <c r="F1381" s="25">
        <v>4</v>
      </c>
      <c r="G1381" s="25" t="s">
        <v>89</v>
      </c>
      <c r="H1381" s="25">
        <v>95</v>
      </c>
      <c r="I1381" s="25">
        <v>55</v>
      </c>
      <c r="J1381" s="25">
        <v>380</v>
      </c>
      <c r="K1381" s="25">
        <v>220</v>
      </c>
      <c r="L1381" s="25">
        <v>160</v>
      </c>
      <c r="M1381" s="27">
        <v>72.727272727272705</v>
      </c>
      <c r="N1381" s="25" t="s">
        <v>67</v>
      </c>
      <c r="O1381" s="25" t="s">
        <v>27</v>
      </c>
      <c r="P1381" s="25" t="s">
        <v>32</v>
      </c>
    </row>
    <row r="1382" spans="1:16" x14ac:dyDescent="0.3">
      <c r="A1382" s="25">
        <v>1381</v>
      </c>
      <c r="B1382" s="26">
        <v>45581</v>
      </c>
      <c r="C1382" s="25" t="s">
        <v>66</v>
      </c>
      <c r="D1382" s="25" t="s">
        <v>21</v>
      </c>
      <c r="E1382" s="25" t="s">
        <v>88</v>
      </c>
      <c r="F1382" s="25">
        <v>16</v>
      </c>
      <c r="G1382" s="25" t="s">
        <v>89</v>
      </c>
      <c r="H1382" s="25">
        <v>130</v>
      </c>
      <c r="I1382" s="25">
        <v>100</v>
      </c>
      <c r="J1382" s="25">
        <v>2080</v>
      </c>
      <c r="K1382" s="25">
        <v>1600</v>
      </c>
      <c r="L1382" s="25">
        <v>480</v>
      </c>
      <c r="M1382" s="27">
        <v>30</v>
      </c>
      <c r="N1382" s="25" t="s">
        <v>67</v>
      </c>
      <c r="O1382" s="25" t="s">
        <v>27</v>
      </c>
      <c r="P1382" s="25" t="s">
        <v>32</v>
      </c>
    </row>
    <row r="1383" spans="1:16" x14ac:dyDescent="0.3">
      <c r="A1383" s="25">
        <v>1382</v>
      </c>
      <c r="B1383" s="26">
        <v>45581</v>
      </c>
      <c r="C1383" s="25" t="s">
        <v>66</v>
      </c>
      <c r="D1383" s="25" t="s">
        <v>21</v>
      </c>
      <c r="E1383" s="25" t="s">
        <v>88</v>
      </c>
      <c r="F1383" s="25">
        <v>10</v>
      </c>
      <c r="G1383" s="25" t="s">
        <v>89</v>
      </c>
      <c r="H1383" s="25">
        <v>130</v>
      </c>
      <c r="I1383" s="25">
        <v>100</v>
      </c>
      <c r="J1383" s="25">
        <v>1300</v>
      </c>
      <c r="K1383" s="25">
        <v>1000</v>
      </c>
      <c r="L1383" s="25">
        <v>300</v>
      </c>
      <c r="M1383" s="27">
        <v>30</v>
      </c>
      <c r="N1383" s="25" t="s">
        <v>67</v>
      </c>
      <c r="O1383" s="25" t="s">
        <v>27</v>
      </c>
      <c r="P1383" s="25" t="s">
        <v>32</v>
      </c>
    </row>
    <row r="1384" spans="1:16" x14ac:dyDescent="0.3">
      <c r="A1384" s="25">
        <v>1383</v>
      </c>
      <c r="B1384" s="26">
        <v>45581</v>
      </c>
      <c r="C1384" s="25" t="s">
        <v>66</v>
      </c>
      <c r="D1384" s="25" t="s">
        <v>21</v>
      </c>
      <c r="E1384" s="25" t="s">
        <v>88</v>
      </c>
      <c r="F1384" s="25">
        <v>15</v>
      </c>
      <c r="G1384" s="25" t="s">
        <v>89</v>
      </c>
      <c r="H1384" s="25">
        <v>130</v>
      </c>
      <c r="I1384" s="25">
        <v>100</v>
      </c>
      <c r="J1384" s="25">
        <v>1950</v>
      </c>
      <c r="K1384" s="25">
        <v>1500</v>
      </c>
      <c r="L1384" s="25">
        <v>450</v>
      </c>
      <c r="M1384" s="27">
        <v>30</v>
      </c>
      <c r="N1384" s="25" t="s">
        <v>67</v>
      </c>
      <c r="O1384" s="25" t="s">
        <v>27</v>
      </c>
      <c r="P1384" s="25" t="s">
        <v>32</v>
      </c>
    </row>
    <row r="1385" spans="1:16" x14ac:dyDescent="0.3">
      <c r="A1385" s="25">
        <v>1384</v>
      </c>
      <c r="B1385" s="26">
        <v>45581</v>
      </c>
      <c r="C1385" s="25" t="s">
        <v>66</v>
      </c>
      <c r="D1385" s="25" t="s">
        <v>21</v>
      </c>
      <c r="E1385" s="25" t="s">
        <v>88</v>
      </c>
      <c r="F1385" s="25">
        <v>12</v>
      </c>
      <c r="G1385" s="25" t="s">
        <v>89</v>
      </c>
      <c r="H1385" s="25">
        <v>130</v>
      </c>
      <c r="I1385" s="25">
        <v>100</v>
      </c>
      <c r="J1385" s="25">
        <v>1560</v>
      </c>
      <c r="K1385" s="25">
        <v>1200</v>
      </c>
      <c r="L1385" s="25">
        <v>360</v>
      </c>
      <c r="M1385" s="27">
        <v>30</v>
      </c>
      <c r="N1385" s="25" t="s">
        <v>67</v>
      </c>
      <c r="O1385" s="25" t="s">
        <v>27</v>
      </c>
      <c r="P1385" s="25" t="s">
        <v>32</v>
      </c>
    </row>
    <row r="1386" spans="1:16" x14ac:dyDescent="0.3">
      <c r="A1386" s="25">
        <v>1385</v>
      </c>
      <c r="B1386" s="26">
        <v>45581</v>
      </c>
      <c r="C1386" s="25" t="s">
        <v>66</v>
      </c>
      <c r="D1386" s="25" t="s">
        <v>21</v>
      </c>
      <c r="E1386" s="25" t="s">
        <v>98</v>
      </c>
      <c r="F1386" s="25">
        <v>2</v>
      </c>
      <c r="G1386" s="25" t="s">
        <v>89</v>
      </c>
      <c r="H1386" s="25">
        <v>95</v>
      </c>
      <c r="I1386" s="25">
        <v>55</v>
      </c>
      <c r="J1386" s="25">
        <v>190</v>
      </c>
      <c r="K1386" s="25">
        <v>110</v>
      </c>
      <c r="L1386" s="25">
        <v>80</v>
      </c>
      <c r="M1386" s="27">
        <v>72.727272727272705</v>
      </c>
      <c r="N1386" s="25" t="s">
        <v>67</v>
      </c>
      <c r="O1386" s="25" t="s">
        <v>27</v>
      </c>
      <c r="P1386" s="25" t="s">
        <v>32</v>
      </c>
    </row>
    <row r="1387" spans="1:16" x14ac:dyDescent="0.3">
      <c r="A1387" s="25">
        <v>1386</v>
      </c>
      <c r="B1387" s="26">
        <v>45581</v>
      </c>
      <c r="C1387" s="25" t="s">
        <v>66</v>
      </c>
      <c r="D1387" s="25" t="s">
        <v>22</v>
      </c>
      <c r="E1387" s="25" t="s">
        <v>90</v>
      </c>
      <c r="F1387" s="25">
        <v>2</v>
      </c>
      <c r="G1387" s="25" t="s">
        <v>91</v>
      </c>
      <c r="H1387" s="25">
        <v>280</v>
      </c>
      <c r="I1387" s="25">
        <v>240</v>
      </c>
      <c r="J1387" s="25">
        <v>560</v>
      </c>
      <c r="K1387" s="25">
        <v>480</v>
      </c>
      <c r="L1387" s="25">
        <v>80</v>
      </c>
      <c r="M1387" s="27">
        <v>16.6666666666667</v>
      </c>
      <c r="N1387" s="25" t="s">
        <v>67</v>
      </c>
      <c r="O1387" s="25" t="s">
        <v>28</v>
      </c>
      <c r="P1387" s="25" t="s">
        <v>33</v>
      </c>
    </row>
    <row r="1388" spans="1:16" x14ac:dyDescent="0.3">
      <c r="A1388" s="25">
        <v>1387</v>
      </c>
      <c r="B1388" s="26">
        <v>45581</v>
      </c>
      <c r="C1388" s="25" t="s">
        <v>66</v>
      </c>
      <c r="D1388" s="25" t="s">
        <v>22</v>
      </c>
      <c r="E1388" s="25" t="s">
        <v>103</v>
      </c>
      <c r="F1388" s="25">
        <v>1</v>
      </c>
      <c r="G1388" s="25" t="s">
        <v>102</v>
      </c>
      <c r="H1388" s="25">
        <v>30</v>
      </c>
      <c r="I1388" s="25">
        <v>20</v>
      </c>
      <c r="J1388" s="25">
        <v>30</v>
      </c>
      <c r="K1388" s="25">
        <v>20</v>
      </c>
      <c r="L1388" s="25">
        <v>10</v>
      </c>
      <c r="M1388" s="27">
        <v>50</v>
      </c>
      <c r="N1388" s="25" t="s">
        <v>67</v>
      </c>
      <c r="O1388" s="25" t="s">
        <v>28</v>
      </c>
      <c r="P1388" s="25" t="s">
        <v>32</v>
      </c>
    </row>
    <row r="1389" spans="1:16" x14ac:dyDescent="0.3">
      <c r="A1389" s="25">
        <v>1388</v>
      </c>
      <c r="B1389" s="26">
        <v>45581</v>
      </c>
      <c r="C1389" s="25" t="s">
        <v>66</v>
      </c>
      <c r="D1389" s="25" t="s">
        <v>21</v>
      </c>
      <c r="E1389" s="25" t="s">
        <v>88</v>
      </c>
      <c r="F1389" s="25">
        <v>10</v>
      </c>
      <c r="G1389" s="25" t="s">
        <v>89</v>
      </c>
      <c r="H1389" s="25">
        <v>130</v>
      </c>
      <c r="I1389" s="25">
        <v>100</v>
      </c>
      <c r="J1389" s="25">
        <v>1300</v>
      </c>
      <c r="K1389" s="25">
        <v>1000</v>
      </c>
      <c r="L1389" s="25">
        <v>300</v>
      </c>
      <c r="M1389" s="27">
        <v>30</v>
      </c>
      <c r="N1389" s="25" t="s">
        <v>67</v>
      </c>
      <c r="O1389" s="25" t="s">
        <v>27</v>
      </c>
      <c r="P1389" s="25" t="s">
        <v>32</v>
      </c>
    </row>
    <row r="1390" spans="1:16" x14ac:dyDescent="0.3">
      <c r="A1390" s="25">
        <v>1389</v>
      </c>
      <c r="B1390" s="26">
        <v>45581</v>
      </c>
      <c r="C1390" s="25" t="s">
        <v>66</v>
      </c>
      <c r="D1390" s="25" t="s">
        <v>21</v>
      </c>
      <c r="E1390" s="25" t="s">
        <v>88</v>
      </c>
      <c r="F1390" s="25">
        <v>10</v>
      </c>
      <c r="G1390" s="25" t="s">
        <v>89</v>
      </c>
      <c r="H1390" s="25">
        <v>130</v>
      </c>
      <c r="I1390" s="25">
        <v>100</v>
      </c>
      <c r="J1390" s="25">
        <v>1300</v>
      </c>
      <c r="K1390" s="25">
        <v>1000</v>
      </c>
      <c r="L1390" s="25">
        <v>300</v>
      </c>
      <c r="M1390" s="27">
        <v>30</v>
      </c>
      <c r="N1390" s="25" t="s">
        <v>67</v>
      </c>
      <c r="O1390" s="25" t="s">
        <v>27</v>
      </c>
      <c r="P1390" s="25" t="s">
        <v>32</v>
      </c>
    </row>
    <row r="1391" spans="1:16" x14ac:dyDescent="0.3">
      <c r="A1391" s="25">
        <v>1390</v>
      </c>
      <c r="B1391" s="26">
        <v>45581</v>
      </c>
      <c r="C1391" s="25" t="s">
        <v>66</v>
      </c>
      <c r="D1391" s="25" t="s">
        <v>21</v>
      </c>
      <c r="E1391" s="25" t="s">
        <v>88</v>
      </c>
      <c r="F1391" s="25">
        <v>12</v>
      </c>
      <c r="G1391" s="25" t="s">
        <v>89</v>
      </c>
      <c r="H1391" s="25">
        <v>130</v>
      </c>
      <c r="I1391" s="25">
        <v>100</v>
      </c>
      <c r="J1391" s="25">
        <v>1560</v>
      </c>
      <c r="K1391" s="25">
        <v>1200</v>
      </c>
      <c r="L1391" s="25">
        <v>360</v>
      </c>
      <c r="M1391" s="27">
        <v>30</v>
      </c>
      <c r="N1391" s="25" t="s">
        <v>67</v>
      </c>
      <c r="O1391" s="25" t="s">
        <v>27</v>
      </c>
      <c r="P1391" s="25" t="s">
        <v>32</v>
      </c>
    </row>
    <row r="1392" spans="1:16" x14ac:dyDescent="0.3">
      <c r="A1392" s="25">
        <v>1391</v>
      </c>
      <c r="B1392" s="26">
        <v>45581</v>
      </c>
      <c r="C1392" s="25" t="s">
        <v>66</v>
      </c>
      <c r="D1392" s="25" t="s">
        <v>21</v>
      </c>
      <c r="E1392" s="25" t="s">
        <v>88</v>
      </c>
      <c r="F1392" s="25">
        <v>5</v>
      </c>
      <c r="G1392" s="25" t="s">
        <v>89</v>
      </c>
      <c r="H1392" s="25">
        <v>130</v>
      </c>
      <c r="I1392" s="25">
        <v>100</v>
      </c>
      <c r="J1392" s="25">
        <v>650</v>
      </c>
      <c r="K1392" s="25">
        <v>500</v>
      </c>
      <c r="L1392" s="25">
        <v>150</v>
      </c>
      <c r="M1392" s="27">
        <v>30</v>
      </c>
      <c r="N1392" s="25" t="s">
        <v>67</v>
      </c>
      <c r="O1392" s="25" t="s">
        <v>27</v>
      </c>
      <c r="P1392" s="25" t="s">
        <v>32</v>
      </c>
    </row>
    <row r="1393" spans="1:16" x14ac:dyDescent="0.3">
      <c r="A1393" s="25">
        <v>1392</v>
      </c>
      <c r="B1393" s="26">
        <v>45581</v>
      </c>
      <c r="C1393" s="25" t="s">
        <v>66</v>
      </c>
      <c r="D1393" s="25" t="s">
        <v>21</v>
      </c>
      <c r="E1393" s="25" t="s">
        <v>93</v>
      </c>
      <c r="F1393" s="25">
        <v>2</v>
      </c>
      <c r="G1393" s="25" t="s">
        <v>89</v>
      </c>
      <c r="H1393" s="25">
        <v>250</v>
      </c>
      <c r="I1393" s="25">
        <v>180</v>
      </c>
      <c r="J1393" s="25">
        <v>500</v>
      </c>
      <c r="K1393" s="25">
        <v>360</v>
      </c>
      <c r="L1393" s="25">
        <v>140</v>
      </c>
      <c r="M1393" s="27">
        <v>38.8888888888889</v>
      </c>
      <c r="N1393" s="25" t="s">
        <v>67</v>
      </c>
      <c r="O1393" s="25" t="s">
        <v>27</v>
      </c>
      <c r="P1393" s="25" t="s">
        <v>32</v>
      </c>
    </row>
    <row r="1394" spans="1:16" x14ac:dyDescent="0.3">
      <c r="A1394" s="25">
        <v>1393</v>
      </c>
      <c r="B1394" s="26">
        <v>45581</v>
      </c>
      <c r="C1394" s="25" t="s">
        <v>66</v>
      </c>
      <c r="D1394" s="25" t="s">
        <v>21</v>
      </c>
      <c r="E1394" s="25" t="s">
        <v>94</v>
      </c>
      <c r="F1394" s="25">
        <v>16</v>
      </c>
      <c r="G1394" s="25" t="s">
        <v>89</v>
      </c>
      <c r="H1394" s="25">
        <v>30</v>
      </c>
      <c r="I1394" s="25">
        <v>26</v>
      </c>
      <c r="J1394" s="25">
        <v>480</v>
      </c>
      <c r="K1394" s="25">
        <v>416</v>
      </c>
      <c r="L1394" s="25">
        <v>64</v>
      </c>
      <c r="M1394" s="27">
        <v>15.384615384615399</v>
      </c>
      <c r="N1394" s="25" t="s">
        <v>67</v>
      </c>
      <c r="O1394" s="25" t="s">
        <v>27</v>
      </c>
      <c r="P1394" s="25" t="s">
        <v>32</v>
      </c>
    </row>
    <row r="1395" spans="1:16" x14ac:dyDescent="0.3">
      <c r="A1395" s="25">
        <v>1394</v>
      </c>
      <c r="B1395" s="26">
        <v>45581</v>
      </c>
      <c r="C1395" s="25" t="s">
        <v>66</v>
      </c>
      <c r="D1395" s="25" t="s">
        <v>21</v>
      </c>
      <c r="E1395" s="25" t="s">
        <v>98</v>
      </c>
      <c r="F1395" s="25">
        <v>2</v>
      </c>
      <c r="G1395" s="25" t="s">
        <v>89</v>
      </c>
      <c r="H1395" s="25">
        <v>95</v>
      </c>
      <c r="I1395" s="25">
        <v>55</v>
      </c>
      <c r="J1395" s="25">
        <v>190</v>
      </c>
      <c r="K1395" s="25">
        <v>110</v>
      </c>
      <c r="L1395" s="25">
        <v>80</v>
      </c>
      <c r="M1395" s="27">
        <v>72.727272727272705</v>
      </c>
      <c r="N1395" s="25" t="s">
        <v>67</v>
      </c>
      <c r="O1395" s="25" t="s">
        <v>27</v>
      </c>
      <c r="P1395" s="25" t="s">
        <v>32</v>
      </c>
    </row>
    <row r="1396" spans="1:16" x14ac:dyDescent="0.3">
      <c r="A1396" s="25">
        <v>1395</v>
      </c>
      <c r="B1396" s="26">
        <v>45581</v>
      </c>
      <c r="C1396" s="25" t="s">
        <v>66</v>
      </c>
      <c r="D1396" s="25" t="s">
        <v>21</v>
      </c>
      <c r="E1396" s="25" t="s">
        <v>88</v>
      </c>
      <c r="F1396" s="25">
        <v>16</v>
      </c>
      <c r="G1396" s="25" t="s">
        <v>89</v>
      </c>
      <c r="H1396" s="25">
        <v>130</v>
      </c>
      <c r="I1396" s="25">
        <v>100</v>
      </c>
      <c r="J1396" s="25">
        <v>2080</v>
      </c>
      <c r="K1396" s="25">
        <v>1600</v>
      </c>
      <c r="L1396" s="25">
        <v>480</v>
      </c>
      <c r="M1396" s="27">
        <v>30</v>
      </c>
      <c r="N1396" s="25" t="s">
        <v>67</v>
      </c>
      <c r="O1396" s="25" t="s">
        <v>27</v>
      </c>
      <c r="P1396" s="25" t="s">
        <v>32</v>
      </c>
    </row>
    <row r="1397" spans="1:16" x14ac:dyDescent="0.3">
      <c r="A1397" s="25">
        <v>1396</v>
      </c>
      <c r="B1397" s="26">
        <v>45581</v>
      </c>
      <c r="C1397" s="25" t="s">
        <v>66</v>
      </c>
      <c r="D1397" s="25" t="s">
        <v>21</v>
      </c>
      <c r="E1397" s="25" t="s">
        <v>88</v>
      </c>
      <c r="F1397" s="25">
        <v>18</v>
      </c>
      <c r="G1397" s="25" t="s">
        <v>89</v>
      </c>
      <c r="H1397" s="25">
        <v>130</v>
      </c>
      <c r="I1397" s="25">
        <v>100</v>
      </c>
      <c r="J1397" s="25">
        <v>2340</v>
      </c>
      <c r="K1397" s="25">
        <v>1800</v>
      </c>
      <c r="L1397" s="25">
        <v>540</v>
      </c>
      <c r="M1397" s="27">
        <v>30</v>
      </c>
      <c r="N1397" s="25" t="s">
        <v>67</v>
      </c>
      <c r="O1397" s="25" t="s">
        <v>27</v>
      </c>
      <c r="P1397" s="25" t="s">
        <v>32</v>
      </c>
    </row>
    <row r="1398" spans="1:16" x14ac:dyDescent="0.3">
      <c r="A1398" s="25">
        <v>1397</v>
      </c>
      <c r="B1398" s="26">
        <v>45581</v>
      </c>
      <c r="C1398" s="25" t="s">
        <v>66</v>
      </c>
      <c r="D1398" s="25" t="s">
        <v>22</v>
      </c>
      <c r="E1398" s="25" t="s">
        <v>96</v>
      </c>
      <c r="F1398" s="25">
        <v>2</v>
      </c>
      <c r="G1398" s="25" t="s">
        <v>97</v>
      </c>
      <c r="H1398" s="25">
        <v>300</v>
      </c>
      <c r="I1398" s="25">
        <v>265</v>
      </c>
      <c r="J1398" s="25">
        <v>600</v>
      </c>
      <c r="K1398" s="25">
        <v>530</v>
      </c>
      <c r="L1398" s="25">
        <v>70</v>
      </c>
      <c r="M1398" s="27">
        <v>13.207547169811299</v>
      </c>
      <c r="N1398" s="25" t="s">
        <v>67</v>
      </c>
      <c r="O1398" s="25" t="s">
        <v>28</v>
      </c>
      <c r="P1398" s="25" t="s">
        <v>33</v>
      </c>
    </row>
    <row r="1399" spans="1:16" x14ac:dyDescent="0.3">
      <c r="A1399" s="25">
        <v>1398</v>
      </c>
      <c r="B1399" s="26">
        <v>45581</v>
      </c>
      <c r="C1399" s="25" t="s">
        <v>66</v>
      </c>
      <c r="D1399" s="25" t="s">
        <v>21</v>
      </c>
      <c r="E1399" s="25" t="s">
        <v>88</v>
      </c>
      <c r="F1399" s="25">
        <v>10</v>
      </c>
      <c r="G1399" s="25" t="s">
        <v>89</v>
      </c>
      <c r="H1399" s="25">
        <v>130</v>
      </c>
      <c r="I1399" s="25">
        <v>100</v>
      </c>
      <c r="J1399" s="25">
        <v>1300</v>
      </c>
      <c r="K1399" s="25">
        <v>1000</v>
      </c>
      <c r="L1399" s="25">
        <v>300</v>
      </c>
      <c r="M1399" s="27">
        <v>30</v>
      </c>
      <c r="N1399" s="25" t="s">
        <v>67</v>
      </c>
      <c r="O1399" s="25" t="s">
        <v>27</v>
      </c>
      <c r="P1399" s="25" t="s">
        <v>32</v>
      </c>
    </row>
    <row r="1400" spans="1:16" x14ac:dyDescent="0.3">
      <c r="A1400" s="25">
        <v>1399</v>
      </c>
      <c r="B1400" s="26">
        <v>45581</v>
      </c>
      <c r="C1400" s="25" t="s">
        <v>66</v>
      </c>
      <c r="D1400" s="25" t="s">
        <v>21</v>
      </c>
      <c r="E1400" s="25" t="s">
        <v>88</v>
      </c>
      <c r="F1400" s="25">
        <v>5</v>
      </c>
      <c r="G1400" s="25" t="s">
        <v>89</v>
      </c>
      <c r="H1400" s="25">
        <v>130</v>
      </c>
      <c r="I1400" s="25">
        <v>100</v>
      </c>
      <c r="J1400" s="25">
        <v>650</v>
      </c>
      <c r="K1400" s="25">
        <v>500</v>
      </c>
      <c r="L1400" s="25">
        <v>150</v>
      </c>
      <c r="M1400" s="27">
        <v>30</v>
      </c>
      <c r="N1400" s="25" t="s">
        <v>67</v>
      </c>
      <c r="O1400" s="25" t="s">
        <v>27</v>
      </c>
      <c r="P1400" s="25" t="s">
        <v>32</v>
      </c>
    </row>
    <row r="1401" spans="1:16" x14ac:dyDescent="0.3">
      <c r="A1401" s="25">
        <v>1400</v>
      </c>
      <c r="B1401" s="26">
        <v>45581</v>
      </c>
      <c r="C1401" s="25" t="s">
        <v>66</v>
      </c>
      <c r="D1401" s="25" t="s">
        <v>22</v>
      </c>
      <c r="E1401" s="25" t="s">
        <v>90</v>
      </c>
      <c r="F1401" s="25">
        <v>2</v>
      </c>
      <c r="G1401" s="25" t="s">
        <v>91</v>
      </c>
      <c r="H1401" s="25">
        <v>280</v>
      </c>
      <c r="I1401" s="25">
        <v>240</v>
      </c>
      <c r="J1401" s="25">
        <v>560</v>
      </c>
      <c r="K1401" s="25">
        <v>480</v>
      </c>
      <c r="L1401" s="25">
        <v>80</v>
      </c>
      <c r="M1401" s="27">
        <v>16.6666666666667</v>
      </c>
      <c r="N1401" s="25" t="s">
        <v>67</v>
      </c>
      <c r="O1401" s="25" t="s">
        <v>28</v>
      </c>
      <c r="P1401" s="25" t="s">
        <v>32</v>
      </c>
    </row>
    <row r="1402" spans="1:16" x14ac:dyDescent="0.3">
      <c r="A1402" s="25">
        <v>1401</v>
      </c>
      <c r="B1402" s="26">
        <v>45581</v>
      </c>
      <c r="C1402" s="25" t="s">
        <v>66</v>
      </c>
      <c r="D1402" s="25" t="s">
        <v>22</v>
      </c>
      <c r="E1402" s="25" t="s">
        <v>90</v>
      </c>
      <c r="F1402" s="25">
        <v>2.5</v>
      </c>
      <c r="G1402" s="25" t="s">
        <v>91</v>
      </c>
      <c r="H1402" s="25">
        <v>280</v>
      </c>
      <c r="I1402" s="25">
        <v>240</v>
      </c>
      <c r="J1402" s="25">
        <v>700</v>
      </c>
      <c r="K1402" s="25">
        <v>600</v>
      </c>
      <c r="L1402" s="25">
        <v>100</v>
      </c>
      <c r="M1402" s="27">
        <v>16.6666666666667</v>
      </c>
      <c r="N1402" s="25" t="s">
        <v>67</v>
      </c>
      <c r="O1402" s="25" t="s">
        <v>28</v>
      </c>
      <c r="P1402" s="25" t="s">
        <v>32</v>
      </c>
    </row>
    <row r="1403" spans="1:16" x14ac:dyDescent="0.3">
      <c r="A1403" s="25">
        <v>1402</v>
      </c>
      <c r="B1403" s="26">
        <v>45581</v>
      </c>
      <c r="C1403" s="25" t="s">
        <v>66</v>
      </c>
      <c r="D1403" s="25" t="s">
        <v>21</v>
      </c>
      <c r="E1403" s="25" t="s">
        <v>88</v>
      </c>
      <c r="F1403" s="25">
        <v>6</v>
      </c>
      <c r="G1403" s="25" t="s">
        <v>89</v>
      </c>
      <c r="H1403" s="25">
        <v>130</v>
      </c>
      <c r="I1403" s="25">
        <v>100</v>
      </c>
      <c r="J1403" s="25">
        <v>780</v>
      </c>
      <c r="K1403" s="25">
        <v>600</v>
      </c>
      <c r="L1403" s="25">
        <v>180</v>
      </c>
      <c r="M1403" s="27">
        <v>30</v>
      </c>
      <c r="N1403" s="25" t="s">
        <v>67</v>
      </c>
      <c r="O1403" s="25" t="s">
        <v>27</v>
      </c>
      <c r="P1403" s="25" t="s">
        <v>32</v>
      </c>
    </row>
    <row r="1404" spans="1:16" x14ac:dyDescent="0.3">
      <c r="A1404" s="25">
        <v>1403</v>
      </c>
      <c r="B1404" s="26">
        <v>45581</v>
      </c>
      <c r="C1404" s="25" t="s">
        <v>66</v>
      </c>
      <c r="D1404" s="25" t="s">
        <v>21</v>
      </c>
      <c r="E1404" s="25" t="s">
        <v>98</v>
      </c>
      <c r="F1404" s="25">
        <v>4</v>
      </c>
      <c r="G1404" s="25" t="s">
        <v>89</v>
      </c>
      <c r="H1404" s="25">
        <v>95</v>
      </c>
      <c r="I1404" s="25">
        <v>55</v>
      </c>
      <c r="J1404" s="25">
        <v>380</v>
      </c>
      <c r="K1404" s="25">
        <v>220</v>
      </c>
      <c r="L1404" s="25">
        <v>160</v>
      </c>
      <c r="M1404" s="27">
        <v>72.727272727272705</v>
      </c>
      <c r="N1404" s="25" t="s">
        <v>67</v>
      </c>
      <c r="O1404" s="25" t="s">
        <v>27</v>
      </c>
      <c r="P1404" s="25" t="s">
        <v>32</v>
      </c>
    </row>
    <row r="1405" spans="1:16" x14ac:dyDescent="0.3">
      <c r="A1405" s="25">
        <v>1404</v>
      </c>
      <c r="B1405" s="26">
        <v>45581</v>
      </c>
      <c r="C1405" s="25" t="s">
        <v>66</v>
      </c>
      <c r="D1405" s="25" t="s">
        <v>21</v>
      </c>
      <c r="E1405" s="25" t="s">
        <v>94</v>
      </c>
      <c r="F1405" s="25">
        <v>14</v>
      </c>
      <c r="G1405" s="25" t="s">
        <v>89</v>
      </c>
      <c r="H1405" s="25">
        <v>30</v>
      </c>
      <c r="I1405" s="25">
        <v>26</v>
      </c>
      <c r="J1405" s="25">
        <v>420</v>
      </c>
      <c r="K1405" s="25">
        <v>364</v>
      </c>
      <c r="L1405" s="25">
        <v>56</v>
      </c>
      <c r="M1405" s="27">
        <v>15.384615384615399</v>
      </c>
      <c r="N1405" s="25" t="s">
        <v>67</v>
      </c>
      <c r="O1405" s="25" t="s">
        <v>27</v>
      </c>
      <c r="P1405" s="25" t="s">
        <v>32</v>
      </c>
    </row>
    <row r="1406" spans="1:16" x14ac:dyDescent="0.3">
      <c r="A1406" s="25">
        <v>1405</v>
      </c>
      <c r="B1406" s="26">
        <v>45581</v>
      </c>
      <c r="C1406" s="25" t="s">
        <v>66</v>
      </c>
      <c r="D1406" s="25" t="s">
        <v>21</v>
      </c>
      <c r="E1406" s="25" t="s">
        <v>93</v>
      </c>
      <c r="F1406" s="25">
        <v>2</v>
      </c>
      <c r="G1406" s="25" t="s">
        <v>89</v>
      </c>
      <c r="H1406" s="25">
        <v>250</v>
      </c>
      <c r="I1406" s="25">
        <v>180</v>
      </c>
      <c r="J1406" s="25">
        <v>500</v>
      </c>
      <c r="K1406" s="25">
        <v>360</v>
      </c>
      <c r="L1406" s="25">
        <v>140</v>
      </c>
      <c r="M1406" s="27">
        <v>38.8888888888889</v>
      </c>
      <c r="N1406" s="25" t="s">
        <v>67</v>
      </c>
      <c r="O1406" s="25" t="s">
        <v>27</v>
      </c>
      <c r="P1406" s="25" t="s">
        <v>32</v>
      </c>
    </row>
    <row r="1407" spans="1:16" x14ac:dyDescent="0.3">
      <c r="A1407" s="25">
        <v>1406</v>
      </c>
      <c r="B1407" s="26">
        <v>45581</v>
      </c>
      <c r="C1407" s="25" t="s">
        <v>66</v>
      </c>
      <c r="D1407" s="25" t="s">
        <v>21</v>
      </c>
      <c r="E1407" s="25" t="s">
        <v>88</v>
      </c>
      <c r="F1407" s="25">
        <v>6</v>
      </c>
      <c r="G1407" s="25" t="s">
        <v>89</v>
      </c>
      <c r="H1407" s="25">
        <v>130</v>
      </c>
      <c r="I1407" s="25">
        <v>100</v>
      </c>
      <c r="J1407" s="25">
        <v>780</v>
      </c>
      <c r="K1407" s="25">
        <v>600</v>
      </c>
      <c r="L1407" s="25">
        <v>180</v>
      </c>
      <c r="M1407" s="27">
        <v>30</v>
      </c>
      <c r="N1407" s="25" t="s">
        <v>67</v>
      </c>
      <c r="O1407" s="25" t="s">
        <v>27</v>
      </c>
      <c r="P1407" s="25" t="s">
        <v>32</v>
      </c>
    </row>
    <row r="1408" spans="1:16" x14ac:dyDescent="0.3">
      <c r="A1408" s="25">
        <v>1407</v>
      </c>
      <c r="B1408" s="26">
        <v>45581</v>
      </c>
      <c r="C1408" s="25" t="s">
        <v>66</v>
      </c>
      <c r="D1408" s="25" t="s">
        <v>21</v>
      </c>
      <c r="E1408" s="25" t="s">
        <v>88</v>
      </c>
      <c r="F1408" s="25">
        <v>8</v>
      </c>
      <c r="G1408" s="25" t="s">
        <v>89</v>
      </c>
      <c r="H1408" s="25">
        <v>130</v>
      </c>
      <c r="I1408" s="25">
        <v>100</v>
      </c>
      <c r="J1408" s="25">
        <v>1040</v>
      </c>
      <c r="K1408" s="25">
        <v>800</v>
      </c>
      <c r="L1408" s="25">
        <v>240</v>
      </c>
      <c r="M1408" s="27">
        <v>30</v>
      </c>
      <c r="N1408" s="25" t="s">
        <v>67</v>
      </c>
      <c r="O1408" s="25" t="s">
        <v>27</v>
      </c>
      <c r="P1408" s="25" t="s">
        <v>32</v>
      </c>
    </row>
    <row r="1409" spans="1:16" x14ac:dyDescent="0.3">
      <c r="A1409" s="25">
        <v>1408</v>
      </c>
      <c r="B1409" s="26">
        <v>45582</v>
      </c>
      <c r="C1409" s="25" t="s">
        <v>66</v>
      </c>
      <c r="D1409" s="25" t="s">
        <v>21</v>
      </c>
      <c r="E1409" s="25" t="s">
        <v>88</v>
      </c>
      <c r="F1409" s="25">
        <v>20</v>
      </c>
      <c r="G1409" s="25" t="s">
        <v>89</v>
      </c>
      <c r="H1409" s="25">
        <v>130</v>
      </c>
      <c r="I1409" s="25">
        <v>100</v>
      </c>
      <c r="J1409" s="25">
        <v>2600</v>
      </c>
      <c r="K1409" s="25">
        <v>2000</v>
      </c>
      <c r="L1409" s="25">
        <v>600</v>
      </c>
      <c r="M1409" s="27">
        <v>30</v>
      </c>
      <c r="N1409" s="25" t="s">
        <v>67</v>
      </c>
      <c r="O1409" s="25" t="s">
        <v>27</v>
      </c>
      <c r="P1409" s="25" t="s">
        <v>32</v>
      </c>
    </row>
    <row r="1410" spans="1:16" x14ac:dyDescent="0.3">
      <c r="A1410" s="25">
        <v>1409</v>
      </c>
      <c r="B1410" s="26">
        <v>45582</v>
      </c>
      <c r="C1410" s="25" t="s">
        <v>66</v>
      </c>
      <c r="D1410" s="25" t="s">
        <v>21</v>
      </c>
      <c r="E1410" s="25" t="s">
        <v>88</v>
      </c>
      <c r="F1410" s="25">
        <v>10</v>
      </c>
      <c r="G1410" s="25" t="s">
        <v>89</v>
      </c>
      <c r="H1410" s="25">
        <v>130</v>
      </c>
      <c r="I1410" s="25">
        <v>100</v>
      </c>
      <c r="J1410" s="25">
        <v>1300</v>
      </c>
      <c r="K1410" s="25">
        <v>1000</v>
      </c>
      <c r="L1410" s="25">
        <v>300</v>
      </c>
      <c r="M1410" s="27">
        <v>30</v>
      </c>
      <c r="N1410" s="25" t="s">
        <v>67</v>
      </c>
      <c r="O1410" s="25" t="s">
        <v>27</v>
      </c>
      <c r="P1410" s="25" t="s">
        <v>32</v>
      </c>
    </row>
    <row r="1411" spans="1:16" x14ac:dyDescent="0.3">
      <c r="A1411" s="25">
        <v>1410</v>
      </c>
      <c r="B1411" s="26">
        <v>45582</v>
      </c>
      <c r="C1411" s="25" t="s">
        <v>66</v>
      </c>
      <c r="D1411" s="25" t="s">
        <v>21</v>
      </c>
      <c r="E1411" s="25" t="s">
        <v>98</v>
      </c>
      <c r="F1411" s="25">
        <v>2</v>
      </c>
      <c r="G1411" s="25" t="s">
        <v>89</v>
      </c>
      <c r="H1411" s="25">
        <v>95</v>
      </c>
      <c r="I1411" s="25">
        <v>55</v>
      </c>
      <c r="J1411" s="25">
        <v>190</v>
      </c>
      <c r="K1411" s="25">
        <v>110</v>
      </c>
      <c r="L1411" s="25">
        <v>80</v>
      </c>
      <c r="M1411" s="27">
        <v>72.727272727272705</v>
      </c>
      <c r="N1411" s="25" t="s">
        <v>67</v>
      </c>
      <c r="O1411" s="25" t="s">
        <v>27</v>
      </c>
      <c r="P1411" s="25" t="s">
        <v>32</v>
      </c>
    </row>
    <row r="1412" spans="1:16" x14ac:dyDescent="0.3">
      <c r="A1412" s="25">
        <v>1411</v>
      </c>
      <c r="B1412" s="26">
        <v>45582</v>
      </c>
      <c r="C1412" s="25" t="s">
        <v>66</v>
      </c>
      <c r="D1412" s="25" t="s">
        <v>21</v>
      </c>
      <c r="E1412" s="25" t="s">
        <v>94</v>
      </c>
      <c r="F1412" s="25">
        <v>20</v>
      </c>
      <c r="G1412" s="25" t="s">
        <v>89</v>
      </c>
      <c r="H1412" s="25">
        <v>30</v>
      </c>
      <c r="I1412" s="25">
        <v>26</v>
      </c>
      <c r="J1412" s="25">
        <v>600</v>
      </c>
      <c r="K1412" s="25">
        <v>520</v>
      </c>
      <c r="L1412" s="25">
        <v>80</v>
      </c>
      <c r="M1412" s="27">
        <v>15.384615384615399</v>
      </c>
      <c r="N1412" s="25" t="s">
        <v>67</v>
      </c>
      <c r="O1412" s="25" t="s">
        <v>27</v>
      </c>
      <c r="P1412" s="25" t="s">
        <v>32</v>
      </c>
    </row>
    <row r="1413" spans="1:16" x14ac:dyDescent="0.3">
      <c r="A1413" s="25">
        <v>1412</v>
      </c>
      <c r="B1413" s="26">
        <v>45582</v>
      </c>
      <c r="C1413" s="25" t="s">
        <v>66</v>
      </c>
      <c r="D1413" s="25" t="s">
        <v>21</v>
      </c>
      <c r="E1413" s="25" t="s">
        <v>93</v>
      </c>
      <c r="F1413" s="25">
        <v>2</v>
      </c>
      <c r="G1413" s="25" t="s">
        <v>89</v>
      </c>
      <c r="H1413" s="25">
        <v>250</v>
      </c>
      <c r="I1413" s="25">
        <v>180</v>
      </c>
      <c r="J1413" s="25">
        <v>500</v>
      </c>
      <c r="K1413" s="25">
        <v>360</v>
      </c>
      <c r="L1413" s="25">
        <v>140</v>
      </c>
      <c r="M1413" s="27">
        <v>38.8888888888889</v>
      </c>
      <c r="N1413" s="25" t="s">
        <v>67</v>
      </c>
      <c r="O1413" s="25" t="s">
        <v>27</v>
      </c>
      <c r="P1413" s="25" t="s">
        <v>32</v>
      </c>
    </row>
    <row r="1414" spans="1:16" x14ac:dyDescent="0.3">
      <c r="A1414" s="25">
        <v>1413</v>
      </c>
      <c r="B1414" s="26">
        <v>45582</v>
      </c>
      <c r="C1414" s="25" t="s">
        <v>66</v>
      </c>
      <c r="D1414" s="25" t="s">
        <v>21</v>
      </c>
      <c r="E1414" s="25" t="s">
        <v>98</v>
      </c>
      <c r="F1414" s="25">
        <v>2</v>
      </c>
      <c r="G1414" s="25" t="s">
        <v>89</v>
      </c>
      <c r="H1414" s="25">
        <v>95</v>
      </c>
      <c r="I1414" s="25">
        <v>55</v>
      </c>
      <c r="J1414" s="25">
        <v>190</v>
      </c>
      <c r="K1414" s="25">
        <v>110</v>
      </c>
      <c r="L1414" s="25">
        <v>80</v>
      </c>
      <c r="M1414" s="27">
        <v>72.727272727272705</v>
      </c>
      <c r="N1414" s="25" t="s">
        <v>67</v>
      </c>
      <c r="O1414" s="25" t="s">
        <v>27</v>
      </c>
      <c r="P1414" s="25" t="s">
        <v>32</v>
      </c>
    </row>
    <row r="1415" spans="1:16" x14ac:dyDescent="0.3">
      <c r="A1415" s="25">
        <v>1414</v>
      </c>
      <c r="B1415" s="26">
        <v>45582</v>
      </c>
      <c r="C1415" s="25" t="s">
        <v>66</v>
      </c>
      <c r="D1415" s="25" t="s">
        <v>21</v>
      </c>
      <c r="E1415" s="25" t="s">
        <v>94</v>
      </c>
      <c r="F1415" s="25">
        <v>14</v>
      </c>
      <c r="G1415" s="25" t="s">
        <v>89</v>
      </c>
      <c r="H1415" s="25">
        <v>30</v>
      </c>
      <c r="I1415" s="25">
        <v>26</v>
      </c>
      <c r="J1415" s="25">
        <v>420</v>
      </c>
      <c r="K1415" s="25">
        <v>364</v>
      </c>
      <c r="L1415" s="25">
        <v>56</v>
      </c>
      <c r="M1415" s="27">
        <v>15.384615384615399</v>
      </c>
      <c r="N1415" s="25" t="s">
        <v>67</v>
      </c>
      <c r="O1415" s="25" t="s">
        <v>27</v>
      </c>
      <c r="P1415" s="25" t="s">
        <v>32</v>
      </c>
    </row>
    <row r="1416" spans="1:16" x14ac:dyDescent="0.3">
      <c r="A1416" s="25">
        <v>1415</v>
      </c>
      <c r="B1416" s="26">
        <v>45582</v>
      </c>
      <c r="C1416" s="25" t="s">
        <v>66</v>
      </c>
      <c r="D1416" s="25" t="s">
        <v>21</v>
      </c>
      <c r="E1416" s="25" t="s">
        <v>88</v>
      </c>
      <c r="F1416" s="25">
        <v>2</v>
      </c>
      <c r="G1416" s="25" t="s">
        <v>89</v>
      </c>
      <c r="H1416" s="25">
        <v>130</v>
      </c>
      <c r="I1416" s="25">
        <v>100</v>
      </c>
      <c r="J1416" s="25">
        <v>260</v>
      </c>
      <c r="K1416" s="25">
        <v>200</v>
      </c>
      <c r="L1416" s="25">
        <v>60</v>
      </c>
      <c r="M1416" s="27">
        <v>30</v>
      </c>
      <c r="N1416" s="25" t="s">
        <v>67</v>
      </c>
      <c r="O1416" s="25" t="s">
        <v>27</v>
      </c>
      <c r="P1416" s="25" t="s">
        <v>32</v>
      </c>
    </row>
    <row r="1417" spans="1:16" x14ac:dyDescent="0.3">
      <c r="A1417" s="25">
        <v>1416</v>
      </c>
      <c r="B1417" s="26">
        <v>45582</v>
      </c>
      <c r="C1417" s="25" t="s">
        <v>66</v>
      </c>
      <c r="D1417" s="25" t="s">
        <v>21</v>
      </c>
      <c r="E1417" s="25" t="s">
        <v>88</v>
      </c>
      <c r="F1417" s="25">
        <v>16</v>
      </c>
      <c r="G1417" s="25" t="s">
        <v>89</v>
      </c>
      <c r="H1417" s="25">
        <v>130</v>
      </c>
      <c r="I1417" s="25">
        <v>100</v>
      </c>
      <c r="J1417" s="25">
        <v>2080</v>
      </c>
      <c r="K1417" s="25">
        <v>1600</v>
      </c>
      <c r="L1417" s="25">
        <v>480</v>
      </c>
      <c r="M1417" s="27">
        <v>30</v>
      </c>
      <c r="N1417" s="25" t="s">
        <v>67</v>
      </c>
      <c r="O1417" s="25" t="s">
        <v>27</v>
      </c>
      <c r="P1417" s="25" t="s">
        <v>32</v>
      </c>
    </row>
    <row r="1418" spans="1:16" x14ac:dyDescent="0.3">
      <c r="A1418" s="25">
        <v>1417</v>
      </c>
      <c r="B1418" s="26">
        <v>45582</v>
      </c>
      <c r="C1418" s="25" t="s">
        <v>66</v>
      </c>
      <c r="D1418" s="25" t="s">
        <v>21</v>
      </c>
      <c r="E1418" s="25" t="s">
        <v>98</v>
      </c>
      <c r="F1418" s="25">
        <v>2</v>
      </c>
      <c r="G1418" s="25" t="s">
        <v>89</v>
      </c>
      <c r="H1418" s="25">
        <v>95</v>
      </c>
      <c r="I1418" s="25">
        <v>55</v>
      </c>
      <c r="J1418" s="25">
        <v>190</v>
      </c>
      <c r="K1418" s="25">
        <v>110</v>
      </c>
      <c r="L1418" s="25">
        <v>80</v>
      </c>
      <c r="M1418" s="27">
        <v>72.727272727272705</v>
      </c>
      <c r="N1418" s="25" t="s">
        <v>67</v>
      </c>
      <c r="O1418" s="25" t="s">
        <v>27</v>
      </c>
      <c r="P1418" s="25" t="s">
        <v>32</v>
      </c>
    </row>
    <row r="1419" spans="1:16" x14ac:dyDescent="0.3">
      <c r="A1419" s="25">
        <v>1418</v>
      </c>
      <c r="B1419" s="26">
        <v>45582</v>
      </c>
      <c r="C1419" s="25" t="s">
        <v>66</v>
      </c>
      <c r="D1419" s="25" t="s">
        <v>21</v>
      </c>
      <c r="E1419" s="25" t="s">
        <v>94</v>
      </c>
      <c r="F1419" s="25">
        <v>5</v>
      </c>
      <c r="G1419" s="25" t="s">
        <v>89</v>
      </c>
      <c r="H1419" s="25">
        <v>30</v>
      </c>
      <c r="I1419" s="25">
        <v>26</v>
      </c>
      <c r="J1419" s="25">
        <v>150</v>
      </c>
      <c r="K1419" s="25">
        <v>130</v>
      </c>
      <c r="L1419" s="25">
        <v>20</v>
      </c>
      <c r="M1419" s="27">
        <v>15.384615384615399</v>
      </c>
      <c r="N1419" s="25" t="s">
        <v>67</v>
      </c>
      <c r="O1419" s="25" t="s">
        <v>27</v>
      </c>
      <c r="P1419" s="25" t="s">
        <v>32</v>
      </c>
    </row>
    <row r="1420" spans="1:16" x14ac:dyDescent="0.3">
      <c r="A1420" s="25">
        <v>1419</v>
      </c>
      <c r="B1420" s="26">
        <v>45582</v>
      </c>
      <c r="C1420" s="25" t="s">
        <v>66</v>
      </c>
      <c r="D1420" s="25" t="s">
        <v>21</v>
      </c>
      <c r="E1420" s="25" t="s">
        <v>88</v>
      </c>
      <c r="F1420" s="25">
        <v>2</v>
      </c>
      <c r="G1420" s="25" t="s">
        <v>89</v>
      </c>
      <c r="H1420" s="25">
        <v>130</v>
      </c>
      <c r="I1420" s="25">
        <v>100</v>
      </c>
      <c r="J1420" s="25">
        <v>260</v>
      </c>
      <c r="K1420" s="25">
        <v>200</v>
      </c>
      <c r="L1420" s="25">
        <v>60</v>
      </c>
      <c r="M1420" s="27">
        <v>30</v>
      </c>
      <c r="N1420" s="25" t="s">
        <v>67</v>
      </c>
      <c r="O1420" s="25" t="s">
        <v>27</v>
      </c>
      <c r="P1420" s="25" t="s">
        <v>32</v>
      </c>
    </row>
    <row r="1421" spans="1:16" x14ac:dyDescent="0.3">
      <c r="A1421" s="25">
        <v>1420</v>
      </c>
      <c r="B1421" s="26">
        <v>45582</v>
      </c>
      <c r="C1421" s="25" t="s">
        <v>66</v>
      </c>
      <c r="D1421" s="25" t="s">
        <v>21</v>
      </c>
      <c r="E1421" s="25" t="s">
        <v>93</v>
      </c>
      <c r="F1421" s="25">
        <v>1</v>
      </c>
      <c r="G1421" s="25" t="s">
        <v>89</v>
      </c>
      <c r="H1421" s="25">
        <v>250</v>
      </c>
      <c r="I1421" s="25">
        <v>180</v>
      </c>
      <c r="J1421" s="25">
        <v>250</v>
      </c>
      <c r="K1421" s="25">
        <v>180</v>
      </c>
      <c r="L1421" s="25">
        <v>70</v>
      </c>
      <c r="M1421" s="27">
        <v>38.8888888888889</v>
      </c>
      <c r="N1421" s="25" t="s">
        <v>67</v>
      </c>
      <c r="O1421" s="25" t="s">
        <v>27</v>
      </c>
      <c r="P1421" s="25" t="s">
        <v>32</v>
      </c>
    </row>
    <row r="1422" spans="1:16" x14ac:dyDescent="0.3">
      <c r="A1422" s="25">
        <v>1421</v>
      </c>
      <c r="B1422" s="26">
        <v>45582</v>
      </c>
      <c r="C1422" s="25" t="s">
        <v>66</v>
      </c>
      <c r="D1422" s="25" t="s">
        <v>21</v>
      </c>
      <c r="E1422" s="25" t="s">
        <v>88</v>
      </c>
      <c r="F1422" s="25">
        <v>6</v>
      </c>
      <c r="G1422" s="25" t="s">
        <v>89</v>
      </c>
      <c r="H1422" s="25">
        <v>130</v>
      </c>
      <c r="I1422" s="25">
        <v>100</v>
      </c>
      <c r="J1422" s="25">
        <v>780</v>
      </c>
      <c r="K1422" s="25">
        <v>600</v>
      </c>
      <c r="L1422" s="25">
        <v>180</v>
      </c>
      <c r="M1422" s="27">
        <v>30</v>
      </c>
      <c r="N1422" s="25" t="s">
        <v>67</v>
      </c>
      <c r="O1422" s="25" t="s">
        <v>27</v>
      </c>
      <c r="P1422" s="25" t="s">
        <v>32</v>
      </c>
    </row>
    <row r="1423" spans="1:16" x14ac:dyDescent="0.3">
      <c r="A1423" s="25">
        <v>1422</v>
      </c>
      <c r="B1423" s="26">
        <v>45582</v>
      </c>
      <c r="C1423" s="25" t="s">
        <v>66</v>
      </c>
      <c r="D1423" s="25" t="s">
        <v>21</v>
      </c>
      <c r="E1423" s="25" t="s">
        <v>98</v>
      </c>
      <c r="F1423" s="25">
        <v>2</v>
      </c>
      <c r="G1423" s="25" t="s">
        <v>89</v>
      </c>
      <c r="H1423" s="25">
        <v>95</v>
      </c>
      <c r="I1423" s="25">
        <v>55</v>
      </c>
      <c r="J1423" s="25">
        <v>190</v>
      </c>
      <c r="K1423" s="25">
        <v>110</v>
      </c>
      <c r="L1423" s="25">
        <v>80</v>
      </c>
      <c r="M1423" s="27">
        <v>72.727272727272705</v>
      </c>
      <c r="N1423" s="25" t="s">
        <v>67</v>
      </c>
      <c r="O1423" s="25" t="s">
        <v>27</v>
      </c>
      <c r="P1423" s="25" t="s">
        <v>32</v>
      </c>
    </row>
    <row r="1424" spans="1:16" x14ac:dyDescent="0.3">
      <c r="A1424" s="25">
        <v>1423</v>
      </c>
      <c r="B1424" s="26">
        <v>45582</v>
      </c>
      <c r="C1424" s="25" t="s">
        <v>66</v>
      </c>
      <c r="D1424" s="25" t="s">
        <v>21</v>
      </c>
      <c r="E1424" s="25" t="s">
        <v>94</v>
      </c>
      <c r="F1424" s="25">
        <v>8</v>
      </c>
      <c r="G1424" s="25" t="s">
        <v>89</v>
      </c>
      <c r="H1424" s="25">
        <v>30</v>
      </c>
      <c r="I1424" s="25">
        <v>26</v>
      </c>
      <c r="J1424" s="25">
        <v>240</v>
      </c>
      <c r="K1424" s="25">
        <v>208</v>
      </c>
      <c r="L1424" s="25">
        <v>32</v>
      </c>
      <c r="M1424" s="27">
        <v>15.384615384615399</v>
      </c>
      <c r="N1424" s="25" t="s">
        <v>67</v>
      </c>
      <c r="O1424" s="25" t="s">
        <v>27</v>
      </c>
      <c r="P1424" s="25" t="s">
        <v>32</v>
      </c>
    </row>
    <row r="1425" spans="1:16" x14ac:dyDescent="0.3">
      <c r="A1425" s="25">
        <v>1424</v>
      </c>
      <c r="B1425" s="26">
        <v>45582</v>
      </c>
      <c r="C1425" s="25" t="s">
        <v>66</v>
      </c>
      <c r="D1425" s="25" t="s">
        <v>21</v>
      </c>
      <c r="E1425" s="25" t="s">
        <v>93</v>
      </c>
      <c r="F1425" s="25">
        <v>2</v>
      </c>
      <c r="G1425" s="25" t="s">
        <v>89</v>
      </c>
      <c r="H1425" s="25">
        <v>250</v>
      </c>
      <c r="I1425" s="25">
        <v>180</v>
      </c>
      <c r="J1425" s="25">
        <v>500</v>
      </c>
      <c r="K1425" s="25">
        <v>360</v>
      </c>
      <c r="L1425" s="25">
        <v>140</v>
      </c>
      <c r="M1425" s="27">
        <v>38.8888888888889</v>
      </c>
      <c r="N1425" s="25" t="s">
        <v>67</v>
      </c>
      <c r="O1425" s="25" t="s">
        <v>27</v>
      </c>
      <c r="P1425" s="25" t="s">
        <v>32</v>
      </c>
    </row>
    <row r="1426" spans="1:16" x14ac:dyDescent="0.3">
      <c r="A1426" s="25">
        <v>1425</v>
      </c>
      <c r="B1426" s="26">
        <v>45582</v>
      </c>
      <c r="C1426" s="25" t="s">
        <v>66</v>
      </c>
      <c r="D1426" s="25" t="s">
        <v>21</v>
      </c>
      <c r="E1426" s="25" t="s">
        <v>88</v>
      </c>
      <c r="F1426" s="25">
        <v>10</v>
      </c>
      <c r="G1426" s="25" t="s">
        <v>89</v>
      </c>
      <c r="H1426" s="25">
        <v>130</v>
      </c>
      <c r="I1426" s="25">
        <v>100</v>
      </c>
      <c r="J1426" s="25">
        <v>1300</v>
      </c>
      <c r="K1426" s="25">
        <v>1000</v>
      </c>
      <c r="L1426" s="25">
        <v>300</v>
      </c>
      <c r="M1426" s="27">
        <v>30</v>
      </c>
      <c r="N1426" s="25" t="s">
        <v>67</v>
      </c>
      <c r="O1426" s="25" t="s">
        <v>27</v>
      </c>
      <c r="P1426" s="25" t="s">
        <v>32</v>
      </c>
    </row>
    <row r="1427" spans="1:16" x14ac:dyDescent="0.3">
      <c r="A1427" s="25">
        <v>1426</v>
      </c>
      <c r="B1427" s="26">
        <v>45582</v>
      </c>
      <c r="C1427" s="25" t="s">
        <v>66</v>
      </c>
      <c r="D1427" s="25" t="s">
        <v>21</v>
      </c>
      <c r="E1427" s="25" t="s">
        <v>88</v>
      </c>
      <c r="F1427" s="25">
        <v>15</v>
      </c>
      <c r="G1427" s="25" t="s">
        <v>89</v>
      </c>
      <c r="H1427" s="25">
        <v>130</v>
      </c>
      <c r="I1427" s="25">
        <v>100</v>
      </c>
      <c r="J1427" s="25">
        <v>1950</v>
      </c>
      <c r="K1427" s="25">
        <v>1500</v>
      </c>
      <c r="L1427" s="25">
        <v>450</v>
      </c>
      <c r="M1427" s="27">
        <v>30</v>
      </c>
      <c r="N1427" s="25" t="s">
        <v>67</v>
      </c>
      <c r="O1427" s="25" t="s">
        <v>27</v>
      </c>
      <c r="P1427" s="25" t="s">
        <v>32</v>
      </c>
    </row>
    <row r="1428" spans="1:16" x14ac:dyDescent="0.3">
      <c r="A1428" s="25">
        <v>1427</v>
      </c>
      <c r="B1428" s="26">
        <v>45582</v>
      </c>
      <c r="C1428" s="25" t="s">
        <v>66</v>
      </c>
      <c r="D1428" s="25" t="s">
        <v>21</v>
      </c>
      <c r="E1428" s="25" t="s">
        <v>88</v>
      </c>
      <c r="F1428" s="25">
        <v>2</v>
      </c>
      <c r="G1428" s="25" t="s">
        <v>89</v>
      </c>
      <c r="H1428" s="25">
        <v>130</v>
      </c>
      <c r="I1428" s="25">
        <v>100</v>
      </c>
      <c r="J1428" s="25">
        <v>260</v>
      </c>
      <c r="K1428" s="25">
        <v>200</v>
      </c>
      <c r="L1428" s="25">
        <v>60</v>
      </c>
      <c r="M1428" s="27">
        <v>30</v>
      </c>
      <c r="N1428" s="25" t="s">
        <v>67</v>
      </c>
      <c r="O1428" s="25" t="s">
        <v>27</v>
      </c>
      <c r="P1428" s="25" t="s">
        <v>32</v>
      </c>
    </row>
    <row r="1429" spans="1:16" x14ac:dyDescent="0.3">
      <c r="A1429" s="25">
        <v>1428</v>
      </c>
      <c r="B1429" s="26">
        <v>45582</v>
      </c>
      <c r="C1429" s="25" t="s">
        <v>66</v>
      </c>
      <c r="D1429" s="25" t="s">
        <v>22</v>
      </c>
      <c r="E1429" s="25" t="s">
        <v>92</v>
      </c>
      <c r="F1429" s="25">
        <v>0.5</v>
      </c>
      <c r="G1429" s="25" t="s">
        <v>91</v>
      </c>
      <c r="H1429" s="25">
        <v>260</v>
      </c>
      <c r="I1429" s="25">
        <v>220</v>
      </c>
      <c r="J1429" s="25">
        <v>130</v>
      </c>
      <c r="K1429" s="25">
        <v>110</v>
      </c>
      <c r="L1429" s="25">
        <v>20</v>
      </c>
      <c r="M1429" s="27">
        <v>18.181818181818201</v>
      </c>
      <c r="N1429" s="25" t="s">
        <v>67</v>
      </c>
      <c r="O1429" s="25" t="s">
        <v>28</v>
      </c>
      <c r="P1429" s="25" t="s">
        <v>32</v>
      </c>
    </row>
    <row r="1430" spans="1:16" x14ac:dyDescent="0.3">
      <c r="A1430" s="25">
        <v>1429</v>
      </c>
      <c r="B1430" s="26">
        <v>45582</v>
      </c>
      <c r="C1430" s="25" t="s">
        <v>66</v>
      </c>
      <c r="D1430" s="25" t="s">
        <v>22</v>
      </c>
      <c r="E1430" s="25" t="s">
        <v>90</v>
      </c>
      <c r="F1430" s="25">
        <v>1.5</v>
      </c>
      <c r="G1430" s="25" t="s">
        <v>91</v>
      </c>
      <c r="H1430" s="25">
        <v>280</v>
      </c>
      <c r="I1430" s="25">
        <v>240</v>
      </c>
      <c r="J1430" s="25">
        <v>420</v>
      </c>
      <c r="K1430" s="25">
        <v>360</v>
      </c>
      <c r="L1430" s="25">
        <v>60</v>
      </c>
      <c r="M1430" s="27">
        <v>16.6666666666667</v>
      </c>
      <c r="N1430" s="25" t="s">
        <v>67</v>
      </c>
      <c r="O1430" s="25" t="s">
        <v>28</v>
      </c>
      <c r="P1430" s="25" t="s">
        <v>32</v>
      </c>
    </row>
    <row r="1431" spans="1:16" x14ac:dyDescent="0.3">
      <c r="A1431" s="25">
        <v>1430</v>
      </c>
      <c r="B1431" s="26">
        <v>45582</v>
      </c>
      <c r="C1431" s="25" t="s">
        <v>66</v>
      </c>
      <c r="D1431" s="25" t="s">
        <v>21</v>
      </c>
      <c r="E1431" s="25" t="s">
        <v>94</v>
      </c>
      <c r="F1431" s="25">
        <v>15</v>
      </c>
      <c r="G1431" s="25" t="s">
        <v>89</v>
      </c>
      <c r="H1431" s="25">
        <v>30</v>
      </c>
      <c r="I1431" s="25">
        <v>26</v>
      </c>
      <c r="J1431" s="25">
        <v>450</v>
      </c>
      <c r="K1431" s="25">
        <v>390</v>
      </c>
      <c r="L1431" s="25">
        <v>60</v>
      </c>
      <c r="M1431" s="27">
        <v>15.384615384615399</v>
      </c>
      <c r="N1431" s="25" t="s">
        <v>67</v>
      </c>
      <c r="O1431" s="25" t="s">
        <v>27</v>
      </c>
      <c r="P1431" s="25" t="s">
        <v>32</v>
      </c>
    </row>
    <row r="1432" spans="1:16" x14ac:dyDescent="0.3">
      <c r="A1432" s="25">
        <v>1431</v>
      </c>
      <c r="B1432" s="26">
        <v>45582</v>
      </c>
      <c r="C1432" s="25" t="s">
        <v>66</v>
      </c>
      <c r="D1432" s="25" t="s">
        <v>21</v>
      </c>
      <c r="E1432" s="25" t="s">
        <v>93</v>
      </c>
      <c r="F1432" s="25">
        <v>2</v>
      </c>
      <c r="G1432" s="25" t="s">
        <v>89</v>
      </c>
      <c r="H1432" s="25">
        <v>250</v>
      </c>
      <c r="I1432" s="25">
        <v>180</v>
      </c>
      <c r="J1432" s="25">
        <v>500</v>
      </c>
      <c r="K1432" s="25">
        <v>360</v>
      </c>
      <c r="L1432" s="25">
        <v>140</v>
      </c>
      <c r="M1432" s="27">
        <v>38.8888888888889</v>
      </c>
      <c r="N1432" s="25" t="s">
        <v>67</v>
      </c>
      <c r="O1432" s="25" t="s">
        <v>27</v>
      </c>
      <c r="P1432" s="25" t="s">
        <v>32</v>
      </c>
    </row>
    <row r="1433" spans="1:16" x14ac:dyDescent="0.3">
      <c r="A1433" s="25">
        <v>1432</v>
      </c>
      <c r="B1433" s="26">
        <v>45582</v>
      </c>
      <c r="C1433" s="25" t="s">
        <v>66</v>
      </c>
      <c r="D1433" s="25" t="s">
        <v>21</v>
      </c>
      <c r="E1433" s="25" t="s">
        <v>98</v>
      </c>
      <c r="F1433" s="25">
        <v>1</v>
      </c>
      <c r="G1433" s="25" t="s">
        <v>89</v>
      </c>
      <c r="H1433" s="25">
        <v>95</v>
      </c>
      <c r="I1433" s="25">
        <v>55</v>
      </c>
      <c r="J1433" s="25">
        <v>95</v>
      </c>
      <c r="K1433" s="25">
        <v>55</v>
      </c>
      <c r="L1433" s="25">
        <v>40</v>
      </c>
      <c r="M1433" s="27">
        <v>72.727272727272705</v>
      </c>
      <c r="N1433" s="25" t="s">
        <v>67</v>
      </c>
      <c r="O1433" s="25" t="s">
        <v>27</v>
      </c>
      <c r="P1433" s="25" t="s">
        <v>32</v>
      </c>
    </row>
    <row r="1434" spans="1:16" x14ac:dyDescent="0.3">
      <c r="A1434" s="25">
        <v>1433</v>
      </c>
      <c r="B1434" s="26">
        <v>45582</v>
      </c>
      <c r="C1434" s="25" t="s">
        <v>66</v>
      </c>
      <c r="D1434" s="25" t="s">
        <v>21</v>
      </c>
      <c r="E1434" s="25" t="s">
        <v>88</v>
      </c>
      <c r="F1434" s="25">
        <v>16</v>
      </c>
      <c r="G1434" s="25" t="s">
        <v>89</v>
      </c>
      <c r="H1434" s="25">
        <v>130</v>
      </c>
      <c r="I1434" s="25">
        <v>100</v>
      </c>
      <c r="J1434" s="25">
        <v>2080</v>
      </c>
      <c r="K1434" s="25">
        <v>1600</v>
      </c>
      <c r="L1434" s="25">
        <v>480</v>
      </c>
      <c r="M1434" s="27">
        <v>30</v>
      </c>
      <c r="N1434" s="25" t="s">
        <v>67</v>
      </c>
      <c r="O1434" s="25" t="s">
        <v>27</v>
      </c>
      <c r="P1434" s="25" t="s">
        <v>32</v>
      </c>
    </row>
    <row r="1435" spans="1:16" x14ac:dyDescent="0.3">
      <c r="A1435" s="25">
        <v>1434</v>
      </c>
      <c r="B1435" s="26">
        <v>45582</v>
      </c>
      <c r="C1435" s="25" t="s">
        <v>66</v>
      </c>
      <c r="D1435" s="25" t="s">
        <v>21</v>
      </c>
      <c r="E1435" s="25" t="s">
        <v>88</v>
      </c>
      <c r="F1435" s="25">
        <v>8</v>
      </c>
      <c r="G1435" s="25" t="s">
        <v>89</v>
      </c>
      <c r="H1435" s="25">
        <v>130</v>
      </c>
      <c r="I1435" s="25">
        <v>100</v>
      </c>
      <c r="J1435" s="25">
        <v>1040</v>
      </c>
      <c r="K1435" s="25">
        <v>800</v>
      </c>
      <c r="L1435" s="25">
        <v>240</v>
      </c>
      <c r="M1435" s="27">
        <v>30</v>
      </c>
      <c r="N1435" s="25" t="s">
        <v>67</v>
      </c>
      <c r="O1435" s="25" t="s">
        <v>27</v>
      </c>
      <c r="P1435" s="25" t="s">
        <v>32</v>
      </c>
    </row>
    <row r="1436" spans="1:16" x14ac:dyDescent="0.3">
      <c r="A1436" s="25">
        <v>1435</v>
      </c>
      <c r="B1436" s="26">
        <v>45582</v>
      </c>
      <c r="C1436" s="25" t="s">
        <v>66</v>
      </c>
      <c r="D1436" s="25" t="s">
        <v>21</v>
      </c>
      <c r="E1436" s="25" t="s">
        <v>94</v>
      </c>
      <c r="F1436" s="25">
        <v>25</v>
      </c>
      <c r="G1436" s="25" t="s">
        <v>89</v>
      </c>
      <c r="H1436" s="25">
        <v>30</v>
      </c>
      <c r="I1436" s="25">
        <v>26</v>
      </c>
      <c r="J1436" s="25">
        <v>750</v>
      </c>
      <c r="K1436" s="25">
        <v>650</v>
      </c>
      <c r="L1436" s="25">
        <v>100</v>
      </c>
      <c r="M1436" s="27">
        <v>15.384615384615399</v>
      </c>
      <c r="N1436" s="25" t="s">
        <v>67</v>
      </c>
      <c r="O1436" s="25" t="s">
        <v>27</v>
      </c>
      <c r="P1436" s="25" t="s">
        <v>32</v>
      </c>
    </row>
    <row r="1437" spans="1:16" x14ac:dyDescent="0.3">
      <c r="A1437" s="25">
        <v>1436</v>
      </c>
      <c r="B1437" s="26">
        <v>45583</v>
      </c>
      <c r="C1437" s="25" t="s">
        <v>66</v>
      </c>
      <c r="D1437" s="25" t="s">
        <v>21</v>
      </c>
      <c r="E1437" s="25" t="s">
        <v>88</v>
      </c>
      <c r="F1437" s="25">
        <v>5</v>
      </c>
      <c r="G1437" s="25" t="s">
        <v>89</v>
      </c>
      <c r="H1437" s="25">
        <v>130</v>
      </c>
      <c r="I1437" s="25">
        <v>100</v>
      </c>
      <c r="J1437" s="25">
        <v>650</v>
      </c>
      <c r="K1437" s="25">
        <v>500</v>
      </c>
      <c r="L1437" s="25">
        <v>150</v>
      </c>
      <c r="M1437" s="27">
        <v>30</v>
      </c>
      <c r="N1437" s="25" t="s">
        <v>67</v>
      </c>
      <c r="O1437" s="25" t="s">
        <v>27</v>
      </c>
      <c r="P1437" s="25" t="s">
        <v>32</v>
      </c>
    </row>
    <row r="1438" spans="1:16" x14ac:dyDescent="0.3">
      <c r="A1438" s="25">
        <v>1437</v>
      </c>
      <c r="B1438" s="26">
        <v>45583</v>
      </c>
      <c r="C1438" s="25" t="s">
        <v>66</v>
      </c>
      <c r="D1438" s="25" t="s">
        <v>21</v>
      </c>
      <c r="E1438" s="25" t="s">
        <v>98</v>
      </c>
      <c r="F1438" s="25">
        <v>2</v>
      </c>
      <c r="G1438" s="25" t="s">
        <v>89</v>
      </c>
      <c r="H1438" s="25">
        <v>95</v>
      </c>
      <c r="I1438" s="25">
        <v>55</v>
      </c>
      <c r="J1438" s="25">
        <v>190</v>
      </c>
      <c r="K1438" s="25">
        <v>110</v>
      </c>
      <c r="L1438" s="25">
        <v>80</v>
      </c>
      <c r="M1438" s="27">
        <v>72.727272727272705</v>
      </c>
      <c r="N1438" s="25" t="s">
        <v>67</v>
      </c>
      <c r="O1438" s="25" t="s">
        <v>27</v>
      </c>
      <c r="P1438" s="25" t="s">
        <v>32</v>
      </c>
    </row>
    <row r="1439" spans="1:16" x14ac:dyDescent="0.3">
      <c r="A1439" s="25">
        <v>1438</v>
      </c>
      <c r="B1439" s="26">
        <v>45583</v>
      </c>
      <c r="C1439" s="25" t="s">
        <v>66</v>
      </c>
      <c r="D1439" s="25" t="s">
        <v>22</v>
      </c>
      <c r="E1439" s="25" t="s">
        <v>92</v>
      </c>
      <c r="F1439" s="25">
        <v>2</v>
      </c>
      <c r="G1439" s="25" t="s">
        <v>91</v>
      </c>
      <c r="H1439" s="25">
        <v>260</v>
      </c>
      <c r="I1439" s="25">
        <v>220</v>
      </c>
      <c r="J1439" s="25">
        <v>520</v>
      </c>
      <c r="K1439" s="25">
        <v>440</v>
      </c>
      <c r="L1439" s="25">
        <v>80</v>
      </c>
      <c r="M1439" s="27">
        <v>18.181818181818201</v>
      </c>
      <c r="N1439" s="25" t="s">
        <v>67</v>
      </c>
      <c r="O1439" s="25" t="s">
        <v>28</v>
      </c>
      <c r="P1439" s="25" t="s">
        <v>33</v>
      </c>
    </row>
    <row r="1440" spans="1:16" x14ac:dyDescent="0.3">
      <c r="A1440" s="25">
        <v>1439</v>
      </c>
      <c r="B1440" s="26">
        <v>45583</v>
      </c>
      <c r="C1440" s="25" t="s">
        <v>66</v>
      </c>
      <c r="D1440" s="25" t="s">
        <v>22</v>
      </c>
      <c r="E1440" s="25" t="s">
        <v>103</v>
      </c>
      <c r="F1440" s="25">
        <v>1</v>
      </c>
      <c r="G1440" s="25" t="s">
        <v>102</v>
      </c>
      <c r="H1440" s="25">
        <v>30</v>
      </c>
      <c r="I1440" s="25">
        <v>20</v>
      </c>
      <c r="J1440" s="25">
        <v>30</v>
      </c>
      <c r="K1440" s="25">
        <v>20</v>
      </c>
      <c r="L1440" s="25">
        <v>10</v>
      </c>
      <c r="M1440" s="27">
        <v>50</v>
      </c>
      <c r="N1440" s="25" t="s">
        <v>67</v>
      </c>
      <c r="O1440" s="25" t="s">
        <v>28</v>
      </c>
      <c r="P1440" s="25" t="s">
        <v>33</v>
      </c>
    </row>
    <row r="1441" spans="1:16" x14ac:dyDescent="0.3">
      <c r="A1441" s="25">
        <v>1440</v>
      </c>
      <c r="B1441" s="26">
        <v>45583</v>
      </c>
      <c r="C1441" s="25" t="s">
        <v>66</v>
      </c>
      <c r="D1441" s="25" t="s">
        <v>21</v>
      </c>
      <c r="E1441" s="25" t="s">
        <v>94</v>
      </c>
      <c r="F1441" s="25">
        <v>15</v>
      </c>
      <c r="G1441" s="25" t="s">
        <v>89</v>
      </c>
      <c r="H1441" s="25">
        <v>30</v>
      </c>
      <c r="I1441" s="25">
        <v>26</v>
      </c>
      <c r="J1441" s="25">
        <v>450</v>
      </c>
      <c r="K1441" s="25">
        <v>390</v>
      </c>
      <c r="L1441" s="25">
        <v>60</v>
      </c>
      <c r="M1441" s="27">
        <v>15.384615384615399</v>
      </c>
      <c r="N1441" s="25" t="s">
        <v>67</v>
      </c>
      <c r="O1441" s="25" t="s">
        <v>27</v>
      </c>
      <c r="P1441" s="25" t="s">
        <v>32</v>
      </c>
    </row>
    <row r="1442" spans="1:16" x14ac:dyDescent="0.3">
      <c r="A1442" s="25">
        <v>1441</v>
      </c>
      <c r="B1442" s="26">
        <v>45583</v>
      </c>
      <c r="C1442" s="25" t="s">
        <v>66</v>
      </c>
      <c r="D1442" s="25" t="s">
        <v>21</v>
      </c>
      <c r="E1442" s="25" t="s">
        <v>88</v>
      </c>
      <c r="F1442" s="25">
        <v>5</v>
      </c>
      <c r="G1442" s="25" t="s">
        <v>89</v>
      </c>
      <c r="H1442" s="25">
        <v>130</v>
      </c>
      <c r="I1442" s="25">
        <v>100</v>
      </c>
      <c r="J1442" s="25">
        <v>650</v>
      </c>
      <c r="K1442" s="25">
        <v>500</v>
      </c>
      <c r="L1442" s="25">
        <v>150</v>
      </c>
      <c r="M1442" s="27">
        <v>30</v>
      </c>
      <c r="N1442" s="25" t="s">
        <v>67</v>
      </c>
      <c r="O1442" s="25" t="s">
        <v>27</v>
      </c>
      <c r="P1442" s="25" t="s">
        <v>32</v>
      </c>
    </row>
    <row r="1443" spans="1:16" x14ac:dyDescent="0.3">
      <c r="A1443" s="25">
        <v>1442</v>
      </c>
      <c r="B1443" s="26">
        <v>45583</v>
      </c>
      <c r="C1443" s="25" t="s">
        <v>66</v>
      </c>
      <c r="D1443" s="25" t="s">
        <v>21</v>
      </c>
      <c r="E1443" s="25" t="s">
        <v>93</v>
      </c>
      <c r="F1443" s="25">
        <v>8</v>
      </c>
      <c r="G1443" s="25" t="s">
        <v>89</v>
      </c>
      <c r="H1443" s="25">
        <v>250</v>
      </c>
      <c r="I1443" s="25">
        <v>180</v>
      </c>
      <c r="J1443" s="25">
        <v>2000</v>
      </c>
      <c r="K1443" s="25">
        <v>1440</v>
      </c>
      <c r="L1443" s="25">
        <v>560</v>
      </c>
      <c r="M1443" s="27">
        <v>38.8888888888889</v>
      </c>
      <c r="N1443" s="25" t="s">
        <v>67</v>
      </c>
      <c r="O1443" s="25" t="s">
        <v>27</v>
      </c>
      <c r="P1443" s="25" t="s">
        <v>32</v>
      </c>
    </row>
    <row r="1444" spans="1:16" x14ac:dyDescent="0.3">
      <c r="A1444" s="25">
        <v>1443</v>
      </c>
      <c r="B1444" s="26">
        <v>45583</v>
      </c>
      <c r="C1444" s="25" t="s">
        <v>66</v>
      </c>
      <c r="D1444" s="25" t="s">
        <v>21</v>
      </c>
      <c r="E1444" s="25" t="s">
        <v>88</v>
      </c>
      <c r="F1444" s="25">
        <v>10</v>
      </c>
      <c r="G1444" s="25" t="s">
        <v>89</v>
      </c>
      <c r="H1444" s="25">
        <v>130</v>
      </c>
      <c r="I1444" s="25">
        <v>100</v>
      </c>
      <c r="J1444" s="25">
        <v>1300</v>
      </c>
      <c r="K1444" s="25">
        <v>1000</v>
      </c>
      <c r="L1444" s="25">
        <v>300</v>
      </c>
      <c r="M1444" s="27">
        <v>30</v>
      </c>
      <c r="N1444" s="25" t="s">
        <v>67</v>
      </c>
      <c r="O1444" s="25" t="s">
        <v>27</v>
      </c>
      <c r="P1444" s="25" t="s">
        <v>32</v>
      </c>
    </row>
    <row r="1445" spans="1:16" x14ac:dyDescent="0.3">
      <c r="A1445" s="25">
        <v>1444</v>
      </c>
      <c r="B1445" s="26">
        <v>45583</v>
      </c>
      <c r="C1445" s="25" t="s">
        <v>66</v>
      </c>
      <c r="D1445" s="25" t="s">
        <v>21</v>
      </c>
      <c r="E1445" s="25" t="s">
        <v>94</v>
      </c>
      <c r="F1445" s="25">
        <v>10</v>
      </c>
      <c r="G1445" s="25" t="s">
        <v>89</v>
      </c>
      <c r="H1445" s="25">
        <v>30</v>
      </c>
      <c r="I1445" s="25">
        <v>26</v>
      </c>
      <c r="J1445" s="25">
        <v>300</v>
      </c>
      <c r="K1445" s="25">
        <v>260</v>
      </c>
      <c r="L1445" s="25">
        <v>40</v>
      </c>
      <c r="M1445" s="27">
        <v>15.384615384615399</v>
      </c>
      <c r="N1445" s="25" t="s">
        <v>67</v>
      </c>
      <c r="O1445" s="25" t="s">
        <v>27</v>
      </c>
      <c r="P1445" s="25" t="s">
        <v>32</v>
      </c>
    </row>
    <row r="1446" spans="1:16" x14ac:dyDescent="0.3">
      <c r="A1446" s="25">
        <v>1445</v>
      </c>
      <c r="B1446" s="26">
        <v>45583</v>
      </c>
      <c r="C1446" s="25" t="s">
        <v>66</v>
      </c>
      <c r="D1446" s="25" t="s">
        <v>21</v>
      </c>
      <c r="E1446" s="25" t="s">
        <v>98</v>
      </c>
      <c r="F1446" s="25">
        <v>2</v>
      </c>
      <c r="G1446" s="25" t="s">
        <v>89</v>
      </c>
      <c r="H1446" s="25">
        <v>95</v>
      </c>
      <c r="I1446" s="25">
        <v>55</v>
      </c>
      <c r="J1446" s="25">
        <v>190</v>
      </c>
      <c r="K1446" s="25">
        <v>110</v>
      </c>
      <c r="L1446" s="25">
        <v>80</v>
      </c>
      <c r="M1446" s="27">
        <v>72.727272727272705</v>
      </c>
      <c r="N1446" s="25" t="s">
        <v>67</v>
      </c>
      <c r="O1446" s="25" t="s">
        <v>27</v>
      </c>
      <c r="P1446" s="25" t="s">
        <v>32</v>
      </c>
    </row>
    <row r="1447" spans="1:16" x14ac:dyDescent="0.3">
      <c r="A1447" s="25">
        <v>1446</v>
      </c>
      <c r="B1447" s="26">
        <v>45583</v>
      </c>
      <c r="C1447" s="25" t="s">
        <v>66</v>
      </c>
      <c r="D1447" s="25" t="s">
        <v>21</v>
      </c>
      <c r="E1447" s="25" t="s">
        <v>88</v>
      </c>
      <c r="F1447" s="25">
        <v>5</v>
      </c>
      <c r="G1447" s="25" t="s">
        <v>89</v>
      </c>
      <c r="H1447" s="25">
        <v>130</v>
      </c>
      <c r="I1447" s="25">
        <v>100</v>
      </c>
      <c r="J1447" s="25">
        <v>650</v>
      </c>
      <c r="K1447" s="25">
        <v>500</v>
      </c>
      <c r="L1447" s="25">
        <v>150</v>
      </c>
      <c r="M1447" s="27">
        <v>30</v>
      </c>
      <c r="N1447" s="25" t="s">
        <v>67</v>
      </c>
      <c r="O1447" s="25" t="s">
        <v>27</v>
      </c>
      <c r="P1447" s="25" t="s">
        <v>32</v>
      </c>
    </row>
    <row r="1448" spans="1:16" x14ac:dyDescent="0.3">
      <c r="A1448" s="25">
        <v>1447</v>
      </c>
      <c r="B1448" s="26">
        <v>45583</v>
      </c>
      <c r="C1448" s="25" t="s">
        <v>66</v>
      </c>
      <c r="D1448" s="25" t="s">
        <v>21</v>
      </c>
      <c r="E1448" s="25" t="s">
        <v>88</v>
      </c>
      <c r="F1448" s="25">
        <v>7</v>
      </c>
      <c r="G1448" s="25" t="s">
        <v>89</v>
      </c>
      <c r="H1448" s="25">
        <v>130</v>
      </c>
      <c r="I1448" s="25">
        <v>100</v>
      </c>
      <c r="J1448" s="25">
        <v>910</v>
      </c>
      <c r="K1448" s="25">
        <v>700</v>
      </c>
      <c r="L1448" s="25">
        <v>210</v>
      </c>
      <c r="M1448" s="27">
        <v>30</v>
      </c>
      <c r="N1448" s="25" t="s">
        <v>67</v>
      </c>
      <c r="O1448" s="25" t="s">
        <v>27</v>
      </c>
      <c r="P1448" s="25" t="s">
        <v>32</v>
      </c>
    </row>
    <row r="1449" spans="1:16" x14ac:dyDescent="0.3">
      <c r="A1449" s="25">
        <v>1448</v>
      </c>
      <c r="B1449" s="26">
        <v>45583</v>
      </c>
      <c r="C1449" s="25" t="s">
        <v>66</v>
      </c>
      <c r="D1449" s="25" t="s">
        <v>21</v>
      </c>
      <c r="E1449" s="25" t="s">
        <v>88</v>
      </c>
      <c r="F1449" s="25">
        <v>9</v>
      </c>
      <c r="G1449" s="25" t="s">
        <v>89</v>
      </c>
      <c r="H1449" s="25">
        <v>130</v>
      </c>
      <c r="I1449" s="25">
        <v>100</v>
      </c>
      <c r="J1449" s="25">
        <v>1170</v>
      </c>
      <c r="K1449" s="25">
        <v>900</v>
      </c>
      <c r="L1449" s="25">
        <v>270</v>
      </c>
      <c r="M1449" s="27">
        <v>30</v>
      </c>
      <c r="N1449" s="25" t="s">
        <v>67</v>
      </c>
      <c r="O1449" s="25" t="s">
        <v>27</v>
      </c>
      <c r="P1449" s="25" t="s">
        <v>32</v>
      </c>
    </row>
    <row r="1450" spans="1:16" x14ac:dyDescent="0.3">
      <c r="A1450" s="25">
        <v>1449</v>
      </c>
      <c r="B1450" s="26">
        <v>45583</v>
      </c>
      <c r="C1450" s="25" t="s">
        <v>66</v>
      </c>
      <c r="D1450" s="25" t="s">
        <v>22</v>
      </c>
      <c r="E1450" s="25" t="s">
        <v>101</v>
      </c>
      <c r="F1450" s="25">
        <v>12</v>
      </c>
      <c r="G1450" s="25" t="s">
        <v>102</v>
      </c>
      <c r="H1450" s="25">
        <v>6</v>
      </c>
      <c r="I1450" s="25">
        <v>4</v>
      </c>
      <c r="J1450" s="25">
        <v>72</v>
      </c>
      <c r="K1450" s="25">
        <v>48</v>
      </c>
      <c r="L1450" s="25">
        <v>24</v>
      </c>
      <c r="M1450" s="27">
        <v>50</v>
      </c>
      <c r="N1450" s="25" t="s">
        <v>67</v>
      </c>
      <c r="O1450" s="25" t="s">
        <v>28</v>
      </c>
      <c r="P1450" s="25" t="s">
        <v>33</v>
      </c>
    </row>
    <row r="1451" spans="1:16" x14ac:dyDescent="0.3">
      <c r="A1451" s="25">
        <v>1450</v>
      </c>
      <c r="B1451" s="26">
        <v>45583</v>
      </c>
      <c r="C1451" s="25" t="s">
        <v>66</v>
      </c>
      <c r="D1451" s="25" t="s">
        <v>21</v>
      </c>
      <c r="E1451" s="25" t="s">
        <v>88</v>
      </c>
      <c r="F1451" s="25">
        <v>5</v>
      </c>
      <c r="G1451" s="25" t="s">
        <v>89</v>
      </c>
      <c r="H1451" s="25">
        <v>130</v>
      </c>
      <c r="I1451" s="25">
        <v>100</v>
      </c>
      <c r="J1451" s="25">
        <v>650</v>
      </c>
      <c r="K1451" s="25">
        <v>500</v>
      </c>
      <c r="L1451" s="25">
        <v>150</v>
      </c>
      <c r="M1451" s="27">
        <v>30</v>
      </c>
      <c r="N1451" s="25" t="s">
        <v>67</v>
      </c>
      <c r="O1451" s="25" t="s">
        <v>27</v>
      </c>
      <c r="P1451" s="25" t="s">
        <v>32</v>
      </c>
    </row>
    <row r="1452" spans="1:16" x14ac:dyDescent="0.3">
      <c r="A1452" s="25">
        <v>1451</v>
      </c>
      <c r="B1452" s="26">
        <v>45583</v>
      </c>
      <c r="C1452" s="25" t="s">
        <v>66</v>
      </c>
      <c r="D1452" s="25" t="s">
        <v>21</v>
      </c>
      <c r="E1452" s="25" t="s">
        <v>98</v>
      </c>
      <c r="F1452" s="25">
        <v>2</v>
      </c>
      <c r="G1452" s="25" t="s">
        <v>89</v>
      </c>
      <c r="H1452" s="25">
        <v>95</v>
      </c>
      <c r="I1452" s="25">
        <v>55</v>
      </c>
      <c r="J1452" s="25">
        <v>190</v>
      </c>
      <c r="K1452" s="25">
        <v>110</v>
      </c>
      <c r="L1452" s="25">
        <v>80</v>
      </c>
      <c r="M1452" s="27">
        <v>72.727272727272705</v>
      </c>
      <c r="N1452" s="25" t="s">
        <v>67</v>
      </c>
      <c r="O1452" s="25" t="s">
        <v>27</v>
      </c>
      <c r="P1452" s="25" t="s">
        <v>32</v>
      </c>
    </row>
    <row r="1453" spans="1:16" x14ac:dyDescent="0.3">
      <c r="A1453" s="25">
        <v>1452</v>
      </c>
      <c r="B1453" s="26">
        <v>45583</v>
      </c>
      <c r="C1453" s="25" t="s">
        <v>66</v>
      </c>
      <c r="D1453" s="25" t="s">
        <v>21</v>
      </c>
      <c r="E1453" s="25" t="s">
        <v>88</v>
      </c>
      <c r="F1453" s="25">
        <v>10</v>
      </c>
      <c r="G1453" s="25" t="s">
        <v>89</v>
      </c>
      <c r="H1453" s="25">
        <v>130</v>
      </c>
      <c r="I1453" s="25">
        <v>100</v>
      </c>
      <c r="J1453" s="25">
        <v>1300</v>
      </c>
      <c r="K1453" s="25">
        <v>1000</v>
      </c>
      <c r="L1453" s="25">
        <v>300</v>
      </c>
      <c r="M1453" s="27">
        <v>30</v>
      </c>
      <c r="N1453" s="25" t="s">
        <v>67</v>
      </c>
      <c r="O1453" s="25" t="s">
        <v>27</v>
      </c>
      <c r="P1453" s="25" t="s">
        <v>32</v>
      </c>
    </row>
    <row r="1454" spans="1:16" x14ac:dyDescent="0.3">
      <c r="A1454" s="25">
        <v>1453</v>
      </c>
      <c r="B1454" s="26">
        <v>45583</v>
      </c>
      <c r="C1454" s="25" t="s">
        <v>66</v>
      </c>
      <c r="D1454" s="25" t="s">
        <v>21</v>
      </c>
      <c r="E1454" s="25" t="s">
        <v>94</v>
      </c>
      <c r="F1454" s="25">
        <v>14</v>
      </c>
      <c r="G1454" s="25" t="s">
        <v>89</v>
      </c>
      <c r="H1454" s="25">
        <v>30</v>
      </c>
      <c r="I1454" s="25">
        <v>26</v>
      </c>
      <c r="J1454" s="25">
        <v>420</v>
      </c>
      <c r="K1454" s="25">
        <v>364</v>
      </c>
      <c r="L1454" s="25">
        <v>56</v>
      </c>
      <c r="M1454" s="27">
        <v>15.384615384615399</v>
      </c>
      <c r="N1454" s="25" t="s">
        <v>67</v>
      </c>
      <c r="O1454" s="25" t="s">
        <v>27</v>
      </c>
      <c r="P1454" s="25" t="s">
        <v>32</v>
      </c>
    </row>
    <row r="1455" spans="1:16" x14ac:dyDescent="0.3">
      <c r="A1455" s="25">
        <v>1454</v>
      </c>
      <c r="B1455" s="26">
        <v>45583</v>
      </c>
      <c r="C1455" s="25" t="s">
        <v>66</v>
      </c>
      <c r="D1455" s="25" t="s">
        <v>21</v>
      </c>
      <c r="E1455" s="25" t="s">
        <v>93</v>
      </c>
      <c r="F1455" s="25">
        <v>1</v>
      </c>
      <c r="G1455" s="25" t="s">
        <v>89</v>
      </c>
      <c r="H1455" s="25">
        <v>250</v>
      </c>
      <c r="I1455" s="25">
        <v>180</v>
      </c>
      <c r="J1455" s="25">
        <v>250</v>
      </c>
      <c r="K1455" s="25">
        <v>180</v>
      </c>
      <c r="L1455" s="25">
        <v>70</v>
      </c>
      <c r="M1455" s="27">
        <v>38.8888888888889</v>
      </c>
      <c r="N1455" s="25" t="s">
        <v>67</v>
      </c>
      <c r="O1455" s="25" t="s">
        <v>27</v>
      </c>
      <c r="P1455" s="25" t="s">
        <v>32</v>
      </c>
    </row>
    <row r="1456" spans="1:16" x14ac:dyDescent="0.3">
      <c r="A1456" s="25">
        <v>1455</v>
      </c>
      <c r="B1456" s="26">
        <v>45583</v>
      </c>
      <c r="C1456" s="25" t="s">
        <v>66</v>
      </c>
      <c r="D1456" s="25" t="s">
        <v>21</v>
      </c>
      <c r="E1456" s="25" t="s">
        <v>94</v>
      </c>
      <c r="F1456" s="25">
        <v>13</v>
      </c>
      <c r="G1456" s="25" t="s">
        <v>89</v>
      </c>
      <c r="H1456" s="25">
        <v>30</v>
      </c>
      <c r="I1456" s="25">
        <v>26</v>
      </c>
      <c r="J1456" s="25">
        <v>390</v>
      </c>
      <c r="K1456" s="25">
        <v>338</v>
      </c>
      <c r="L1456" s="25">
        <v>52</v>
      </c>
      <c r="M1456" s="27">
        <v>15.384615384615399</v>
      </c>
      <c r="N1456" s="25" t="s">
        <v>67</v>
      </c>
      <c r="O1456" s="25" t="s">
        <v>27</v>
      </c>
      <c r="P1456" s="25" t="s">
        <v>32</v>
      </c>
    </row>
    <row r="1457" spans="1:16" x14ac:dyDescent="0.3">
      <c r="A1457" s="25">
        <v>1456</v>
      </c>
      <c r="B1457" s="26">
        <v>45583</v>
      </c>
      <c r="C1457" s="25" t="s">
        <v>66</v>
      </c>
      <c r="D1457" s="25" t="s">
        <v>21</v>
      </c>
      <c r="E1457" s="25" t="s">
        <v>98</v>
      </c>
      <c r="F1457" s="25">
        <v>2</v>
      </c>
      <c r="G1457" s="25" t="s">
        <v>89</v>
      </c>
      <c r="H1457" s="25">
        <v>95</v>
      </c>
      <c r="I1457" s="25">
        <v>55</v>
      </c>
      <c r="J1457" s="25">
        <v>190</v>
      </c>
      <c r="K1457" s="25">
        <v>110</v>
      </c>
      <c r="L1457" s="25">
        <v>80</v>
      </c>
      <c r="M1457" s="27">
        <v>72.727272727272705</v>
      </c>
      <c r="N1457" s="25" t="s">
        <v>67</v>
      </c>
      <c r="O1457" s="25" t="s">
        <v>27</v>
      </c>
      <c r="P1457" s="25" t="s">
        <v>32</v>
      </c>
    </row>
    <row r="1458" spans="1:16" x14ac:dyDescent="0.3">
      <c r="A1458" s="25">
        <v>1457</v>
      </c>
      <c r="B1458" s="26">
        <v>45583</v>
      </c>
      <c r="C1458" s="25" t="s">
        <v>66</v>
      </c>
      <c r="D1458" s="25" t="s">
        <v>21</v>
      </c>
      <c r="E1458" s="25" t="s">
        <v>88</v>
      </c>
      <c r="F1458" s="25">
        <v>16</v>
      </c>
      <c r="G1458" s="25" t="s">
        <v>89</v>
      </c>
      <c r="H1458" s="25">
        <v>130</v>
      </c>
      <c r="I1458" s="25">
        <v>100</v>
      </c>
      <c r="J1458" s="25">
        <v>2080</v>
      </c>
      <c r="K1458" s="25">
        <v>1600</v>
      </c>
      <c r="L1458" s="25">
        <v>480</v>
      </c>
      <c r="M1458" s="27">
        <v>30</v>
      </c>
      <c r="N1458" s="25" t="s">
        <v>67</v>
      </c>
      <c r="O1458" s="25" t="s">
        <v>27</v>
      </c>
      <c r="P1458" s="25" t="s">
        <v>32</v>
      </c>
    </row>
    <row r="1459" spans="1:16" x14ac:dyDescent="0.3">
      <c r="A1459" s="25">
        <v>1458</v>
      </c>
      <c r="B1459" s="26">
        <v>45583</v>
      </c>
      <c r="C1459" s="25" t="s">
        <v>66</v>
      </c>
      <c r="D1459" s="25" t="s">
        <v>21</v>
      </c>
      <c r="E1459" s="25" t="s">
        <v>88</v>
      </c>
      <c r="F1459" s="25">
        <v>18</v>
      </c>
      <c r="G1459" s="25" t="s">
        <v>89</v>
      </c>
      <c r="H1459" s="25">
        <v>130</v>
      </c>
      <c r="I1459" s="25">
        <v>100</v>
      </c>
      <c r="J1459" s="25">
        <v>2340</v>
      </c>
      <c r="K1459" s="25">
        <v>1800</v>
      </c>
      <c r="L1459" s="25">
        <v>540</v>
      </c>
      <c r="M1459" s="27">
        <v>30</v>
      </c>
      <c r="N1459" s="25" t="s">
        <v>67</v>
      </c>
      <c r="O1459" s="25" t="s">
        <v>27</v>
      </c>
      <c r="P1459" s="25" t="s">
        <v>32</v>
      </c>
    </row>
    <row r="1460" spans="1:16" x14ac:dyDescent="0.3">
      <c r="A1460" s="25">
        <v>1459</v>
      </c>
      <c r="B1460" s="26">
        <v>45583</v>
      </c>
      <c r="C1460" s="25" t="s">
        <v>66</v>
      </c>
      <c r="D1460" s="25" t="s">
        <v>21</v>
      </c>
      <c r="E1460" s="25" t="s">
        <v>93</v>
      </c>
      <c r="F1460" s="25">
        <v>2</v>
      </c>
      <c r="G1460" s="25" t="s">
        <v>89</v>
      </c>
      <c r="H1460" s="25">
        <v>250</v>
      </c>
      <c r="I1460" s="25">
        <v>180</v>
      </c>
      <c r="J1460" s="25">
        <v>500</v>
      </c>
      <c r="K1460" s="25">
        <v>360</v>
      </c>
      <c r="L1460" s="25">
        <v>140</v>
      </c>
      <c r="M1460" s="27">
        <v>38.8888888888889</v>
      </c>
      <c r="N1460" s="25" t="s">
        <v>67</v>
      </c>
      <c r="O1460" s="25" t="s">
        <v>27</v>
      </c>
      <c r="P1460" s="25" t="s">
        <v>32</v>
      </c>
    </row>
    <row r="1461" spans="1:16" x14ac:dyDescent="0.3">
      <c r="A1461" s="25">
        <v>1460</v>
      </c>
      <c r="B1461" s="26">
        <v>45583</v>
      </c>
      <c r="C1461" s="25" t="s">
        <v>66</v>
      </c>
      <c r="D1461" s="25" t="s">
        <v>21</v>
      </c>
      <c r="E1461" s="25" t="s">
        <v>88</v>
      </c>
      <c r="F1461" s="25">
        <v>20</v>
      </c>
      <c r="G1461" s="25" t="s">
        <v>89</v>
      </c>
      <c r="H1461" s="25">
        <v>130</v>
      </c>
      <c r="I1461" s="25">
        <v>100</v>
      </c>
      <c r="J1461" s="25">
        <v>2600</v>
      </c>
      <c r="K1461" s="25">
        <v>2000</v>
      </c>
      <c r="L1461" s="25">
        <v>600</v>
      </c>
      <c r="M1461" s="27">
        <v>30</v>
      </c>
      <c r="N1461" s="25" t="s">
        <v>67</v>
      </c>
      <c r="O1461" s="25" t="s">
        <v>27</v>
      </c>
      <c r="P1461" s="25" t="s">
        <v>32</v>
      </c>
    </row>
    <row r="1462" spans="1:16" x14ac:dyDescent="0.3">
      <c r="A1462" s="25">
        <v>1461</v>
      </c>
      <c r="B1462" s="26">
        <v>45583</v>
      </c>
      <c r="C1462" s="25" t="s">
        <v>66</v>
      </c>
      <c r="D1462" s="25" t="s">
        <v>21</v>
      </c>
      <c r="E1462" s="25" t="s">
        <v>88</v>
      </c>
      <c r="F1462" s="25">
        <v>15</v>
      </c>
      <c r="G1462" s="25" t="s">
        <v>89</v>
      </c>
      <c r="H1462" s="25">
        <v>130</v>
      </c>
      <c r="I1462" s="25">
        <v>100</v>
      </c>
      <c r="J1462" s="25">
        <v>1950</v>
      </c>
      <c r="K1462" s="25">
        <v>1500</v>
      </c>
      <c r="L1462" s="25">
        <v>450</v>
      </c>
      <c r="M1462" s="27">
        <v>30</v>
      </c>
      <c r="N1462" s="25" t="s">
        <v>67</v>
      </c>
      <c r="O1462" s="25" t="s">
        <v>27</v>
      </c>
      <c r="P1462" s="25" t="s">
        <v>32</v>
      </c>
    </row>
    <row r="1463" spans="1:16" x14ac:dyDescent="0.3">
      <c r="A1463" s="25">
        <v>1462</v>
      </c>
      <c r="B1463" s="26">
        <v>45583</v>
      </c>
      <c r="C1463" s="25" t="s">
        <v>66</v>
      </c>
      <c r="D1463" s="25" t="s">
        <v>21</v>
      </c>
      <c r="E1463" s="25" t="s">
        <v>94</v>
      </c>
      <c r="F1463" s="25">
        <v>25</v>
      </c>
      <c r="G1463" s="25" t="s">
        <v>89</v>
      </c>
      <c r="H1463" s="25">
        <v>30</v>
      </c>
      <c r="I1463" s="25">
        <v>26</v>
      </c>
      <c r="J1463" s="25">
        <v>750</v>
      </c>
      <c r="K1463" s="25">
        <v>650</v>
      </c>
      <c r="L1463" s="25">
        <v>100</v>
      </c>
      <c r="M1463" s="27">
        <v>15.384615384615399</v>
      </c>
      <c r="N1463" s="25" t="s">
        <v>67</v>
      </c>
      <c r="O1463" s="25" t="s">
        <v>27</v>
      </c>
      <c r="P1463" s="25" t="s">
        <v>32</v>
      </c>
    </row>
    <row r="1464" spans="1:16" x14ac:dyDescent="0.3">
      <c r="A1464" s="25">
        <v>1463</v>
      </c>
      <c r="B1464" s="26">
        <v>45583</v>
      </c>
      <c r="C1464" s="25" t="s">
        <v>66</v>
      </c>
      <c r="D1464" s="25" t="s">
        <v>22</v>
      </c>
      <c r="E1464" s="25" t="s">
        <v>96</v>
      </c>
      <c r="F1464" s="25">
        <v>1</v>
      </c>
      <c r="G1464" s="25" t="s">
        <v>97</v>
      </c>
      <c r="H1464" s="25">
        <v>300</v>
      </c>
      <c r="I1464" s="25">
        <v>265</v>
      </c>
      <c r="J1464" s="25">
        <v>300</v>
      </c>
      <c r="K1464" s="25">
        <v>265</v>
      </c>
      <c r="L1464" s="25">
        <v>35</v>
      </c>
      <c r="M1464" s="27">
        <v>13.207547169811299</v>
      </c>
      <c r="N1464" s="25" t="s">
        <v>67</v>
      </c>
      <c r="O1464" s="25" t="s">
        <v>28</v>
      </c>
      <c r="P1464" s="25" t="s">
        <v>32</v>
      </c>
    </row>
    <row r="1465" spans="1:16" x14ac:dyDescent="0.3">
      <c r="A1465" s="25">
        <v>1464</v>
      </c>
      <c r="B1465" s="26">
        <v>45583</v>
      </c>
      <c r="C1465" s="25" t="s">
        <v>66</v>
      </c>
      <c r="D1465" s="25" t="s">
        <v>21</v>
      </c>
      <c r="E1465" s="25" t="s">
        <v>93</v>
      </c>
      <c r="F1465" s="25">
        <v>2</v>
      </c>
      <c r="G1465" s="25" t="s">
        <v>89</v>
      </c>
      <c r="H1465" s="25">
        <v>250</v>
      </c>
      <c r="I1465" s="25">
        <v>180</v>
      </c>
      <c r="J1465" s="25">
        <v>500</v>
      </c>
      <c r="K1465" s="25">
        <v>360</v>
      </c>
      <c r="L1465" s="25">
        <v>140</v>
      </c>
      <c r="M1465" s="27">
        <v>38.8888888888889</v>
      </c>
      <c r="N1465" s="25" t="s">
        <v>67</v>
      </c>
      <c r="O1465" s="25" t="s">
        <v>27</v>
      </c>
      <c r="P1465" s="25" t="s">
        <v>32</v>
      </c>
    </row>
    <row r="1466" spans="1:16" x14ac:dyDescent="0.3">
      <c r="A1466" s="25">
        <v>1465</v>
      </c>
      <c r="B1466" s="26">
        <v>45583</v>
      </c>
      <c r="C1466" s="25" t="s">
        <v>66</v>
      </c>
      <c r="D1466" s="25" t="s">
        <v>21</v>
      </c>
      <c r="E1466" s="25" t="s">
        <v>88</v>
      </c>
      <c r="F1466" s="25">
        <v>5</v>
      </c>
      <c r="G1466" s="25" t="s">
        <v>89</v>
      </c>
      <c r="H1466" s="25">
        <v>130</v>
      </c>
      <c r="I1466" s="25">
        <v>100</v>
      </c>
      <c r="J1466" s="25">
        <v>650</v>
      </c>
      <c r="K1466" s="25">
        <v>500</v>
      </c>
      <c r="L1466" s="25">
        <v>150</v>
      </c>
      <c r="M1466" s="27">
        <v>30</v>
      </c>
      <c r="N1466" s="25" t="s">
        <v>67</v>
      </c>
      <c r="O1466" s="25" t="s">
        <v>27</v>
      </c>
      <c r="P1466" s="25" t="s">
        <v>32</v>
      </c>
    </row>
    <row r="1467" spans="1:16" x14ac:dyDescent="0.3">
      <c r="A1467" s="25">
        <v>1466</v>
      </c>
      <c r="B1467" s="26">
        <v>45583</v>
      </c>
      <c r="C1467" s="25" t="s">
        <v>66</v>
      </c>
      <c r="D1467" s="25" t="s">
        <v>21</v>
      </c>
      <c r="E1467" s="25" t="s">
        <v>98</v>
      </c>
      <c r="F1467" s="25">
        <v>2</v>
      </c>
      <c r="G1467" s="25" t="s">
        <v>89</v>
      </c>
      <c r="H1467" s="25">
        <v>95</v>
      </c>
      <c r="I1467" s="25">
        <v>55</v>
      </c>
      <c r="J1467" s="25">
        <v>190</v>
      </c>
      <c r="K1467" s="25">
        <v>110</v>
      </c>
      <c r="L1467" s="25">
        <v>80</v>
      </c>
      <c r="M1467" s="27">
        <v>72.727272727272705</v>
      </c>
      <c r="N1467" s="25" t="s">
        <v>67</v>
      </c>
      <c r="O1467" s="25" t="s">
        <v>27</v>
      </c>
      <c r="P1467" s="25" t="s">
        <v>32</v>
      </c>
    </row>
    <row r="1468" spans="1:16" x14ac:dyDescent="0.3">
      <c r="A1468" s="25">
        <v>1467</v>
      </c>
      <c r="B1468" s="26">
        <v>45584</v>
      </c>
      <c r="C1468" s="25" t="s">
        <v>66</v>
      </c>
      <c r="D1468" s="25" t="s">
        <v>21</v>
      </c>
      <c r="E1468" s="25" t="s">
        <v>94</v>
      </c>
      <c r="F1468" s="25">
        <v>15</v>
      </c>
      <c r="G1468" s="25" t="s">
        <v>89</v>
      </c>
      <c r="H1468" s="25">
        <v>30</v>
      </c>
      <c r="I1468" s="25">
        <v>26</v>
      </c>
      <c r="J1468" s="25">
        <v>450</v>
      </c>
      <c r="K1468" s="25">
        <v>390</v>
      </c>
      <c r="L1468" s="25">
        <v>60</v>
      </c>
      <c r="M1468" s="27">
        <v>15.384615384615399</v>
      </c>
      <c r="N1468" s="25" t="s">
        <v>67</v>
      </c>
      <c r="O1468" s="25" t="s">
        <v>27</v>
      </c>
      <c r="P1468" s="25" t="s">
        <v>32</v>
      </c>
    </row>
    <row r="1469" spans="1:16" x14ac:dyDescent="0.3">
      <c r="A1469" s="25">
        <v>1468</v>
      </c>
      <c r="B1469" s="26">
        <v>45584</v>
      </c>
      <c r="C1469" s="25" t="s">
        <v>66</v>
      </c>
      <c r="D1469" s="25" t="s">
        <v>21</v>
      </c>
      <c r="E1469" s="25" t="s">
        <v>93</v>
      </c>
      <c r="F1469" s="25">
        <v>2</v>
      </c>
      <c r="G1469" s="25" t="s">
        <v>89</v>
      </c>
      <c r="H1469" s="25">
        <v>250</v>
      </c>
      <c r="I1469" s="25">
        <v>180</v>
      </c>
      <c r="J1469" s="25">
        <v>500</v>
      </c>
      <c r="K1469" s="25">
        <v>360</v>
      </c>
      <c r="L1469" s="25">
        <v>140</v>
      </c>
      <c r="M1469" s="27">
        <v>38.8888888888889</v>
      </c>
      <c r="N1469" s="25" t="s">
        <v>67</v>
      </c>
      <c r="O1469" s="25" t="s">
        <v>27</v>
      </c>
      <c r="P1469" s="25" t="s">
        <v>32</v>
      </c>
    </row>
    <row r="1470" spans="1:16" x14ac:dyDescent="0.3">
      <c r="A1470" s="25">
        <v>1469</v>
      </c>
      <c r="B1470" s="26">
        <v>45584</v>
      </c>
      <c r="C1470" s="25" t="s">
        <v>66</v>
      </c>
      <c r="D1470" s="25" t="s">
        <v>21</v>
      </c>
      <c r="E1470" s="25" t="s">
        <v>94</v>
      </c>
      <c r="F1470" s="25">
        <v>18</v>
      </c>
      <c r="G1470" s="25" t="s">
        <v>89</v>
      </c>
      <c r="H1470" s="25">
        <v>30</v>
      </c>
      <c r="I1470" s="25">
        <v>26</v>
      </c>
      <c r="J1470" s="25">
        <v>540</v>
      </c>
      <c r="K1470" s="25">
        <v>468</v>
      </c>
      <c r="L1470" s="25">
        <v>72</v>
      </c>
      <c r="M1470" s="27">
        <v>15.384615384615399</v>
      </c>
      <c r="N1470" s="25" t="s">
        <v>67</v>
      </c>
      <c r="O1470" s="25" t="s">
        <v>27</v>
      </c>
      <c r="P1470" s="25" t="s">
        <v>32</v>
      </c>
    </row>
    <row r="1471" spans="1:16" x14ac:dyDescent="0.3">
      <c r="A1471" s="25">
        <v>1470</v>
      </c>
      <c r="B1471" s="26">
        <v>45584</v>
      </c>
      <c r="C1471" s="25" t="s">
        <v>66</v>
      </c>
      <c r="D1471" s="25" t="s">
        <v>21</v>
      </c>
      <c r="E1471" s="25" t="s">
        <v>93</v>
      </c>
      <c r="F1471" s="25">
        <v>2</v>
      </c>
      <c r="G1471" s="25" t="s">
        <v>89</v>
      </c>
      <c r="H1471" s="25">
        <v>250</v>
      </c>
      <c r="I1471" s="25">
        <v>180</v>
      </c>
      <c r="J1471" s="25">
        <v>500</v>
      </c>
      <c r="K1471" s="25">
        <v>360</v>
      </c>
      <c r="L1471" s="25">
        <v>140</v>
      </c>
      <c r="M1471" s="27">
        <v>38.8888888888889</v>
      </c>
      <c r="N1471" s="25" t="s">
        <v>67</v>
      </c>
      <c r="O1471" s="25" t="s">
        <v>27</v>
      </c>
      <c r="P1471" s="25" t="s">
        <v>32</v>
      </c>
    </row>
    <row r="1472" spans="1:16" x14ac:dyDescent="0.3">
      <c r="A1472" s="25">
        <v>1471</v>
      </c>
      <c r="B1472" s="26">
        <v>45584</v>
      </c>
      <c r="C1472" s="25" t="s">
        <v>66</v>
      </c>
      <c r="D1472" s="25" t="s">
        <v>21</v>
      </c>
      <c r="E1472" s="25" t="s">
        <v>88</v>
      </c>
      <c r="F1472" s="25">
        <v>5</v>
      </c>
      <c r="G1472" s="25" t="s">
        <v>89</v>
      </c>
      <c r="H1472" s="25">
        <v>130</v>
      </c>
      <c r="I1472" s="25">
        <v>100</v>
      </c>
      <c r="J1472" s="25">
        <v>650</v>
      </c>
      <c r="K1472" s="25">
        <v>500</v>
      </c>
      <c r="L1472" s="25">
        <v>150</v>
      </c>
      <c r="M1472" s="27">
        <v>30</v>
      </c>
      <c r="N1472" s="25" t="s">
        <v>67</v>
      </c>
      <c r="O1472" s="25" t="s">
        <v>27</v>
      </c>
      <c r="P1472" s="25" t="s">
        <v>32</v>
      </c>
    </row>
    <row r="1473" spans="1:16" x14ac:dyDescent="0.3">
      <c r="A1473" s="25">
        <v>1472</v>
      </c>
      <c r="B1473" s="26">
        <v>45584</v>
      </c>
      <c r="C1473" s="25" t="s">
        <v>66</v>
      </c>
      <c r="D1473" s="25" t="s">
        <v>21</v>
      </c>
      <c r="E1473" s="25" t="s">
        <v>88</v>
      </c>
      <c r="F1473" s="25">
        <v>8</v>
      </c>
      <c r="G1473" s="25" t="s">
        <v>89</v>
      </c>
      <c r="H1473" s="25">
        <v>130</v>
      </c>
      <c r="I1473" s="25">
        <v>100</v>
      </c>
      <c r="J1473" s="25">
        <v>1040</v>
      </c>
      <c r="K1473" s="25">
        <v>800</v>
      </c>
      <c r="L1473" s="25">
        <v>240</v>
      </c>
      <c r="M1473" s="27">
        <v>30</v>
      </c>
      <c r="N1473" s="25" t="s">
        <v>67</v>
      </c>
      <c r="O1473" s="25" t="s">
        <v>27</v>
      </c>
      <c r="P1473" s="25" t="s">
        <v>32</v>
      </c>
    </row>
    <row r="1474" spans="1:16" x14ac:dyDescent="0.3">
      <c r="A1474" s="25">
        <v>1473</v>
      </c>
      <c r="B1474" s="26">
        <v>45584</v>
      </c>
      <c r="C1474" s="25" t="s">
        <v>66</v>
      </c>
      <c r="D1474" s="25" t="s">
        <v>21</v>
      </c>
      <c r="E1474" s="25" t="s">
        <v>98</v>
      </c>
      <c r="F1474" s="25">
        <v>2</v>
      </c>
      <c r="G1474" s="25" t="s">
        <v>89</v>
      </c>
      <c r="H1474" s="25">
        <v>95</v>
      </c>
      <c r="I1474" s="25">
        <v>55</v>
      </c>
      <c r="J1474" s="25">
        <v>190</v>
      </c>
      <c r="K1474" s="25">
        <v>110</v>
      </c>
      <c r="L1474" s="25">
        <v>80</v>
      </c>
      <c r="M1474" s="27">
        <v>72.727272727272705</v>
      </c>
      <c r="N1474" s="25" t="s">
        <v>67</v>
      </c>
      <c r="O1474" s="25" t="s">
        <v>27</v>
      </c>
      <c r="P1474" s="25" t="s">
        <v>32</v>
      </c>
    </row>
    <row r="1475" spans="1:16" x14ac:dyDescent="0.3">
      <c r="A1475" s="25">
        <v>1474</v>
      </c>
      <c r="B1475" s="26">
        <v>45584</v>
      </c>
      <c r="C1475" s="25" t="s">
        <v>66</v>
      </c>
      <c r="D1475" s="25" t="s">
        <v>21</v>
      </c>
      <c r="E1475" s="25" t="s">
        <v>88</v>
      </c>
      <c r="F1475" s="25">
        <v>10</v>
      </c>
      <c r="G1475" s="25" t="s">
        <v>89</v>
      </c>
      <c r="H1475" s="25">
        <v>130</v>
      </c>
      <c r="I1475" s="25">
        <v>100</v>
      </c>
      <c r="J1475" s="25">
        <v>1300</v>
      </c>
      <c r="K1475" s="25">
        <v>1000</v>
      </c>
      <c r="L1475" s="25">
        <v>300</v>
      </c>
      <c r="M1475" s="27">
        <v>30</v>
      </c>
      <c r="N1475" s="25" t="s">
        <v>67</v>
      </c>
      <c r="O1475" s="25" t="s">
        <v>27</v>
      </c>
      <c r="P1475" s="25" t="s">
        <v>32</v>
      </c>
    </row>
    <row r="1476" spans="1:16" x14ac:dyDescent="0.3">
      <c r="A1476" s="25">
        <v>1475</v>
      </c>
      <c r="B1476" s="26">
        <v>45584</v>
      </c>
      <c r="C1476" s="25" t="s">
        <v>66</v>
      </c>
      <c r="D1476" s="25" t="s">
        <v>21</v>
      </c>
      <c r="E1476" s="25" t="s">
        <v>88</v>
      </c>
      <c r="F1476" s="25">
        <v>15</v>
      </c>
      <c r="G1476" s="25" t="s">
        <v>89</v>
      </c>
      <c r="H1476" s="25">
        <v>130</v>
      </c>
      <c r="I1476" s="25">
        <v>100</v>
      </c>
      <c r="J1476" s="25">
        <v>1950</v>
      </c>
      <c r="K1476" s="25">
        <v>1500</v>
      </c>
      <c r="L1476" s="25">
        <v>450</v>
      </c>
      <c r="M1476" s="27">
        <v>30</v>
      </c>
      <c r="N1476" s="25" t="s">
        <v>67</v>
      </c>
      <c r="O1476" s="25" t="s">
        <v>27</v>
      </c>
      <c r="P1476" s="25" t="s">
        <v>32</v>
      </c>
    </row>
    <row r="1477" spans="1:16" x14ac:dyDescent="0.3">
      <c r="A1477" s="25">
        <v>1476</v>
      </c>
      <c r="B1477" s="26">
        <v>45584</v>
      </c>
      <c r="C1477" s="25" t="s">
        <v>66</v>
      </c>
      <c r="D1477" s="25" t="s">
        <v>22</v>
      </c>
      <c r="E1477" s="25" t="s">
        <v>90</v>
      </c>
      <c r="F1477" s="25">
        <v>2</v>
      </c>
      <c r="G1477" s="25" t="s">
        <v>91</v>
      </c>
      <c r="H1477" s="25">
        <v>280</v>
      </c>
      <c r="I1477" s="25">
        <v>240</v>
      </c>
      <c r="J1477" s="25">
        <v>560</v>
      </c>
      <c r="K1477" s="25">
        <v>480</v>
      </c>
      <c r="L1477" s="25">
        <v>80</v>
      </c>
      <c r="M1477" s="27">
        <v>16.6666666666667</v>
      </c>
      <c r="N1477" s="25" t="s">
        <v>67</v>
      </c>
      <c r="O1477" s="25" t="s">
        <v>28</v>
      </c>
      <c r="P1477" s="25" t="s">
        <v>33</v>
      </c>
    </row>
    <row r="1478" spans="1:16" x14ac:dyDescent="0.3">
      <c r="A1478" s="25">
        <v>1477</v>
      </c>
      <c r="B1478" s="26">
        <v>45584</v>
      </c>
      <c r="C1478" s="25" t="s">
        <v>66</v>
      </c>
      <c r="D1478" s="25" t="s">
        <v>22</v>
      </c>
      <c r="E1478" s="25" t="s">
        <v>90</v>
      </c>
      <c r="F1478" s="25">
        <v>2.5</v>
      </c>
      <c r="G1478" s="25" t="s">
        <v>91</v>
      </c>
      <c r="H1478" s="25">
        <v>280</v>
      </c>
      <c r="I1478" s="25">
        <v>240</v>
      </c>
      <c r="J1478" s="25">
        <v>700</v>
      </c>
      <c r="K1478" s="25">
        <v>600</v>
      </c>
      <c r="L1478" s="25">
        <v>100</v>
      </c>
      <c r="M1478" s="27">
        <v>16.6666666666667</v>
      </c>
      <c r="N1478" s="25" t="s">
        <v>67</v>
      </c>
      <c r="O1478" s="25" t="s">
        <v>28</v>
      </c>
      <c r="P1478" s="25" t="s">
        <v>32</v>
      </c>
    </row>
    <row r="1479" spans="1:16" x14ac:dyDescent="0.3">
      <c r="A1479" s="25">
        <v>1478</v>
      </c>
      <c r="B1479" s="26">
        <v>45584</v>
      </c>
      <c r="C1479" s="25" t="s">
        <v>66</v>
      </c>
      <c r="D1479" s="25" t="s">
        <v>22</v>
      </c>
      <c r="E1479" s="25" t="s">
        <v>103</v>
      </c>
      <c r="F1479" s="25">
        <v>2</v>
      </c>
      <c r="G1479" s="25" t="s">
        <v>102</v>
      </c>
      <c r="H1479" s="25">
        <v>30</v>
      </c>
      <c r="I1479" s="25">
        <v>20</v>
      </c>
      <c r="J1479" s="25">
        <v>60</v>
      </c>
      <c r="K1479" s="25">
        <v>40</v>
      </c>
      <c r="L1479" s="25">
        <v>20</v>
      </c>
      <c r="M1479" s="27">
        <v>50</v>
      </c>
      <c r="N1479" s="25" t="s">
        <v>67</v>
      </c>
      <c r="O1479" s="25" t="s">
        <v>28</v>
      </c>
      <c r="P1479" s="25" t="s">
        <v>32</v>
      </c>
    </row>
    <row r="1480" spans="1:16" x14ac:dyDescent="0.3">
      <c r="A1480" s="25">
        <v>1479</v>
      </c>
      <c r="B1480" s="26">
        <v>45584</v>
      </c>
      <c r="C1480" s="25" t="s">
        <v>66</v>
      </c>
      <c r="D1480" s="25" t="s">
        <v>21</v>
      </c>
      <c r="E1480" s="25" t="s">
        <v>98</v>
      </c>
      <c r="F1480" s="25">
        <v>2</v>
      </c>
      <c r="G1480" s="25" t="s">
        <v>89</v>
      </c>
      <c r="H1480" s="25">
        <v>95</v>
      </c>
      <c r="I1480" s="25">
        <v>55</v>
      </c>
      <c r="J1480" s="25">
        <v>190</v>
      </c>
      <c r="K1480" s="25">
        <v>110</v>
      </c>
      <c r="L1480" s="25">
        <v>80</v>
      </c>
      <c r="M1480" s="27">
        <v>72.727272727272705</v>
      </c>
      <c r="N1480" s="25" t="s">
        <v>67</v>
      </c>
      <c r="O1480" s="25" t="s">
        <v>27</v>
      </c>
      <c r="P1480" s="25" t="s">
        <v>33</v>
      </c>
    </row>
    <row r="1481" spans="1:16" x14ac:dyDescent="0.3">
      <c r="A1481" s="25">
        <v>1480</v>
      </c>
      <c r="B1481" s="26">
        <v>45584</v>
      </c>
      <c r="C1481" s="25" t="s">
        <v>66</v>
      </c>
      <c r="D1481" s="25" t="s">
        <v>21</v>
      </c>
      <c r="E1481" s="25" t="s">
        <v>88</v>
      </c>
      <c r="F1481" s="25">
        <v>4</v>
      </c>
      <c r="G1481" s="25" t="s">
        <v>89</v>
      </c>
      <c r="H1481" s="25">
        <v>130</v>
      </c>
      <c r="I1481" s="25">
        <v>100</v>
      </c>
      <c r="J1481" s="25">
        <v>520</v>
      </c>
      <c r="K1481" s="25">
        <v>400</v>
      </c>
      <c r="L1481" s="25">
        <v>120</v>
      </c>
      <c r="M1481" s="27">
        <v>30</v>
      </c>
      <c r="N1481" s="25" t="s">
        <v>67</v>
      </c>
      <c r="O1481" s="25" t="s">
        <v>27</v>
      </c>
      <c r="P1481" s="25" t="s">
        <v>32</v>
      </c>
    </row>
    <row r="1482" spans="1:16" x14ac:dyDescent="0.3">
      <c r="A1482" s="25">
        <v>1481</v>
      </c>
      <c r="B1482" s="26">
        <v>45584</v>
      </c>
      <c r="C1482" s="25" t="s">
        <v>66</v>
      </c>
      <c r="D1482" s="25" t="s">
        <v>21</v>
      </c>
      <c r="E1482" s="25" t="s">
        <v>94</v>
      </c>
      <c r="F1482" s="25">
        <v>10</v>
      </c>
      <c r="G1482" s="25" t="s">
        <v>89</v>
      </c>
      <c r="H1482" s="25">
        <v>30</v>
      </c>
      <c r="I1482" s="25">
        <v>26</v>
      </c>
      <c r="J1482" s="25">
        <v>300</v>
      </c>
      <c r="K1482" s="25">
        <v>260</v>
      </c>
      <c r="L1482" s="25">
        <v>40</v>
      </c>
      <c r="M1482" s="27">
        <v>15.384615384615399</v>
      </c>
      <c r="N1482" s="25" t="s">
        <v>67</v>
      </c>
      <c r="O1482" s="25" t="s">
        <v>27</v>
      </c>
      <c r="P1482" s="25" t="s">
        <v>32</v>
      </c>
    </row>
    <row r="1483" spans="1:16" x14ac:dyDescent="0.3">
      <c r="A1483" s="25">
        <v>1482</v>
      </c>
      <c r="B1483" s="26">
        <v>45584</v>
      </c>
      <c r="C1483" s="25" t="s">
        <v>66</v>
      </c>
      <c r="D1483" s="25" t="s">
        <v>21</v>
      </c>
      <c r="E1483" s="25" t="s">
        <v>93</v>
      </c>
      <c r="F1483" s="25">
        <v>2</v>
      </c>
      <c r="G1483" s="25" t="s">
        <v>89</v>
      </c>
      <c r="H1483" s="25">
        <v>250</v>
      </c>
      <c r="I1483" s="25">
        <v>180</v>
      </c>
      <c r="J1483" s="25">
        <v>500</v>
      </c>
      <c r="K1483" s="25">
        <v>360</v>
      </c>
      <c r="L1483" s="25">
        <v>140</v>
      </c>
      <c r="M1483" s="27">
        <v>38.8888888888889</v>
      </c>
      <c r="N1483" s="25" t="s">
        <v>67</v>
      </c>
      <c r="O1483" s="25" t="s">
        <v>27</v>
      </c>
      <c r="P1483" s="25" t="s">
        <v>32</v>
      </c>
    </row>
    <row r="1484" spans="1:16" x14ac:dyDescent="0.3">
      <c r="A1484" s="25">
        <v>1483</v>
      </c>
      <c r="B1484" s="26">
        <v>45584</v>
      </c>
      <c r="C1484" s="25" t="s">
        <v>66</v>
      </c>
      <c r="D1484" s="25" t="s">
        <v>21</v>
      </c>
      <c r="E1484" s="25" t="s">
        <v>98</v>
      </c>
      <c r="F1484" s="25">
        <v>2</v>
      </c>
      <c r="G1484" s="25" t="s">
        <v>89</v>
      </c>
      <c r="H1484" s="25">
        <v>95</v>
      </c>
      <c r="I1484" s="25">
        <v>55</v>
      </c>
      <c r="J1484" s="25">
        <v>190</v>
      </c>
      <c r="K1484" s="25">
        <v>110</v>
      </c>
      <c r="L1484" s="25">
        <v>80</v>
      </c>
      <c r="M1484" s="27">
        <v>72.727272727272705</v>
      </c>
      <c r="N1484" s="25" t="s">
        <v>67</v>
      </c>
      <c r="O1484" s="25" t="s">
        <v>27</v>
      </c>
      <c r="P1484" s="25" t="s">
        <v>32</v>
      </c>
    </row>
    <row r="1485" spans="1:16" x14ac:dyDescent="0.3">
      <c r="A1485" s="25">
        <v>1484</v>
      </c>
      <c r="B1485" s="26">
        <v>45584</v>
      </c>
      <c r="C1485" s="25" t="s">
        <v>66</v>
      </c>
      <c r="D1485" s="25" t="s">
        <v>21</v>
      </c>
      <c r="E1485" s="25" t="s">
        <v>88</v>
      </c>
      <c r="F1485" s="25">
        <v>5</v>
      </c>
      <c r="G1485" s="25" t="s">
        <v>89</v>
      </c>
      <c r="H1485" s="25">
        <v>130</v>
      </c>
      <c r="I1485" s="25">
        <v>100</v>
      </c>
      <c r="J1485" s="25">
        <v>650</v>
      </c>
      <c r="K1485" s="25">
        <v>500</v>
      </c>
      <c r="L1485" s="25">
        <v>150</v>
      </c>
      <c r="M1485" s="27">
        <v>30</v>
      </c>
      <c r="N1485" s="25" t="s">
        <v>67</v>
      </c>
      <c r="O1485" s="25" t="s">
        <v>27</v>
      </c>
      <c r="P1485" s="25" t="s">
        <v>32</v>
      </c>
    </row>
    <row r="1486" spans="1:16" x14ac:dyDescent="0.3">
      <c r="A1486" s="25">
        <v>1485</v>
      </c>
      <c r="B1486" s="26">
        <v>45584</v>
      </c>
      <c r="C1486" s="25" t="s">
        <v>66</v>
      </c>
      <c r="D1486" s="25" t="s">
        <v>21</v>
      </c>
      <c r="E1486" s="25" t="s">
        <v>88</v>
      </c>
      <c r="F1486" s="25">
        <v>6</v>
      </c>
      <c r="G1486" s="25" t="s">
        <v>89</v>
      </c>
      <c r="H1486" s="25">
        <v>130</v>
      </c>
      <c r="I1486" s="25">
        <v>100</v>
      </c>
      <c r="J1486" s="25">
        <v>780</v>
      </c>
      <c r="K1486" s="25">
        <v>600</v>
      </c>
      <c r="L1486" s="25">
        <v>180</v>
      </c>
      <c r="M1486" s="27">
        <v>30</v>
      </c>
      <c r="N1486" s="25" t="s">
        <v>67</v>
      </c>
      <c r="O1486" s="25" t="s">
        <v>27</v>
      </c>
      <c r="P1486" s="25" t="s">
        <v>32</v>
      </c>
    </row>
    <row r="1487" spans="1:16" x14ac:dyDescent="0.3">
      <c r="A1487" s="25">
        <v>1486</v>
      </c>
      <c r="B1487" s="26">
        <v>45584</v>
      </c>
      <c r="C1487" s="25" t="s">
        <v>66</v>
      </c>
      <c r="D1487" s="25" t="s">
        <v>21</v>
      </c>
      <c r="E1487" s="25" t="s">
        <v>88</v>
      </c>
      <c r="F1487" s="25">
        <v>3</v>
      </c>
      <c r="G1487" s="25" t="s">
        <v>89</v>
      </c>
      <c r="H1487" s="25">
        <v>130</v>
      </c>
      <c r="I1487" s="25">
        <v>100</v>
      </c>
      <c r="J1487" s="25">
        <v>390</v>
      </c>
      <c r="K1487" s="25">
        <v>300</v>
      </c>
      <c r="L1487" s="25">
        <v>90</v>
      </c>
      <c r="M1487" s="27">
        <v>30</v>
      </c>
      <c r="N1487" s="25" t="s">
        <v>67</v>
      </c>
      <c r="O1487" s="25" t="s">
        <v>27</v>
      </c>
      <c r="P1487" s="25" t="s">
        <v>32</v>
      </c>
    </row>
    <row r="1488" spans="1:16" x14ac:dyDescent="0.3">
      <c r="A1488" s="25">
        <v>1487</v>
      </c>
      <c r="B1488" s="26">
        <v>45584</v>
      </c>
      <c r="C1488" s="25" t="s">
        <v>66</v>
      </c>
      <c r="D1488" s="25" t="s">
        <v>21</v>
      </c>
      <c r="E1488" s="25" t="s">
        <v>88</v>
      </c>
      <c r="F1488" s="25">
        <v>8</v>
      </c>
      <c r="G1488" s="25" t="s">
        <v>89</v>
      </c>
      <c r="H1488" s="25">
        <v>130</v>
      </c>
      <c r="I1488" s="25">
        <v>100</v>
      </c>
      <c r="J1488" s="25">
        <v>1040</v>
      </c>
      <c r="K1488" s="25">
        <v>800</v>
      </c>
      <c r="L1488" s="25">
        <v>240</v>
      </c>
      <c r="M1488" s="27">
        <v>30</v>
      </c>
      <c r="N1488" s="25" t="s">
        <v>67</v>
      </c>
      <c r="O1488" s="25" t="s">
        <v>27</v>
      </c>
      <c r="P1488" s="25" t="s">
        <v>32</v>
      </c>
    </row>
    <row r="1489" spans="1:16" x14ac:dyDescent="0.3">
      <c r="A1489" s="25">
        <v>1488</v>
      </c>
      <c r="B1489" s="26">
        <v>45584</v>
      </c>
      <c r="C1489" s="25" t="s">
        <v>66</v>
      </c>
      <c r="D1489" s="25" t="s">
        <v>22</v>
      </c>
      <c r="E1489" s="25" t="s">
        <v>92</v>
      </c>
      <c r="F1489" s="25">
        <v>3</v>
      </c>
      <c r="G1489" s="25" t="s">
        <v>91</v>
      </c>
      <c r="H1489" s="25">
        <v>260</v>
      </c>
      <c r="I1489" s="25">
        <v>220</v>
      </c>
      <c r="J1489" s="25">
        <v>780</v>
      </c>
      <c r="K1489" s="25">
        <v>660</v>
      </c>
      <c r="L1489" s="25">
        <v>120</v>
      </c>
      <c r="M1489" s="27">
        <v>18.181818181818201</v>
      </c>
      <c r="N1489" s="25" t="s">
        <v>67</v>
      </c>
      <c r="O1489" s="25" t="s">
        <v>28</v>
      </c>
      <c r="P1489" s="25" t="s">
        <v>32</v>
      </c>
    </row>
    <row r="1490" spans="1:16" x14ac:dyDescent="0.3">
      <c r="A1490" s="25">
        <v>1489</v>
      </c>
      <c r="B1490" s="26">
        <v>45584</v>
      </c>
      <c r="C1490" s="25" t="s">
        <v>66</v>
      </c>
      <c r="D1490" s="25" t="s">
        <v>22</v>
      </c>
      <c r="E1490" s="25" t="s">
        <v>99</v>
      </c>
      <c r="F1490" s="25">
        <v>2</v>
      </c>
      <c r="G1490" s="25" t="s">
        <v>100</v>
      </c>
      <c r="H1490" s="25">
        <v>200</v>
      </c>
      <c r="I1490" s="25">
        <v>160</v>
      </c>
      <c r="J1490" s="25">
        <v>400</v>
      </c>
      <c r="K1490" s="25">
        <v>320</v>
      </c>
      <c r="L1490" s="25">
        <v>80</v>
      </c>
      <c r="M1490" s="27">
        <v>25</v>
      </c>
      <c r="N1490" s="25" t="s">
        <v>67</v>
      </c>
      <c r="O1490" s="25" t="s">
        <v>28</v>
      </c>
      <c r="P1490" s="25" t="s">
        <v>32</v>
      </c>
    </row>
    <row r="1491" spans="1:16" x14ac:dyDescent="0.3">
      <c r="A1491" s="25">
        <v>1490</v>
      </c>
      <c r="B1491" s="26">
        <v>45584</v>
      </c>
      <c r="C1491" s="25" t="s">
        <v>66</v>
      </c>
      <c r="D1491" s="25" t="s">
        <v>22</v>
      </c>
      <c r="E1491" s="25" t="s">
        <v>103</v>
      </c>
      <c r="F1491" s="25">
        <v>1</v>
      </c>
      <c r="G1491" s="25" t="s">
        <v>102</v>
      </c>
      <c r="H1491" s="25">
        <v>30</v>
      </c>
      <c r="I1491" s="25">
        <v>20</v>
      </c>
      <c r="J1491" s="25">
        <v>30</v>
      </c>
      <c r="K1491" s="25">
        <v>20</v>
      </c>
      <c r="L1491" s="25">
        <v>10</v>
      </c>
      <c r="M1491" s="27">
        <v>50</v>
      </c>
      <c r="N1491" s="25" t="s">
        <v>67</v>
      </c>
      <c r="O1491" s="25" t="s">
        <v>28</v>
      </c>
      <c r="P1491" s="25" t="s">
        <v>32</v>
      </c>
    </row>
    <row r="1492" spans="1:16" x14ac:dyDescent="0.3">
      <c r="A1492" s="25">
        <v>1491</v>
      </c>
      <c r="B1492" s="26">
        <v>45584</v>
      </c>
      <c r="C1492" s="25" t="s">
        <v>66</v>
      </c>
      <c r="D1492" s="25" t="s">
        <v>21</v>
      </c>
      <c r="E1492" s="25" t="s">
        <v>94</v>
      </c>
      <c r="F1492" s="25">
        <v>15</v>
      </c>
      <c r="G1492" s="25" t="s">
        <v>89</v>
      </c>
      <c r="H1492" s="25">
        <v>30</v>
      </c>
      <c r="I1492" s="25">
        <v>26</v>
      </c>
      <c r="J1492" s="25">
        <v>450</v>
      </c>
      <c r="K1492" s="25">
        <v>390</v>
      </c>
      <c r="L1492" s="25">
        <v>60</v>
      </c>
      <c r="M1492" s="27">
        <v>15.384615384615399</v>
      </c>
      <c r="N1492" s="25" t="s">
        <v>67</v>
      </c>
      <c r="O1492" s="25" t="s">
        <v>27</v>
      </c>
      <c r="P1492" s="25" t="s">
        <v>32</v>
      </c>
    </row>
    <row r="1493" spans="1:16" x14ac:dyDescent="0.3">
      <c r="A1493" s="25">
        <v>1492</v>
      </c>
      <c r="B1493" s="26">
        <v>45584</v>
      </c>
      <c r="C1493" s="25" t="s">
        <v>66</v>
      </c>
      <c r="D1493" s="25" t="s">
        <v>21</v>
      </c>
      <c r="E1493" s="25" t="s">
        <v>93</v>
      </c>
      <c r="F1493" s="25">
        <v>2</v>
      </c>
      <c r="G1493" s="25" t="s">
        <v>89</v>
      </c>
      <c r="H1493" s="25">
        <v>250</v>
      </c>
      <c r="I1493" s="25">
        <v>180</v>
      </c>
      <c r="J1493" s="25">
        <v>500</v>
      </c>
      <c r="K1493" s="25">
        <v>360</v>
      </c>
      <c r="L1493" s="25">
        <v>140</v>
      </c>
      <c r="M1493" s="27">
        <v>38.8888888888889</v>
      </c>
      <c r="N1493" s="25" t="s">
        <v>67</v>
      </c>
      <c r="O1493" s="25" t="s">
        <v>27</v>
      </c>
      <c r="P1493" s="25" t="s">
        <v>33</v>
      </c>
    </row>
    <row r="1494" spans="1:16" x14ac:dyDescent="0.3">
      <c r="A1494" s="25">
        <v>1493</v>
      </c>
      <c r="B1494" s="26">
        <v>45584</v>
      </c>
      <c r="C1494" s="25" t="s">
        <v>66</v>
      </c>
      <c r="D1494" s="25" t="s">
        <v>21</v>
      </c>
      <c r="E1494" s="25" t="s">
        <v>98</v>
      </c>
      <c r="F1494" s="25">
        <v>2</v>
      </c>
      <c r="G1494" s="25" t="s">
        <v>89</v>
      </c>
      <c r="H1494" s="25">
        <v>95</v>
      </c>
      <c r="I1494" s="25">
        <v>55</v>
      </c>
      <c r="J1494" s="25">
        <v>190</v>
      </c>
      <c r="K1494" s="25">
        <v>110</v>
      </c>
      <c r="L1494" s="25">
        <v>80</v>
      </c>
      <c r="M1494" s="27">
        <v>72.727272727272705</v>
      </c>
      <c r="N1494" s="25" t="s">
        <v>67</v>
      </c>
      <c r="O1494" s="25" t="s">
        <v>27</v>
      </c>
      <c r="P1494" s="25" t="s">
        <v>33</v>
      </c>
    </row>
    <row r="1495" spans="1:16" x14ac:dyDescent="0.3">
      <c r="A1495" s="25">
        <v>1494</v>
      </c>
      <c r="B1495" s="26">
        <v>45584</v>
      </c>
      <c r="C1495" s="25" t="s">
        <v>66</v>
      </c>
      <c r="D1495" s="25" t="s">
        <v>21</v>
      </c>
      <c r="E1495" s="25" t="s">
        <v>88</v>
      </c>
      <c r="F1495" s="25">
        <v>18</v>
      </c>
      <c r="G1495" s="25" t="s">
        <v>89</v>
      </c>
      <c r="H1495" s="25">
        <v>130</v>
      </c>
      <c r="I1495" s="25">
        <v>100</v>
      </c>
      <c r="J1495" s="25">
        <v>2340</v>
      </c>
      <c r="K1495" s="25">
        <v>1800</v>
      </c>
      <c r="L1495" s="25">
        <v>540</v>
      </c>
      <c r="M1495" s="27">
        <v>30</v>
      </c>
      <c r="N1495" s="25" t="s">
        <v>67</v>
      </c>
      <c r="O1495" s="25" t="s">
        <v>27</v>
      </c>
      <c r="P1495" s="25" t="s">
        <v>32</v>
      </c>
    </row>
    <row r="1496" spans="1:16" x14ac:dyDescent="0.3">
      <c r="A1496" s="25">
        <v>1495</v>
      </c>
      <c r="B1496" s="26">
        <v>45584</v>
      </c>
      <c r="C1496" s="25" t="s">
        <v>66</v>
      </c>
      <c r="D1496" s="25" t="s">
        <v>21</v>
      </c>
      <c r="E1496" s="25" t="s">
        <v>88</v>
      </c>
      <c r="F1496" s="25">
        <v>2</v>
      </c>
      <c r="G1496" s="25" t="s">
        <v>89</v>
      </c>
      <c r="H1496" s="25">
        <v>130</v>
      </c>
      <c r="I1496" s="25">
        <v>100</v>
      </c>
      <c r="J1496" s="25">
        <v>260</v>
      </c>
      <c r="K1496" s="25">
        <v>200</v>
      </c>
      <c r="L1496" s="25">
        <v>60</v>
      </c>
      <c r="M1496" s="27">
        <v>30</v>
      </c>
      <c r="N1496" s="25" t="s">
        <v>67</v>
      </c>
      <c r="O1496" s="25" t="s">
        <v>27</v>
      </c>
      <c r="P1496" s="25" t="s">
        <v>32</v>
      </c>
    </row>
    <row r="1497" spans="1:16" x14ac:dyDescent="0.3">
      <c r="A1497" s="25">
        <v>1496</v>
      </c>
      <c r="B1497" s="26">
        <v>45584</v>
      </c>
      <c r="C1497" s="25" t="s">
        <v>66</v>
      </c>
      <c r="D1497" s="25" t="s">
        <v>21</v>
      </c>
      <c r="E1497" s="25" t="s">
        <v>88</v>
      </c>
      <c r="F1497" s="25">
        <v>6</v>
      </c>
      <c r="G1497" s="25" t="s">
        <v>89</v>
      </c>
      <c r="H1497" s="25">
        <v>130</v>
      </c>
      <c r="I1497" s="25">
        <v>100</v>
      </c>
      <c r="J1497" s="25">
        <v>780</v>
      </c>
      <c r="K1497" s="25">
        <v>600</v>
      </c>
      <c r="L1497" s="25">
        <v>180</v>
      </c>
      <c r="M1497" s="27">
        <v>30</v>
      </c>
      <c r="N1497" s="25" t="s">
        <v>67</v>
      </c>
      <c r="O1497" s="25" t="s">
        <v>27</v>
      </c>
      <c r="P1497" s="25" t="s">
        <v>32</v>
      </c>
    </row>
    <row r="1498" spans="1:16" x14ac:dyDescent="0.3">
      <c r="A1498" s="25">
        <v>1497</v>
      </c>
      <c r="B1498" s="26">
        <v>45584</v>
      </c>
      <c r="C1498" s="25" t="s">
        <v>66</v>
      </c>
      <c r="D1498" s="25" t="s">
        <v>21</v>
      </c>
      <c r="E1498" s="25" t="s">
        <v>88</v>
      </c>
      <c r="F1498" s="25">
        <v>3</v>
      </c>
      <c r="G1498" s="25" t="s">
        <v>89</v>
      </c>
      <c r="H1498" s="25">
        <v>130</v>
      </c>
      <c r="I1498" s="25">
        <v>100</v>
      </c>
      <c r="J1498" s="25">
        <v>390</v>
      </c>
      <c r="K1498" s="25">
        <v>300</v>
      </c>
      <c r="L1498" s="25">
        <v>90</v>
      </c>
      <c r="M1498" s="27">
        <v>30</v>
      </c>
      <c r="N1498" s="25" t="s">
        <v>67</v>
      </c>
      <c r="O1498" s="25" t="s">
        <v>27</v>
      </c>
      <c r="P1498" s="25" t="s">
        <v>32</v>
      </c>
    </row>
    <row r="1499" spans="1:16" x14ac:dyDescent="0.3">
      <c r="A1499" s="25">
        <v>1498</v>
      </c>
      <c r="B1499" s="26">
        <v>45584</v>
      </c>
      <c r="C1499" s="25" t="s">
        <v>66</v>
      </c>
      <c r="D1499" s="25" t="s">
        <v>21</v>
      </c>
      <c r="E1499" s="25" t="s">
        <v>94</v>
      </c>
      <c r="F1499" s="25">
        <v>15</v>
      </c>
      <c r="G1499" s="25" t="s">
        <v>89</v>
      </c>
      <c r="H1499" s="25">
        <v>30</v>
      </c>
      <c r="I1499" s="25">
        <v>26</v>
      </c>
      <c r="J1499" s="25">
        <v>450</v>
      </c>
      <c r="K1499" s="25">
        <v>390</v>
      </c>
      <c r="L1499" s="25">
        <v>60</v>
      </c>
      <c r="M1499" s="27">
        <v>15.384615384615399</v>
      </c>
      <c r="N1499" s="25" t="s">
        <v>67</v>
      </c>
      <c r="O1499" s="25" t="s">
        <v>27</v>
      </c>
      <c r="P1499" s="25" t="s">
        <v>32</v>
      </c>
    </row>
    <row r="1500" spans="1:16" x14ac:dyDescent="0.3">
      <c r="A1500" s="25">
        <v>1499</v>
      </c>
      <c r="B1500" s="26">
        <v>45584</v>
      </c>
      <c r="C1500" s="25" t="s">
        <v>66</v>
      </c>
      <c r="D1500" s="25" t="s">
        <v>21</v>
      </c>
      <c r="E1500" s="25" t="s">
        <v>93</v>
      </c>
      <c r="F1500" s="25">
        <v>2</v>
      </c>
      <c r="G1500" s="25" t="s">
        <v>89</v>
      </c>
      <c r="H1500" s="25">
        <v>250</v>
      </c>
      <c r="I1500" s="25">
        <v>180</v>
      </c>
      <c r="J1500" s="25">
        <v>500</v>
      </c>
      <c r="K1500" s="25">
        <v>360</v>
      </c>
      <c r="L1500" s="25">
        <v>140</v>
      </c>
      <c r="M1500" s="27">
        <v>38.8888888888889</v>
      </c>
      <c r="N1500" s="25" t="s">
        <v>67</v>
      </c>
      <c r="O1500" s="25" t="s">
        <v>27</v>
      </c>
      <c r="P1500" s="25" t="s">
        <v>32</v>
      </c>
    </row>
    <row r="1501" spans="1:16" x14ac:dyDescent="0.3">
      <c r="A1501" s="25">
        <v>1500</v>
      </c>
      <c r="B1501" s="26">
        <v>45585</v>
      </c>
      <c r="C1501" s="25" t="s">
        <v>66</v>
      </c>
      <c r="D1501" s="25" t="s">
        <v>21</v>
      </c>
      <c r="E1501" s="25" t="s">
        <v>98</v>
      </c>
      <c r="F1501" s="25">
        <v>2</v>
      </c>
      <c r="G1501" s="25" t="s">
        <v>89</v>
      </c>
      <c r="H1501" s="25">
        <v>95</v>
      </c>
      <c r="I1501" s="25">
        <v>55</v>
      </c>
      <c r="J1501" s="25">
        <v>190</v>
      </c>
      <c r="K1501" s="25">
        <v>110</v>
      </c>
      <c r="L1501" s="25">
        <v>80</v>
      </c>
      <c r="M1501" s="27">
        <v>72.727272727272705</v>
      </c>
      <c r="N1501" s="25" t="s">
        <v>67</v>
      </c>
      <c r="O1501" s="25" t="s">
        <v>27</v>
      </c>
      <c r="P1501" s="25" t="s">
        <v>32</v>
      </c>
    </row>
    <row r="1502" spans="1:16" x14ac:dyDescent="0.3">
      <c r="A1502" s="25">
        <v>1501</v>
      </c>
      <c r="B1502" s="26">
        <v>45585</v>
      </c>
      <c r="C1502" s="25" t="s">
        <v>66</v>
      </c>
      <c r="D1502" s="25" t="s">
        <v>21</v>
      </c>
      <c r="E1502" s="25" t="s">
        <v>88</v>
      </c>
      <c r="F1502" s="25">
        <v>15</v>
      </c>
      <c r="G1502" s="25" t="s">
        <v>89</v>
      </c>
      <c r="H1502" s="25">
        <v>130</v>
      </c>
      <c r="I1502" s="25">
        <v>100</v>
      </c>
      <c r="J1502" s="25">
        <v>1950</v>
      </c>
      <c r="K1502" s="25">
        <v>1500</v>
      </c>
      <c r="L1502" s="25">
        <v>450</v>
      </c>
      <c r="M1502" s="27">
        <v>30</v>
      </c>
      <c r="N1502" s="25" t="s">
        <v>67</v>
      </c>
      <c r="O1502" s="25" t="s">
        <v>27</v>
      </c>
      <c r="P1502" s="25" t="s">
        <v>32</v>
      </c>
    </row>
    <row r="1503" spans="1:16" x14ac:dyDescent="0.3">
      <c r="A1503" s="25">
        <v>1502</v>
      </c>
      <c r="B1503" s="26">
        <v>45585</v>
      </c>
      <c r="C1503" s="25" t="s">
        <v>66</v>
      </c>
      <c r="D1503" s="25" t="s">
        <v>21</v>
      </c>
      <c r="E1503" s="25" t="s">
        <v>88</v>
      </c>
      <c r="F1503" s="25">
        <v>6</v>
      </c>
      <c r="G1503" s="25" t="s">
        <v>89</v>
      </c>
      <c r="H1503" s="25">
        <v>130</v>
      </c>
      <c r="I1503" s="25">
        <v>100</v>
      </c>
      <c r="J1503" s="25">
        <v>780</v>
      </c>
      <c r="K1503" s="25">
        <v>600</v>
      </c>
      <c r="L1503" s="25">
        <v>180</v>
      </c>
      <c r="M1503" s="27">
        <v>30</v>
      </c>
      <c r="N1503" s="25" t="s">
        <v>67</v>
      </c>
      <c r="O1503" s="25" t="s">
        <v>27</v>
      </c>
      <c r="P1503" s="25" t="s">
        <v>32</v>
      </c>
    </row>
    <row r="1504" spans="1:16" x14ac:dyDescent="0.3">
      <c r="A1504" s="25">
        <v>1503</v>
      </c>
      <c r="B1504" s="26">
        <v>45585</v>
      </c>
      <c r="C1504" s="25" t="s">
        <v>66</v>
      </c>
      <c r="D1504" s="25" t="s">
        <v>21</v>
      </c>
      <c r="E1504" s="25" t="s">
        <v>94</v>
      </c>
      <c r="F1504" s="25">
        <v>15</v>
      </c>
      <c r="G1504" s="25" t="s">
        <v>89</v>
      </c>
      <c r="H1504" s="25">
        <v>30</v>
      </c>
      <c r="I1504" s="25">
        <v>26</v>
      </c>
      <c r="J1504" s="25">
        <v>450</v>
      </c>
      <c r="K1504" s="25">
        <v>390</v>
      </c>
      <c r="L1504" s="25">
        <v>60</v>
      </c>
      <c r="M1504" s="27">
        <v>15.384615384615399</v>
      </c>
      <c r="N1504" s="25" t="s">
        <v>67</v>
      </c>
      <c r="O1504" s="25" t="s">
        <v>27</v>
      </c>
      <c r="P1504" s="25" t="s">
        <v>32</v>
      </c>
    </row>
    <row r="1505" spans="1:16" x14ac:dyDescent="0.3">
      <c r="A1505" s="25">
        <v>1504</v>
      </c>
      <c r="B1505" s="26">
        <v>45585</v>
      </c>
      <c r="C1505" s="25" t="s">
        <v>66</v>
      </c>
      <c r="D1505" s="25" t="s">
        <v>21</v>
      </c>
      <c r="E1505" s="25" t="s">
        <v>93</v>
      </c>
      <c r="F1505" s="25">
        <v>2</v>
      </c>
      <c r="G1505" s="25" t="s">
        <v>89</v>
      </c>
      <c r="H1505" s="25">
        <v>250</v>
      </c>
      <c r="I1505" s="25">
        <v>180</v>
      </c>
      <c r="J1505" s="25">
        <v>500</v>
      </c>
      <c r="K1505" s="25">
        <v>360</v>
      </c>
      <c r="L1505" s="25">
        <v>140</v>
      </c>
      <c r="M1505" s="27">
        <v>38.8888888888889</v>
      </c>
      <c r="N1505" s="25" t="s">
        <v>67</v>
      </c>
      <c r="O1505" s="25" t="s">
        <v>27</v>
      </c>
      <c r="P1505" s="25" t="s">
        <v>32</v>
      </c>
    </row>
    <row r="1506" spans="1:16" x14ac:dyDescent="0.3">
      <c r="A1506" s="25">
        <v>1505</v>
      </c>
      <c r="B1506" s="26">
        <v>45585</v>
      </c>
      <c r="C1506" s="25" t="s">
        <v>66</v>
      </c>
      <c r="D1506" s="25" t="s">
        <v>21</v>
      </c>
      <c r="E1506" s="25" t="s">
        <v>98</v>
      </c>
      <c r="F1506" s="25">
        <v>1</v>
      </c>
      <c r="G1506" s="25" t="s">
        <v>89</v>
      </c>
      <c r="H1506" s="25">
        <v>95</v>
      </c>
      <c r="I1506" s="25">
        <v>55</v>
      </c>
      <c r="J1506" s="25">
        <v>95</v>
      </c>
      <c r="K1506" s="25">
        <v>55</v>
      </c>
      <c r="L1506" s="25">
        <v>40</v>
      </c>
      <c r="M1506" s="27">
        <v>72.727272727272705</v>
      </c>
      <c r="N1506" s="25" t="s">
        <v>67</v>
      </c>
      <c r="O1506" s="25" t="s">
        <v>27</v>
      </c>
      <c r="P1506" s="25" t="s">
        <v>32</v>
      </c>
    </row>
    <row r="1507" spans="1:16" x14ac:dyDescent="0.3">
      <c r="A1507" s="25">
        <v>1506</v>
      </c>
      <c r="B1507" s="26">
        <v>45585</v>
      </c>
      <c r="C1507" s="25" t="s">
        <v>66</v>
      </c>
      <c r="D1507" s="25" t="s">
        <v>21</v>
      </c>
      <c r="E1507" s="25" t="s">
        <v>88</v>
      </c>
      <c r="F1507" s="25">
        <v>10</v>
      </c>
      <c r="G1507" s="25" t="s">
        <v>89</v>
      </c>
      <c r="H1507" s="25">
        <v>130</v>
      </c>
      <c r="I1507" s="25">
        <v>100</v>
      </c>
      <c r="J1507" s="25">
        <v>1300</v>
      </c>
      <c r="K1507" s="25">
        <v>1000</v>
      </c>
      <c r="L1507" s="25">
        <v>300</v>
      </c>
      <c r="M1507" s="27">
        <v>30</v>
      </c>
      <c r="N1507" s="25" t="s">
        <v>67</v>
      </c>
      <c r="O1507" s="25" t="s">
        <v>27</v>
      </c>
      <c r="P1507" s="25" t="s">
        <v>32</v>
      </c>
    </row>
    <row r="1508" spans="1:16" x14ac:dyDescent="0.3">
      <c r="A1508" s="25">
        <v>1507</v>
      </c>
      <c r="B1508" s="26">
        <v>45585</v>
      </c>
      <c r="C1508" s="25" t="s">
        <v>66</v>
      </c>
      <c r="D1508" s="25" t="s">
        <v>21</v>
      </c>
      <c r="E1508" s="25" t="s">
        <v>88</v>
      </c>
      <c r="F1508" s="25">
        <v>7</v>
      </c>
      <c r="G1508" s="25" t="s">
        <v>89</v>
      </c>
      <c r="H1508" s="25">
        <v>130</v>
      </c>
      <c r="I1508" s="25">
        <v>100</v>
      </c>
      <c r="J1508" s="25">
        <v>910</v>
      </c>
      <c r="K1508" s="25">
        <v>700</v>
      </c>
      <c r="L1508" s="25">
        <v>210</v>
      </c>
      <c r="M1508" s="27">
        <v>30</v>
      </c>
      <c r="N1508" s="25" t="s">
        <v>67</v>
      </c>
      <c r="O1508" s="25" t="s">
        <v>27</v>
      </c>
      <c r="P1508" s="25" t="s">
        <v>32</v>
      </c>
    </row>
    <row r="1509" spans="1:16" x14ac:dyDescent="0.3">
      <c r="A1509" s="25">
        <v>1508</v>
      </c>
      <c r="B1509" s="26">
        <v>45585</v>
      </c>
      <c r="C1509" s="25" t="s">
        <v>66</v>
      </c>
      <c r="D1509" s="25" t="s">
        <v>21</v>
      </c>
      <c r="E1509" s="25" t="s">
        <v>88</v>
      </c>
      <c r="F1509" s="25">
        <v>4</v>
      </c>
      <c r="G1509" s="25" t="s">
        <v>89</v>
      </c>
      <c r="H1509" s="25">
        <v>130</v>
      </c>
      <c r="I1509" s="25">
        <v>100</v>
      </c>
      <c r="J1509" s="25">
        <v>520</v>
      </c>
      <c r="K1509" s="25">
        <v>400</v>
      </c>
      <c r="L1509" s="25">
        <v>120</v>
      </c>
      <c r="M1509" s="27">
        <v>30</v>
      </c>
      <c r="N1509" s="25" t="s">
        <v>67</v>
      </c>
      <c r="O1509" s="25" t="s">
        <v>27</v>
      </c>
      <c r="P1509" s="25" t="s">
        <v>32</v>
      </c>
    </row>
    <row r="1510" spans="1:16" x14ac:dyDescent="0.3">
      <c r="A1510" s="25">
        <v>1509</v>
      </c>
      <c r="B1510" s="26">
        <v>45585</v>
      </c>
      <c r="C1510" s="25" t="s">
        <v>66</v>
      </c>
      <c r="D1510" s="25" t="s">
        <v>21</v>
      </c>
      <c r="E1510" s="25" t="s">
        <v>88</v>
      </c>
      <c r="F1510" s="25">
        <v>6</v>
      </c>
      <c r="G1510" s="25" t="s">
        <v>89</v>
      </c>
      <c r="H1510" s="25">
        <v>130</v>
      </c>
      <c r="I1510" s="25">
        <v>100</v>
      </c>
      <c r="J1510" s="25">
        <v>780</v>
      </c>
      <c r="K1510" s="25">
        <v>600</v>
      </c>
      <c r="L1510" s="25">
        <v>180</v>
      </c>
      <c r="M1510" s="27">
        <v>30</v>
      </c>
      <c r="N1510" s="25" t="s">
        <v>67</v>
      </c>
      <c r="O1510" s="25" t="s">
        <v>27</v>
      </c>
      <c r="P1510" s="25" t="s">
        <v>32</v>
      </c>
    </row>
    <row r="1511" spans="1:16" x14ac:dyDescent="0.3">
      <c r="A1511" s="25">
        <v>1510</v>
      </c>
      <c r="B1511" s="26">
        <v>45585</v>
      </c>
      <c r="C1511" s="25" t="s">
        <v>66</v>
      </c>
      <c r="D1511" s="25" t="s">
        <v>22</v>
      </c>
      <c r="E1511" s="25" t="s">
        <v>99</v>
      </c>
      <c r="F1511" s="25">
        <v>2</v>
      </c>
      <c r="G1511" s="25" t="s">
        <v>100</v>
      </c>
      <c r="H1511" s="25">
        <v>200</v>
      </c>
      <c r="I1511" s="25">
        <v>160</v>
      </c>
      <c r="J1511" s="25">
        <v>400</v>
      </c>
      <c r="K1511" s="25">
        <v>320</v>
      </c>
      <c r="L1511" s="25">
        <v>80</v>
      </c>
      <c r="M1511" s="27">
        <v>25</v>
      </c>
      <c r="N1511" s="25" t="s">
        <v>67</v>
      </c>
      <c r="O1511" s="25" t="s">
        <v>28</v>
      </c>
      <c r="P1511" s="25" t="s">
        <v>33</v>
      </c>
    </row>
    <row r="1512" spans="1:16" x14ac:dyDescent="0.3">
      <c r="A1512" s="25">
        <v>1511</v>
      </c>
      <c r="B1512" s="26">
        <v>45585</v>
      </c>
      <c r="C1512" s="25" t="s">
        <v>66</v>
      </c>
      <c r="D1512" s="25" t="s">
        <v>21</v>
      </c>
      <c r="E1512" s="25" t="s">
        <v>88</v>
      </c>
      <c r="F1512" s="25">
        <v>5</v>
      </c>
      <c r="G1512" s="25" t="s">
        <v>89</v>
      </c>
      <c r="H1512" s="25">
        <v>130</v>
      </c>
      <c r="I1512" s="25">
        <v>100</v>
      </c>
      <c r="J1512" s="25">
        <v>650</v>
      </c>
      <c r="K1512" s="25">
        <v>500</v>
      </c>
      <c r="L1512" s="25">
        <v>150</v>
      </c>
      <c r="M1512" s="27">
        <v>30</v>
      </c>
      <c r="N1512" s="25" t="s">
        <v>67</v>
      </c>
      <c r="O1512" s="25" t="s">
        <v>27</v>
      </c>
      <c r="P1512" s="25" t="s">
        <v>32</v>
      </c>
    </row>
    <row r="1513" spans="1:16" x14ac:dyDescent="0.3">
      <c r="A1513" s="25">
        <v>1512</v>
      </c>
      <c r="B1513" s="26">
        <v>45585</v>
      </c>
      <c r="C1513" s="25" t="s">
        <v>66</v>
      </c>
      <c r="D1513" s="25" t="s">
        <v>21</v>
      </c>
      <c r="E1513" s="25" t="s">
        <v>88</v>
      </c>
      <c r="F1513" s="25">
        <v>3</v>
      </c>
      <c r="G1513" s="25" t="s">
        <v>89</v>
      </c>
      <c r="H1513" s="25">
        <v>130</v>
      </c>
      <c r="I1513" s="25">
        <v>100</v>
      </c>
      <c r="J1513" s="25">
        <v>390</v>
      </c>
      <c r="K1513" s="25">
        <v>300</v>
      </c>
      <c r="L1513" s="25">
        <v>90</v>
      </c>
      <c r="M1513" s="27">
        <v>30</v>
      </c>
      <c r="N1513" s="25" t="s">
        <v>67</v>
      </c>
      <c r="O1513" s="25" t="s">
        <v>27</v>
      </c>
      <c r="P1513" s="25" t="s">
        <v>32</v>
      </c>
    </row>
    <row r="1514" spans="1:16" x14ac:dyDescent="0.3">
      <c r="A1514" s="25">
        <v>1513</v>
      </c>
      <c r="B1514" s="26">
        <v>45585</v>
      </c>
      <c r="C1514" s="25" t="s">
        <v>66</v>
      </c>
      <c r="D1514" s="25" t="s">
        <v>21</v>
      </c>
      <c r="E1514" s="25" t="s">
        <v>94</v>
      </c>
      <c r="F1514" s="25">
        <v>14</v>
      </c>
      <c r="G1514" s="25" t="s">
        <v>89</v>
      </c>
      <c r="H1514" s="25">
        <v>30</v>
      </c>
      <c r="I1514" s="25">
        <v>26</v>
      </c>
      <c r="J1514" s="25">
        <v>420</v>
      </c>
      <c r="K1514" s="25">
        <v>364</v>
      </c>
      <c r="L1514" s="25">
        <v>56</v>
      </c>
      <c r="M1514" s="27">
        <v>15.384615384615399</v>
      </c>
      <c r="N1514" s="25" t="s">
        <v>67</v>
      </c>
      <c r="O1514" s="25" t="s">
        <v>27</v>
      </c>
      <c r="P1514" s="25" t="s">
        <v>32</v>
      </c>
    </row>
    <row r="1515" spans="1:16" x14ac:dyDescent="0.3">
      <c r="A1515" s="25">
        <v>1514</v>
      </c>
      <c r="B1515" s="26">
        <v>45585</v>
      </c>
      <c r="C1515" s="25" t="s">
        <v>66</v>
      </c>
      <c r="D1515" s="25" t="s">
        <v>21</v>
      </c>
      <c r="E1515" s="25" t="s">
        <v>93</v>
      </c>
      <c r="F1515" s="25">
        <v>2</v>
      </c>
      <c r="G1515" s="25" t="s">
        <v>89</v>
      </c>
      <c r="H1515" s="25">
        <v>250</v>
      </c>
      <c r="I1515" s="25">
        <v>180</v>
      </c>
      <c r="J1515" s="25">
        <v>500</v>
      </c>
      <c r="K1515" s="25">
        <v>360</v>
      </c>
      <c r="L1515" s="25">
        <v>140</v>
      </c>
      <c r="M1515" s="27">
        <v>38.8888888888889</v>
      </c>
      <c r="N1515" s="25" t="s">
        <v>67</v>
      </c>
      <c r="O1515" s="25" t="s">
        <v>27</v>
      </c>
      <c r="P1515" s="25" t="s">
        <v>32</v>
      </c>
    </row>
    <row r="1516" spans="1:16" x14ac:dyDescent="0.3">
      <c r="A1516" s="25">
        <v>1515</v>
      </c>
      <c r="B1516" s="26">
        <v>45585</v>
      </c>
      <c r="C1516" s="25" t="s">
        <v>66</v>
      </c>
      <c r="D1516" s="25" t="s">
        <v>21</v>
      </c>
      <c r="E1516" s="25" t="s">
        <v>98</v>
      </c>
      <c r="F1516" s="25">
        <v>2</v>
      </c>
      <c r="G1516" s="25" t="s">
        <v>89</v>
      </c>
      <c r="H1516" s="25">
        <v>95</v>
      </c>
      <c r="I1516" s="25">
        <v>55</v>
      </c>
      <c r="J1516" s="25">
        <v>190</v>
      </c>
      <c r="K1516" s="25">
        <v>110</v>
      </c>
      <c r="L1516" s="25">
        <v>80</v>
      </c>
      <c r="M1516" s="27">
        <v>72.727272727272705</v>
      </c>
      <c r="N1516" s="25" t="s">
        <v>67</v>
      </c>
      <c r="O1516" s="25" t="s">
        <v>27</v>
      </c>
      <c r="P1516" s="25" t="s">
        <v>32</v>
      </c>
    </row>
    <row r="1517" spans="1:16" x14ac:dyDescent="0.3">
      <c r="A1517" s="25">
        <v>1516</v>
      </c>
      <c r="B1517" s="26">
        <v>45585</v>
      </c>
      <c r="C1517" s="25" t="s">
        <v>66</v>
      </c>
      <c r="D1517" s="25" t="s">
        <v>21</v>
      </c>
      <c r="E1517" s="25" t="s">
        <v>88</v>
      </c>
      <c r="F1517" s="25">
        <v>5</v>
      </c>
      <c r="G1517" s="25" t="s">
        <v>89</v>
      </c>
      <c r="H1517" s="25">
        <v>130</v>
      </c>
      <c r="I1517" s="25">
        <v>100</v>
      </c>
      <c r="J1517" s="25">
        <v>650</v>
      </c>
      <c r="K1517" s="25">
        <v>500</v>
      </c>
      <c r="L1517" s="25">
        <v>150</v>
      </c>
      <c r="M1517" s="27">
        <v>30</v>
      </c>
      <c r="N1517" s="25" t="s">
        <v>67</v>
      </c>
      <c r="O1517" s="25" t="s">
        <v>27</v>
      </c>
      <c r="P1517" s="25" t="s">
        <v>32</v>
      </c>
    </row>
    <row r="1518" spans="1:16" x14ac:dyDescent="0.3">
      <c r="A1518" s="25">
        <v>1517</v>
      </c>
      <c r="B1518" s="26">
        <v>45586</v>
      </c>
      <c r="C1518" s="25" t="s">
        <v>66</v>
      </c>
      <c r="D1518" s="25" t="s">
        <v>21</v>
      </c>
      <c r="E1518" s="25" t="s">
        <v>88</v>
      </c>
      <c r="F1518" s="25">
        <v>4</v>
      </c>
      <c r="G1518" s="25" t="s">
        <v>89</v>
      </c>
      <c r="H1518" s="25">
        <v>130</v>
      </c>
      <c r="I1518" s="25">
        <v>100</v>
      </c>
      <c r="J1518" s="25">
        <v>520</v>
      </c>
      <c r="K1518" s="25">
        <v>400</v>
      </c>
      <c r="L1518" s="25">
        <v>120</v>
      </c>
      <c r="M1518" s="27">
        <v>30</v>
      </c>
      <c r="N1518" s="25" t="s">
        <v>67</v>
      </c>
      <c r="O1518" s="25" t="s">
        <v>27</v>
      </c>
      <c r="P1518" s="25" t="s">
        <v>32</v>
      </c>
    </row>
    <row r="1519" spans="1:16" x14ac:dyDescent="0.3">
      <c r="A1519" s="25">
        <v>1518</v>
      </c>
      <c r="B1519" s="26">
        <v>45586</v>
      </c>
      <c r="C1519" s="25" t="s">
        <v>66</v>
      </c>
      <c r="D1519" s="25" t="s">
        <v>21</v>
      </c>
      <c r="E1519" s="25" t="s">
        <v>88</v>
      </c>
      <c r="F1519" s="25">
        <v>2</v>
      </c>
      <c r="G1519" s="25" t="s">
        <v>89</v>
      </c>
      <c r="H1519" s="25">
        <v>130</v>
      </c>
      <c r="I1519" s="25">
        <v>100</v>
      </c>
      <c r="J1519" s="25">
        <v>260</v>
      </c>
      <c r="K1519" s="25">
        <v>200</v>
      </c>
      <c r="L1519" s="25">
        <v>60</v>
      </c>
      <c r="M1519" s="27">
        <v>30</v>
      </c>
      <c r="N1519" s="25" t="s">
        <v>67</v>
      </c>
      <c r="O1519" s="25" t="s">
        <v>27</v>
      </c>
      <c r="P1519" s="25" t="s">
        <v>32</v>
      </c>
    </row>
    <row r="1520" spans="1:16" x14ac:dyDescent="0.3">
      <c r="A1520" s="25">
        <v>1519</v>
      </c>
      <c r="B1520" s="26">
        <v>45586</v>
      </c>
      <c r="C1520" s="25" t="s">
        <v>66</v>
      </c>
      <c r="D1520" s="25" t="s">
        <v>22</v>
      </c>
      <c r="E1520" s="25" t="s">
        <v>92</v>
      </c>
      <c r="F1520" s="25">
        <v>2.5</v>
      </c>
      <c r="G1520" s="25" t="s">
        <v>91</v>
      </c>
      <c r="H1520" s="25">
        <v>260</v>
      </c>
      <c r="I1520" s="25">
        <v>220</v>
      </c>
      <c r="J1520" s="25">
        <v>650</v>
      </c>
      <c r="K1520" s="25">
        <v>550</v>
      </c>
      <c r="L1520" s="25">
        <v>100</v>
      </c>
      <c r="M1520" s="27">
        <v>18.181818181818201</v>
      </c>
      <c r="N1520" s="25" t="s">
        <v>67</v>
      </c>
      <c r="O1520" s="25" t="s">
        <v>28</v>
      </c>
      <c r="P1520" s="25" t="s">
        <v>32</v>
      </c>
    </row>
    <row r="1521" spans="1:16" x14ac:dyDescent="0.3">
      <c r="A1521" s="25">
        <v>1520</v>
      </c>
      <c r="B1521" s="26">
        <v>45586</v>
      </c>
      <c r="C1521" s="25" t="s">
        <v>66</v>
      </c>
      <c r="D1521" s="25" t="s">
        <v>22</v>
      </c>
      <c r="E1521" s="25" t="s">
        <v>99</v>
      </c>
      <c r="F1521" s="25">
        <v>2</v>
      </c>
      <c r="G1521" s="25" t="s">
        <v>100</v>
      </c>
      <c r="H1521" s="25">
        <v>200</v>
      </c>
      <c r="I1521" s="25">
        <v>160</v>
      </c>
      <c r="J1521" s="25">
        <v>400</v>
      </c>
      <c r="K1521" s="25">
        <v>320</v>
      </c>
      <c r="L1521" s="25">
        <v>80</v>
      </c>
      <c r="M1521" s="27">
        <v>25</v>
      </c>
      <c r="N1521" s="25" t="s">
        <v>67</v>
      </c>
      <c r="O1521" s="25" t="s">
        <v>28</v>
      </c>
      <c r="P1521" s="25" t="s">
        <v>32</v>
      </c>
    </row>
    <row r="1522" spans="1:16" x14ac:dyDescent="0.3">
      <c r="A1522" s="25">
        <v>1521</v>
      </c>
      <c r="B1522" s="26">
        <v>45586</v>
      </c>
      <c r="C1522" s="25" t="s">
        <v>66</v>
      </c>
      <c r="D1522" s="25" t="s">
        <v>21</v>
      </c>
      <c r="E1522" s="25" t="s">
        <v>93</v>
      </c>
      <c r="F1522" s="25">
        <v>2</v>
      </c>
      <c r="G1522" s="25" t="s">
        <v>89</v>
      </c>
      <c r="H1522" s="25">
        <v>250</v>
      </c>
      <c r="I1522" s="25">
        <v>180</v>
      </c>
      <c r="J1522" s="25">
        <v>500</v>
      </c>
      <c r="K1522" s="25">
        <v>360</v>
      </c>
      <c r="L1522" s="25">
        <v>140</v>
      </c>
      <c r="M1522" s="27">
        <v>38.8888888888889</v>
      </c>
      <c r="N1522" s="25" t="s">
        <v>67</v>
      </c>
      <c r="O1522" s="25" t="s">
        <v>27</v>
      </c>
      <c r="P1522" s="25" t="s">
        <v>32</v>
      </c>
    </row>
    <row r="1523" spans="1:16" x14ac:dyDescent="0.3">
      <c r="A1523" s="25">
        <v>1522</v>
      </c>
      <c r="B1523" s="26">
        <v>45586</v>
      </c>
      <c r="C1523" s="25" t="s">
        <v>66</v>
      </c>
      <c r="D1523" s="25" t="s">
        <v>21</v>
      </c>
      <c r="E1523" s="25" t="s">
        <v>98</v>
      </c>
      <c r="F1523" s="25">
        <v>2</v>
      </c>
      <c r="G1523" s="25" t="s">
        <v>89</v>
      </c>
      <c r="H1523" s="25">
        <v>95</v>
      </c>
      <c r="I1523" s="25">
        <v>55</v>
      </c>
      <c r="J1523" s="25">
        <v>190</v>
      </c>
      <c r="K1523" s="25">
        <v>110</v>
      </c>
      <c r="L1523" s="25">
        <v>80</v>
      </c>
      <c r="M1523" s="27">
        <v>72.727272727272705</v>
      </c>
      <c r="N1523" s="25" t="s">
        <v>67</v>
      </c>
      <c r="O1523" s="25" t="s">
        <v>27</v>
      </c>
      <c r="P1523" s="25" t="s">
        <v>32</v>
      </c>
    </row>
    <row r="1524" spans="1:16" x14ac:dyDescent="0.3">
      <c r="A1524" s="25">
        <v>1523</v>
      </c>
      <c r="B1524" s="26">
        <v>45586</v>
      </c>
      <c r="C1524" s="25" t="s">
        <v>66</v>
      </c>
      <c r="D1524" s="25" t="s">
        <v>21</v>
      </c>
      <c r="E1524" s="25" t="s">
        <v>88</v>
      </c>
      <c r="F1524" s="25">
        <v>10</v>
      </c>
      <c r="G1524" s="25" t="s">
        <v>89</v>
      </c>
      <c r="H1524" s="25">
        <v>130</v>
      </c>
      <c r="I1524" s="25">
        <v>100</v>
      </c>
      <c r="J1524" s="25">
        <v>1300</v>
      </c>
      <c r="K1524" s="25">
        <v>1000</v>
      </c>
      <c r="L1524" s="25">
        <v>300</v>
      </c>
      <c r="M1524" s="27">
        <v>30</v>
      </c>
      <c r="N1524" s="25" t="s">
        <v>67</v>
      </c>
      <c r="O1524" s="25" t="s">
        <v>27</v>
      </c>
      <c r="P1524" s="25" t="s">
        <v>32</v>
      </c>
    </row>
    <row r="1525" spans="1:16" x14ac:dyDescent="0.3">
      <c r="A1525" s="25">
        <v>1524</v>
      </c>
      <c r="B1525" s="26">
        <v>45586</v>
      </c>
      <c r="C1525" s="25" t="s">
        <v>66</v>
      </c>
      <c r="D1525" s="25" t="s">
        <v>21</v>
      </c>
      <c r="E1525" s="25" t="s">
        <v>88</v>
      </c>
      <c r="F1525" s="25">
        <v>6</v>
      </c>
      <c r="G1525" s="25" t="s">
        <v>89</v>
      </c>
      <c r="H1525" s="25">
        <v>130</v>
      </c>
      <c r="I1525" s="25">
        <v>100</v>
      </c>
      <c r="J1525" s="25">
        <v>780</v>
      </c>
      <c r="K1525" s="25">
        <v>600</v>
      </c>
      <c r="L1525" s="25">
        <v>180</v>
      </c>
      <c r="M1525" s="27">
        <v>30</v>
      </c>
      <c r="N1525" s="25" t="s">
        <v>67</v>
      </c>
      <c r="O1525" s="25" t="s">
        <v>27</v>
      </c>
      <c r="P1525" s="25" t="s">
        <v>32</v>
      </c>
    </row>
    <row r="1526" spans="1:16" x14ac:dyDescent="0.3">
      <c r="A1526" s="25">
        <v>1525</v>
      </c>
      <c r="B1526" s="26">
        <v>45586</v>
      </c>
      <c r="C1526" s="25" t="s">
        <v>66</v>
      </c>
      <c r="D1526" s="25" t="s">
        <v>21</v>
      </c>
      <c r="E1526" s="25" t="s">
        <v>88</v>
      </c>
      <c r="F1526" s="25">
        <v>9</v>
      </c>
      <c r="G1526" s="25" t="s">
        <v>89</v>
      </c>
      <c r="H1526" s="25">
        <v>130</v>
      </c>
      <c r="I1526" s="25">
        <v>100</v>
      </c>
      <c r="J1526" s="25">
        <v>1170</v>
      </c>
      <c r="K1526" s="25">
        <v>900</v>
      </c>
      <c r="L1526" s="25">
        <v>270</v>
      </c>
      <c r="M1526" s="27">
        <v>30</v>
      </c>
      <c r="N1526" s="25" t="s">
        <v>67</v>
      </c>
      <c r="O1526" s="25" t="s">
        <v>27</v>
      </c>
      <c r="P1526" s="25" t="s">
        <v>32</v>
      </c>
    </row>
    <row r="1527" spans="1:16" x14ac:dyDescent="0.3">
      <c r="A1527" s="25">
        <v>1526</v>
      </c>
      <c r="B1527" s="26">
        <v>45586</v>
      </c>
      <c r="C1527" s="25" t="s">
        <v>66</v>
      </c>
      <c r="D1527" s="25" t="s">
        <v>21</v>
      </c>
      <c r="E1527" s="25" t="s">
        <v>94</v>
      </c>
      <c r="F1527" s="25">
        <v>8</v>
      </c>
      <c r="G1527" s="25" t="s">
        <v>89</v>
      </c>
      <c r="H1527" s="25">
        <v>30</v>
      </c>
      <c r="I1527" s="25">
        <v>26</v>
      </c>
      <c r="J1527" s="25">
        <v>240</v>
      </c>
      <c r="K1527" s="25">
        <v>208</v>
      </c>
      <c r="L1527" s="25">
        <v>32</v>
      </c>
      <c r="M1527" s="27">
        <v>15.384615384615399</v>
      </c>
      <c r="N1527" s="25" t="s">
        <v>67</v>
      </c>
      <c r="O1527" s="25" t="s">
        <v>27</v>
      </c>
      <c r="P1527" s="25" t="s">
        <v>32</v>
      </c>
    </row>
    <row r="1528" spans="1:16" x14ac:dyDescent="0.3">
      <c r="A1528" s="25">
        <v>1527</v>
      </c>
      <c r="B1528" s="26">
        <v>45586</v>
      </c>
      <c r="C1528" s="25" t="s">
        <v>66</v>
      </c>
      <c r="D1528" s="25" t="s">
        <v>21</v>
      </c>
      <c r="E1528" s="25" t="s">
        <v>93</v>
      </c>
      <c r="F1528" s="25">
        <v>5</v>
      </c>
      <c r="G1528" s="25" t="s">
        <v>89</v>
      </c>
      <c r="H1528" s="25">
        <v>250</v>
      </c>
      <c r="I1528" s="25">
        <v>180</v>
      </c>
      <c r="J1528" s="25">
        <v>1250</v>
      </c>
      <c r="K1528" s="25">
        <v>900</v>
      </c>
      <c r="L1528" s="25">
        <v>350</v>
      </c>
      <c r="M1528" s="27">
        <v>38.8888888888889</v>
      </c>
      <c r="N1528" s="25" t="s">
        <v>67</v>
      </c>
      <c r="O1528" s="25" t="s">
        <v>27</v>
      </c>
      <c r="P1528" s="25" t="s">
        <v>32</v>
      </c>
    </row>
    <row r="1529" spans="1:16" x14ac:dyDescent="0.3">
      <c r="A1529" s="25">
        <v>1528</v>
      </c>
      <c r="B1529" s="26">
        <v>45586</v>
      </c>
      <c r="C1529" s="25" t="s">
        <v>66</v>
      </c>
      <c r="D1529" s="25" t="s">
        <v>21</v>
      </c>
      <c r="E1529" s="25" t="s">
        <v>98</v>
      </c>
      <c r="F1529" s="25">
        <v>2</v>
      </c>
      <c r="G1529" s="25" t="s">
        <v>89</v>
      </c>
      <c r="H1529" s="25">
        <v>95</v>
      </c>
      <c r="I1529" s="25">
        <v>55</v>
      </c>
      <c r="J1529" s="25">
        <v>190</v>
      </c>
      <c r="K1529" s="25">
        <v>110</v>
      </c>
      <c r="L1529" s="25">
        <v>80</v>
      </c>
      <c r="M1529" s="27">
        <v>72.727272727272705</v>
      </c>
      <c r="N1529" s="25" t="s">
        <v>67</v>
      </c>
      <c r="O1529" s="25" t="s">
        <v>27</v>
      </c>
      <c r="P1529" s="25" t="s">
        <v>32</v>
      </c>
    </row>
    <row r="1530" spans="1:16" x14ac:dyDescent="0.3">
      <c r="A1530" s="25">
        <v>1529</v>
      </c>
      <c r="B1530" s="26">
        <v>45586</v>
      </c>
      <c r="C1530" s="25" t="s">
        <v>66</v>
      </c>
      <c r="D1530" s="25" t="s">
        <v>21</v>
      </c>
      <c r="E1530" s="25" t="s">
        <v>88</v>
      </c>
      <c r="F1530" s="25">
        <v>6</v>
      </c>
      <c r="G1530" s="25" t="s">
        <v>89</v>
      </c>
      <c r="H1530" s="25">
        <v>130</v>
      </c>
      <c r="I1530" s="25">
        <v>100</v>
      </c>
      <c r="J1530" s="25">
        <v>780</v>
      </c>
      <c r="K1530" s="25">
        <v>600</v>
      </c>
      <c r="L1530" s="25">
        <v>180</v>
      </c>
      <c r="M1530" s="27">
        <v>30</v>
      </c>
      <c r="N1530" s="25" t="s">
        <v>67</v>
      </c>
      <c r="O1530" s="25" t="s">
        <v>27</v>
      </c>
      <c r="P1530" s="25" t="s">
        <v>32</v>
      </c>
    </row>
    <row r="1531" spans="1:16" x14ac:dyDescent="0.3">
      <c r="A1531" s="25">
        <v>1530</v>
      </c>
      <c r="B1531" s="26">
        <v>45586</v>
      </c>
      <c r="C1531" s="25" t="s">
        <v>66</v>
      </c>
      <c r="D1531" s="25" t="s">
        <v>21</v>
      </c>
      <c r="E1531" s="25" t="s">
        <v>88</v>
      </c>
      <c r="F1531" s="25">
        <v>3</v>
      </c>
      <c r="G1531" s="25" t="s">
        <v>89</v>
      </c>
      <c r="H1531" s="25">
        <v>130</v>
      </c>
      <c r="I1531" s="25">
        <v>100</v>
      </c>
      <c r="J1531" s="25">
        <v>390</v>
      </c>
      <c r="K1531" s="25">
        <v>300</v>
      </c>
      <c r="L1531" s="25">
        <v>90</v>
      </c>
      <c r="M1531" s="27">
        <v>30</v>
      </c>
      <c r="N1531" s="25" t="s">
        <v>67</v>
      </c>
      <c r="O1531" s="25" t="s">
        <v>27</v>
      </c>
      <c r="P1531" s="25" t="s">
        <v>32</v>
      </c>
    </row>
    <row r="1532" spans="1:16" x14ac:dyDescent="0.3">
      <c r="A1532" s="25">
        <v>1531</v>
      </c>
      <c r="B1532" s="26">
        <v>45586</v>
      </c>
      <c r="C1532" s="25" t="s">
        <v>66</v>
      </c>
      <c r="D1532" s="25" t="s">
        <v>21</v>
      </c>
      <c r="E1532" s="25" t="s">
        <v>88</v>
      </c>
      <c r="F1532" s="25">
        <v>2</v>
      </c>
      <c r="G1532" s="25" t="s">
        <v>89</v>
      </c>
      <c r="H1532" s="25">
        <v>130</v>
      </c>
      <c r="I1532" s="25">
        <v>100</v>
      </c>
      <c r="J1532" s="25">
        <v>260</v>
      </c>
      <c r="K1532" s="25">
        <v>200</v>
      </c>
      <c r="L1532" s="25">
        <v>60</v>
      </c>
      <c r="M1532" s="27">
        <v>30</v>
      </c>
      <c r="N1532" s="25" t="s">
        <v>67</v>
      </c>
      <c r="O1532" s="25" t="s">
        <v>27</v>
      </c>
      <c r="P1532" s="25" t="s">
        <v>32</v>
      </c>
    </row>
    <row r="1533" spans="1:16" x14ac:dyDescent="0.3">
      <c r="A1533" s="25">
        <v>1532</v>
      </c>
      <c r="B1533" s="26">
        <v>45587</v>
      </c>
      <c r="C1533" s="25" t="s">
        <v>66</v>
      </c>
      <c r="D1533" s="25" t="s">
        <v>22</v>
      </c>
      <c r="E1533" s="25" t="s">
        <v>90</v>
      </c>
      <c r="F1533" s="25">
        <v>1</v>
      </c>
      <c r="G1533" s="25" t="s">
        <v>91</v>
      </c>
      <c r="H1533" s="25">
        <v>280</v>
      </c>
      <c r="I1533" s="25">
        <v>240</v>
      </c>
      <c r="J1533" s="25">
        <v>280</v>
      </c>
      <c r="K1533" s="25">
        <v>240</v>
      </c>
      <c r="L1533" s="25">
        <v>40</v>
      </c>
      <c r="M1533" s="27">
        <v>16.6666666666667</v>
      </c>
      <c r="N1533" s="25" t="s">
        <v>67</v>
      </c>
      <c r="O1533" s="25" t="s">
        <v>28</v>
      </c>
      <c r="P1533" s="25" t="s">
        <v>32</v>
      </c>
    </row>
    <row r="1534" spans="1:16" x14ac:dyDescent="0.3">
      <c r="A1534" s="25">
        <v>1533</v>
      </c>
      <c r="B1534" s="26">
        <v>45587</v>
      </c>
      <c r="C1534" s="25" t="s">
        <v>66</v>
      </c>
      <c r="D1534" s="25" t="s">
        <v>22</v>
      </c>
      <c r="E1534" s="25" t="s">
        <v>103</v>
      </c>
      <c r="F1534" s="25">
        <v>1</v>
      </c>
      <c r="G1534" s="25" t="s">
        <v>102</v>
      </c>
      <c r="H1534" s="25">
        <v>30</v>
      </c>
      <c r="I1534" s="25">
        <v>20</v>
      </c>
      <c r="J1534" s="25">
        <v>30</v>
      </c>
      <c r="K1534" s="25">
        <v>20</v>
      </c>
      <c r="L1534" s="25">
        <v>10</v>
      </c>
      <c r="M1534" s="27">
        <v>50</v>
      </c>
      <c r="N1534" s="25" t="s">
        <v>67</v>
      </c>
      <c r="O1534" s="25" t="s">
        <v>28</v>
      </c>
      <c r="P1534" s="25" t="s">
        <v>32</v>
      </c>
    </row>
    <row r="1535" spans="1:16" x14ac:dyDescent="0.3">
      <c r="A1535" s="25">
        <v>1534</v>
      </c>
      <c r="B1535" s="26">
        <v>45587</v>
      </c>
      <c r="C1535" s="25" t="s">
        <v>66</v>
      </c>
      <c r="D1535" s="25" t="s">
        <v>21</v>
      </c>
      <c r="E1535" s="25" t="s">
        <v>88</v>
      </c>
      <c r="F1535" s="25">
        <v>10</v>
      </c>
      <c r="G1535" s="25" t="s">
        <v>89</v>
      </c>
      <c r="H1535" s="25">
        <v>130</v>
      </c>
      <c r="I1535" s="25">
        <v>100</v>
      </c>
      <c r="J1535" s="25">
        <v>1300</v>
      </c>
      <c r="K1535" s="25">
        <v>1000</v>
      </c>
      <c r="L1535" s="25">
        <v>300</v>
      </c>
      <c r="M1535" s="27">
        <v>30</v>
      </c>
      <c r="N1535" s="25" t="s">
        <v>67</v>
      </c>
      <c r="O1535" s="25" t="s">
        <v>27</v>
      </c>
      <c r="P1535" s="25" t="s">
        <v>32</v>
      </c>
    </row>
    <row r="1536" spans="1:16" x14ac:dyDescent="0.3">
      <c r="A1536" s="25">
        <v>1535</v>
      </c>
      <c r="B1536" s="26">
        <v>45587</v>
      </c>
      <c r="C1536" s="25" t="s">
        <v>66</v>
      </c>
      <c r="D1536" s="25" t="s">
        <v>21</v>
      </c>
      <c r="E1536" s="25" t="s">
        <v>94</v>
      </c>
      <c r="F1536" s="25">
        <v>10</v>
      </c>
      <c r="G1536" s="25" t="s">
        <v>89</v>
      </c>
      <c r="H1536" s="25">
        <v>30</v>
      </c>
      <c r="I1536" s="25">
        <v>26</v>
      </c>
      <c r="J1536" s="25">
        <v>300</v>
      </c>
      <c r="K1536" s="25">
        <v>260</v>
      </c>
      <c r="L1536" s="25">
        <v>40</v>
      </c>
      <c r="M1536" s="27">
        <v>15.384615384615399</v>
      </c>
      <c r="N1536" s="25" t="s">
        <v>67</v>
      </c>
      <c r="O1536" s="25" t="s">
        <v>27</v>
      </c>
      <c r="P1536" s="25" t="s">
        <v>32</v>
      </c>
    </row>
    <row r="1537" spans="1:16" x14ac:dyDescent="0.3">
      <c r="A1537" s="25">
        <v>1536</v>
      </c>
      <c r="B1537" s="26">
        <v>45587</v>
      </c>
      <c r="C1537" s="25" t="s">
        <v>66</v>
      </c>
      <c r="D1537" s="25" t="s">
        <v>21</v>
      </c>
      <c r="E1537" s="25" t="s">
        <v>93</v>
      </c>
      <c r="F1537" s="25">
        <v>2</v>
      </c>
      <c r="G1537" s="25" t="s">
        <v>89</v>
      </c>
      <c r="H1537" s="25">
        <v>250</v>
      </c>
      <c r="I1537" s="25">
        <v>180</v>
      </c>
      <c r="J1537" s="25">
        <v>500</v>
      </c>
      <c r="K1537" s="25">
        <v>360</v>
      </c>
      <c r="L1537" s="25">
        <v>140</v>
      </c>
      <c r="M1537" s="27">
        <v>38.8888888888889</v>
      </c>
      <c r="N1537" s="25" t="s">
        <v>67</v>
      </c>
      <c r="O1537" s="25" t="s">
        <v>27</v>
      </c>
      <c r="P1537" s="25" t="s">
        <v>32</v>
      </c>
    </row>
    <row r="1538" spans="1:16" x14ac:dyDescent="0.3">
      <c r="A1538" s="25">
        <v>1537</v>
      </c>
      <c r="B1538" s="26">
        <v>45587</v>
      </c>
      <c r="C1538" s="25" t="s">
        <v>66</v>
      </c>
      <c r="D1538" s="25" t="s">
        <v>21</v>
      </c>
      <c r="E1538" s="25" t="s">
        <v>98</v>
      </c>
      <c r="F1538" s="25">
        <v>4</v>
      </c>
      <c r="G1538" s="25" t="s">
        <v>89</v>
      </c>
      <c r="H1538" s="25">
        <v>95</v>
      </c>
      <c r="I1538" s="25">
        <v>55</v>
      </c>
      <c r="J1538" s="25">
        <v>380</v>
      </c>
      <c r="K1538" s="25">
        <v>220</v>
      </c>
      <c r="L1538" s="25">
        <v>160</v>
      </c>
      <c r="M1538" s="27">
        <v>72.727272727272705</v>
      </c>
      <c r="N1538" s="25" t="s">
        <v>67</v>
      </c>
      <c r="O1538" s="25" t="s">
        <v>27</v>
      </c>
      <c r="P1538" s="25" t="s">
        <v>32</v>
      </c>
    </row>
    <row r="1539" spans="1:16" x14ac:dyDescent="0.3">
      <c r="A1539" s="25">
        <v>1538</v>
      </c>
      <c r="B1539" s="26">
        <v>45587</v>
      </c>
      <c r="C1539" s="25" t="s">
        <v>66</v>
      </c>
      <c r="D1539" s="25" t="s">
        <v>21</v>
      </c>
      <c r="E1539" s="25" t="s">
        <v>94</v>
      </c>
      <c r="F1539" s="25">
        <v>8</v>
      </c>
      <c r="G1539" s="25" t="s">
        <v>89</v>
      </c>
      <c r="H1539" s="25">
        <v>30</v>
      </c>
      <c r="I1539" s="25">
        <v>26</v>
      </c>
      <c r="J1539" s="25">
        <v>240</v>
      </c>
      <c r="K1539" s="25">
        <v>208</v>
      </c>
      <c r="L1539" s="25">
        <v>32</v>
      </c>
      <c r="M1539" s="27">
        <v>15.384615384615399</v>
      </c>
      <c r="N1539" s="25" t="s">
        <v>67</v>
      </c>
      <c r="O1539" s="25" t="s">
        <v>27</v>
      </c>
      <c r="P1539" s="25" t="s">
        <v>32</v>
      </c>
    </row>
    <row r="1540" spans="1:16" x14ac:dyDescent="0.3">
      <c r="A1540" s="25">
        <v>1539</v>
      </c>
      <c r="B1540" s="26">
        <v>45587</v>
      </c>
      <c r="C1540" s="25" t="s">
        <v>66</v>
      </c>
      <c r="D1540" s="25" t="s">
        <v>21</v>
      </c>
      <c r="E1540" s="25" t="s">
        <v>88</v>
      </c>
      <c r="F1540" s="25">
        <v>5</v>
      </c>
      <c r="G1540" s="25" t="s">
        <v>89</v>
      </c>
      <c r="H1540" s="25">
        <v>130</v>
      </c>
      <c r="I1540" s="25">
        <v>100</v>
      </c>
      <c r="J1540" s="25">
        <v>650</v>
      </c>
      <c r="K1540" s="25">
        <v>500</v>
      </c>
      <c r="L1540" s="25">
        <v>150</v>
      </c>
      <c r="M1540" s="27">
        <v>30</v>
      </c>
      <c r="N1540" s="25" t="s">
        <v>67</v>
      </c>
      <c r="O1540" s="25" t="s">
        <v>27</v>
      </c>
      <c r="P1540" s="25" t="s">
        <v>32</v>
      </c>
    </row>
    <row r="1541" spans="1:16" x14ac:dyDescent="0.3">
      <c r="A1541" s="25">
        <v>1540</v>
      </c>
      <c r="B1541" s="26">
        <v>45587</v>
      </c>
      <c r="C1541" s="25" t="s">
        <v>66</v>
      </c>
      <c r="D1541" s="25" t="s">
        <v>22</v>
      </c>
      <c r="E1541" s="25" t="s">
        <v>96</v>
      </c>
      <c r="F1541" s="25">
        <v>1</v>
      </c>
      <c r="G1541" s="25" t="s">
        <v>97</v>
      </c>
      <c r="H1541" s="25">
        <v>300</v>
      </c>
      <c r="I1541" s="25">
        <v>265</v>
      </c>
      <c r="J1541" s="25">
        <v>300</v>
      </c>
      <c r="K1541" s="25">
        <v>265</v>
      </c>
      <c r="L1541" s="25">
        <v>35</v>
      </c>
      <c r="M1541" s="27">
        <v>13.207547169811299</v>
      </c>
      <c r="N1541" s="25" t="s">
        <v>67</v>
      </c>
      <c r="O1541" s="25" t="s">
        <v>28</v>
      </c>
      <c r="P1541" s="25" t="s">
        <v>32</v>
      </c>
    </row>
    <row r="1542" spans="1:16" x14ac:dyDescent="0.3">
      <c r="A1542" s="25">
        <v>1541</v>
      </c>
      <c r="B1542" s="26">
        <v>45587</v>
      </c>
      <c r="C1542" s="25" t="s">
        <v>66</v>
      </c>
      <c r="D1542" s="25" t="s">
        <v>21</v>
      </c>
      <c r="E1542" s="25" t="s">
        <v>88</v>
      </c>
      <c r="F1542" s="25">
        <v>6</v>
      </c>
      <c r="G1542" s="25" t="s">
        <v>89</v>
      </c>
      <c r="H1542" s="25">
        <v>130</v>
      </c>
      <c r="I1542" s="25">
        <v>100</v>
      </c>
      <c r="J1542" s="25">
        <v>780</v>
      </c>
      <c r="K1542" s="25">
        <v>600</v>
      </c>
      <c r="L1542" s="25">
        <v>180</v>
      </c>
      <c r="M1542" s="27">
        <v>30</v>
      </c>
      <c r="N1542" s="25" t="s">
        <v>67</v>
      </c>
      <c r="O1542" s="25" t="s">
        <v>27</v>
      </c>
      <c r="P1542" s="25" t="s">
        <v>32</v>
      </c>
    </row>
    <row r="1543" spans="1:16" x14ac:dyDescent="0.3">
      <c r="A1543" s="25">
        <v>1542</v>
      </c>
      <c r="B1543" s="26">
        <v>45587</v>
      </c>
      <c r="C1543" s="25" t="s">
        <v>66</v>
      </c>
      <c r="D1543" s="25" t="s">
        <v>21</v>
      </c>
      <c r="E1543" s="25" t="s">
        <v>88</v>
      </c>
      <c r="F1543" s="25">
        <v>3</v>
      </c>
      <c r="G1543" s="25" t="s">
        <v>89</v>
      </c>
      <c r="H1543" s="25">
        <v>130</v>
      </c>
      <c r="I1543" s="25">
        <v>100</v>
      </c>
      <c r="J1543" s="25">
        <v>390</v>
      </c>
      <c r="K1543" s="25">
        <v>300</v>
      </c>
      <c r="L1543" s="25">
        <v>90</v>
      </c>
      <c r="M1543" s="27">
        <v>30</v>
      </c>
      <c r="N1543" s="25" t="s">
        <v>67</v>
      </c>
      <c r="O1543" s="25" t="s">
        <v>27</v>
      </c>
      <c r="P1543" s="25" t="s">
        <v>32</v>
      </c>
    </row>
    <row r="1544" spans="1:16" x14ac:dyDescent="0.3">
      <c r="A1544" s="25">
        <v>1543</v>
      </c>
      <c r="B1544" s="26">
        <v>45587</v>
      </c>
      <c r="C1544" s="25" t="s">
        <v>66</v>
      </c>
      <c r="D1544" s="25" t="s">
        <v>21</v>
      </c>
      <c r="E1544" s="25" t="s">
        <v>93</v>
      </c>
      <c r="F1544" s="25">
        <v>2</v>
      </c>
      <c r="G1544" s="25" t="s">
        <v>89</v>
      </c>
      <c r="H1544" s="25">
        <v>250</v>
      </c>
      <c r="I1544" s="25">
        <v>180</v>
      </c>
      <c r="J1544" s="25">
        <v>500</v>
      </c>
      <c r="K1544" s="25">
        <v>360</v>
      </c>
      <c r="L1544" s="25">
        <v>140</v>
      </c>
      <c r="M1544" s="27">
        <v>38.8888888888889</v>
      </c>
      <c r="N1544" s="25" t="s">
        <v>67</v>
      </c>
      <c r="O1544" s="25" t="s">
        <v>27</v>
      </c>
      <c r="P1544" s="25" t="s">
        <v>32</v>
      </c>
    </row>
    <row r="1545" spans="1:16" x14ac:dyDescent="0.3">
      <c r="A1545" s="25">
        <v>1544</v>
      </c>
      <c r="B1545" s="26">
        <v>45587</v>
      </c>
      <c r="C1545" s="25" t="s">
        <v>66</v>
      </c>
      <c r="D1545" s="25" t="s">
        <v>21</v>
      </c>
      <c r="E1545" s="25" t="s">
        <v>94</v>
      </c>
      <c r="F1545" s="25">
        <v>10</v>
      </c>
      <c r="G1545" s="25" t="s">
        <v>89</v>
      </c>
      <c r="H1545" s="25">
        <v>30</v>
      </c>
      <c r="I1545" s="25">
        <v>26</v>
      </c>
      <c r="J1545" s="25">
        <v>300</v>
      </c>
      <c r="K1545" s="25">
        <v>260</v>
      </c>
      <c r="L1545" s="25">
        <v>40</v>
      </c>
      <c r="M1545" s="27">
        <v>15.384615384615399</v>
      </c>
      <c r="N1545" s="25" t="s">
        <v>67</v>
      </c>
      <c r="O1545" s="25" t="s">
        <v>27</v>
      </c>
      <c r="P1545" s="25" t="s">
        <v>32</v>
      </c>
    </row>
    <row r="1546" spans="1:16" x14ac:dyDescent="0.3">
      <c r="A1546" s="25">
        <v>1545</v>
      </c>
      <c r="B1546" s="26">
        <v>45589</v>
      </c>
      <c r="C1546" s="25" t="s">
        <v>66</v>
      </c>
      <c r="D1546" s="25" t="s">
        <v>21</v>
      </c>
      <c r="E1546" s="25" t="s">
        <v>88</v>
      </c>
      <c r="F1546" s="25">
        <v>2</v>
      </c>
      <c r="G1546" s="25" t="s">
        <v>89</v>
      </c>
      <c r="H1546" s="25">
        <v>130</v>
      </c>
      <c r="I1546" s="25">
        <v>100</v>
      </c>
      <c r="J1546" s="25">
        <v>260</v>
      </c>
      <c r="K1546" s="25">
        <v>200</v>
      </c>
      <c r="L1546" s="25">
        <v>60</v>
      </c>
      <c r="M1546" s="27">
        <v>30</v>
      </c>
      <c r="N1546" s="25" t="s">
        <v>67</v>
      </c>
      <c r="O1546" s="25" t="s">
        <v>27</v>
      </c>
      <c r="P1546" s="25" t="s">
        <v>32</v>
      </c>
    </row>
    <row r="1547" spans="1:16" x14ac:dyDescent="0.3">
      <c r="A1547" s="25">
        <v>1546</v>
      </c>
      <c r="B1547" s="26">
        <v>45589</v>
      </c>
      <c r="C1547" s="25" t="s">
        <v>66</v>
      </c>
      <c r="D1547" s="25" t="s">
        <v>21</v>
      </c>
      <c r="E1547" s="25" t="s">
        <v>88</v>
      </c>
      <c r="F1547" s="25">
        <v>5</v>
      </c>
      <c r="G1547" s="25" t="s">
        <v>89</v>
      </c>
      <c r="H1547" s="25">
        <v>130</v>
      </c>
      <c r="I1547" s="25">
        <v>100</v>
      </c>
      <c r="J1547" s="25">
        <v>650</v>
      </c>
      <c r="K1547" s="25">
        <v>500</v>
      </c>
      <c r="L1547" s="25">
        <v>150</v>
      </c>
      <c r="M1547" s="27">
        <v>30</v>
      </c>
      <c r="N1547" s="25" t="s">
        <v>67</v>
      </c>
      <c r="O1547" s="25" t="s">
        <v>27</v>
      </c>
      <c r="P1547" s="25" t="s">
        <v>32</v>
      </c>
    </row>
    <row r="1548" spans="1:16" x14ac:dyDescent="0.3">
      <c r="A1548" s="25">
        <v>1547</v>
      </c>
      <c r="B1548" s="26">
        <v>45589</v>
      </c>
      <c r="C1548" s="25" t="s">
        <v>66</v>
      </c>
      <c r="D1548" s="25" t="s">
        <v>21</v>
      </c>
      <c r="E1548" s="25" t="s">
        <v>94</v>
      </c>
      <c r="F1548" s="25">
        <v>8</v>
      </c>
      <c r="G1548" s="25" t="s">
        <v>89</v>
      </c>
      <c r="H1548" s="25">
        <v>30</v>
      </c>
      <c r="I1548" s="25">
        <v>26</v>
      </c>
      <c r="J1548" s="25">
        <v>240</v>
      </c>
      <c r="K1548" s="25">
        <v>208</v>
      </c>
      <c r="L1548" s="25">
        <v>32</v>
      </c>
      <c r="M1548" s="27">
        <v>15.384615384615399</v>
      </c>
      <c r="N1548" s="25" t="s">
        <v>67</v>
      </c>
      <c r="O1548" s="25" t="s">
        <v>27</v>
      </c>
      <c r="P1548" s="25" t="s">
        <v>32</v>
      </c>
    </row>
    <row r="1549" spans="1:16" x14ac:dyDescent="0.3">
      <c r="A1549" s="25">
        <v>1548</v>
      </c>
      <c r="B1549" s="26">
        <v>45589</v>
      </c>
      <c r="C1549" s="25" t="s">
        <v>66</v>
      </c>
      <c r="D1549" s="25" t="s">
        <v>21</v>
      </c>
      <c r="E1549" s="25" t="s">
        <v>93</v>
      </c>
      <c r="F1549" s="25">
        <v>2</v>
      </c>
      <c r="G1549" s="25" t="s">
        <v>89</v>
      </c>
      <c r="H1549" s="25">
        <v>250</v>
      </c>
      <c r="I1549" s="25">
        <v>180</v>
      </c>
      <c r="J1549" s="25">
        <v>500</v>
      </c>
      <c r="K1549" s="25">
        <v>360</v>
      </c>
      <c r="L1549" s="25">
        <v>140</v>
      </c>
      <c r="M1549" s="27">
        <v>38.8888888888889</v>
      </c>
      <c r="N1549" s="25" t="s">
        <v>67</v>
      </c>
      <c r="O1549" s="25" t="s">
        <v>27</v>
      </c>
      <c r="P1549" s="25" t="s">
        <v>32</v>
      </c>
    </row>
    <row r="1550" spans="1:16" x14ac:dyDescent="0.3">
      <c r="A1550" s="25">
        <v>1549</v>
      </c>
      <c r="B1550" s="26">
        <v>45589</v>
      </c>
      <c r="C1550" s="25" t="s">
        <v>66</v>
      </c>
      <c r="D1550" s="25" t="s">
        <v>21</v>
      </c>
      <c r="E1550" s="25" t="s">
        <v>98</v>
      </c>
      <c r="F1550" s="25">
        <v>5</v>
      </c>
      <c r="G1550" s="25" t="s">
        <v>89</v>
      </c>
      <c r="H1550" s="25">
        <v>95</v>
      </c>
      <c r="I1550" s="25">
        <v>55</v>
      </c>
      <c r="J1550" s="25">
        <v>475</v>
      </c>
      <c r="K1550" s="25">
        <v>275</v>
      </c>
      <c r="L1550" s="25">
        <v>200</v>
      </c>
      <c r="M1550" s="27">
        <v>72.727272727272705</v>
      </c>
      <c r="N1550" s="25" t="s">
        <v>67</v>
      </c>
      <c r="O1550" s="25" t="s">
        <v>27</v>
      </c>
      <c r="P1550" s="25" t="s">
        <v>32</v>
      </c>
    </row>
    <row r="1551" spans="1:16" x14ac:dyDescent="0.3">
      <c r="A1551" s="25">
        <v>1550</v>
      </c>
      <c r="B1551" s="26">
        <v>45589</v>
      </c>
      <c r="C1551" s="25" t="s">
        <v>66</v>
      </c>
      <c r="D1551" s="25" t="s">
        <v>21</v>
      </c>
      <c r="E1551" s="25" t="s">
        <v>88</v>
      </c>
      <c r="F1551" s="25">
        <v>3</v>
      </c>
      <c r="G1551" s="25" t="s">
        <v>89</v>
      </c>
      <c r="H1551" s="25">
        <v>130</v>
      </c>
      <c r="I1551" s="25">
        <v>100</v>
      </c>
      <c r="J1551" s="25">
        <v>390</v>
      </c>
      <c r="K1551" s="25">
        <v>300</v>
      </c>
      <c r="L1551" s="25">
        <v>90</v>
      </c>
      <c r="M1551" s="27">
        <v>30</v>
      </c>
      <c r="N1551" s="25" t="s">
        <v>67</v>
      </c>
      <c r="O1551" s="25" t="s">
        <v>27</v>
      </c>
      <c r="P1551" s="25" t="s">
        <v>32</v>
      </c>
    </row>
    <row r="1552" spans="1:16" x14ac:dyDescent="0.3">
      <c r="A1552" s="25">
        <v>1551</v>
      </c>
      <c r="B1552" s="26">
        <v>45589</v>
      </c>
      <c r="C1552" s="25" t="s">
        <v>66</v>
      </c>
      <c r="D1552" s="25" t="s">
        <v>21</v>
      </c>
      <c r="E1552" s="25" t="s">
        <v>94</v>
      </c>
      <c r="F1552" s="25">
        <v>16</v>
      </c>
      <c r="G1552" s="25" t="s">
        <v>89</v>
      </c>
      <c r="H1552" s="25">
        <v>30</v>
      </c>
      <c r="I1552" s="25">
        <v>26</v>
      </c>
      <c r="J1552" s="25">
        <v>480</v>
      </c>
      <c r="K1552" s="25">
        <v>416</v>
      </c>
      <c r="L1552" s="25">
        <v>64</v>
      </c>
      <c r="M1552" s="27">
        <v>15.384615384615399</v>
      </c>
      <c r="N1552" s="25" t="s">
        <v>67</v>
      </c>
      <c r="O1552" s="25" t="s">
        <v>27</v>
      </c>
      <c r="P1552" s="25" t="s">
        <v>32</v>
      </c>
    </row>
    <row r="1553" spans="1:16" x14ac:dyDescent="0.3">
      <c r="A1553" s="25">
        <v>1552</v>
      </c>
      <c r="B1553" s="26">
        <v>45589</v>
      </c>
      <c r="C1553" s="25" t="s">
        <v>66</v>
      </c>
      <c r="D1553" s="25" t="s">
        <v>21</v>
      </c>
      <c r="E1553" s="25" t="s">
        <v>93</v>
      </c>
      <c r="F1553" s="25">
        <v>2</v>
      </c>
      <c r="G1553" s="25" t="s">
        <v>89</v>
      </c>
      <c r="H1553" s="25">
        <v>250</v>
      </c>
      <c r="I1553" s="25">
        <v>180</v>
      </c>
      <c r="J1553" s="25">
        <v>500</v>
      </c>
      <c r="K1553" s="25">
        <v>360</v>
      </c>
      <c r="L1553" s="25">
        <v>140</v>
      </c>
      <c r="M1553" s="27">
        <v>38.8888888888889</v>
      </c>
      <c r="N1553" s="25" t="s">
        <v>67</v>
      </c>
      <c r="O1553" s="25" t="s">
        <v>27</v>
      </c>
      <c r="P1553" s="25" t="s">
        <v>32</v>
      </c>
    </row>
    <row r="1554" spans="1:16" x14ac:dyDescent="0.3">
      <c r="A1554" s="25">
        <v>1553</v>
      </c>
      <c r="B1554" s="26">
        <v>45589</v>
      </c>
      <c r="C1554" s="25" t="s">
        <v>66</v>
      </c>
      <c r="D1554" s="25" t="s">
        <v>21</v>
      </c>
      <c r="E1554" s="25" t="s">
        <v>88</v>
      </c>
      <c r="F1554" s="25">
        <v>2</v>
      </c>
      <c r="G1554" s="25" t="s">
        <v>89</v>
      </c>
      <c r="H1554" s="25">
        <v>130</v>
      </c>
      <c r="I1554" s="25">
        <v>100</v>
      </c>
      <c r="J1554" s="25">
        <v>260</v>
      </c>
      <c r="K1554" s="25">
        <v>200</v>
      </c>
      <c r="L1554" s="25">
        <v>60</v>
      </c>
      <c r="M1554" s="27">
        <v>30</v>
      </c>
      <c r="N1554" s="25" t="s">
        <v>67</v>
      </c>
      <c r="O1554" s="25" t="s">
        <v>27</v>
      </c>
      <c r="P1554" s="25" t="s">
        <v>32</v>
      </c>
    </row>
    <row r="1555" spans="1:16" x14ac:dyDescent="0.3">
      <c r="A1555" s="25">
        <v>1554</v>
      </c>
      <c r="B1555" s="26">
        <v>45589</v>
      </c>
      <c r="C1555" s="25" t="s">
        <v>66</v>
      </c>
      <c r="D1555" s="25" t="s">
        <v>21</v>
      </c>
      <c r="E1555" s="25" t="s">
        <v>88</v>
      </c>
      <c r="F1555" s="25">
        <v>6</v>
      </c>
      <c r="G1555" s="25" t="s">
        <v>89</v>
      </c>
      <c r="H1555" s="25">
        <v>130</v>
      </c>
      <c r="I1555" s="25">
        <v>100</v>
      </c>
      <c r="J1555" s="25">
        <v>780</v>
      </c>
      <c r="K1555" s="25">
        <v>600</v>
      </c>
      <c r="L1555" s="25">
        <v>180</v>
      </c>
      <c r="M1555" s="27">
        <v>30</v>
      </c>
      <c r="N1555" s="25" t="s">
        <v>67</v>
      </c>
      <c r="O1555" s="25" t="s">
        <v>27</v>
      </c>
      <c r="P1555" s="25" t="s">
        <v>32</v>
      </c>
    </row>
    <row r="1556" spans="1:16" x14ac:dyDescent="0.3">
      <c r="A1556" s="25">
        <v>1555</v>
      </c>
      <c r="B1556" s="26">
        <v>45589</v>
      </c>
      <c r="C1556" s="25" t="s">
        <v>66</v>
      </c>
      <c r="D1556" s="25" t="s">
        <v>21</v>
      </c>
      <c r="E1556" s="25" t="s">
        <v>98</v>
      </c>
      <c r="F1556" s="25">
        <v>2</v>
      </c>
      <c r="G1556" s="25" t="s">
        <v>89</v>
      </c>
      <c r="H1556" s="25">
        <v>95</v>
      </c>
      <c r="I1556" s="25">
        <v>55</v>
      </c>
      <c r="J1556" s="25">
        <v>190</v>
      </c>
      <c r="K1556" s="25">
        <v>110</v>
      </c>
      <c r="L1556" s="25">
        <v>80</v>
      </c>
      <c r="M1556" s="27">
        <v>72.727272727272705</v>
      </c>
      <c r="N1556" s="25" t="s">
        <v>67</v>
      </c>
      <c r="O1556" s="25" t="s">
        <v>27</v>
      </c>
      <c r="P1556" s="25" t="s">
        <v>32</v>
      </c>
    </row>
    <row r="1557" spans="1:16" x14ac:dyDescent="0.3">
      <c r="A1557" s="25">
        <v>1556</v>
      </c>
      <c r="B1557" s="26">
        <v>45589</v>
      </c>
      <c r="C1557" s="25" t="s">
        <v>66</v>
      </c>
      <c r="D1557" s="25" t="s">
        <v>21</v>
      </c>
      <c r="E1557" s="25" t="s">
        <v>88</v>
      </c>
      <c r="F1557" s="25">
        <v>16</v>
      </c>
      <c r="G1557" s="25" t="s">
        <v>89</v>
      </c>
      <c r="H1557" s="25">
        <v>130</v>
      </c>
      <c r="I1557" s="25">
        <v>100</v>
      </c>
      <c r="J1557" s="25">
        <v>2080</v>
      </c>
      <c r="K1557" s="25">
        <v>1600</v>
      </c>
      <c r="L1557" s="25">
        <v>480</v>
      </c>
      <c r="M1557" s="27">
        <v>30</v>
      </c>
      <c r="N1557" s="25" t="s">
        <v>67</v>
      </c>
      <c r="O1557" s="25" t="s">
        <v>27</v>
      </c>
      <c r="P1557" s="25" t="s">
        <v>32</v>
      </c>
    </row>
    <row r="1558" spans="1:16" x14ac:dyDescent="0.3">
      <c r="A1558" s="25">
        <v>1557</v>
      </c>
      <c r="B1558" s="26">
        <v>45589</v>
      </c>
      <c r="C1558" s="25" t="s">
        <v>66</v>
      </c>
      <c r="D1558" s="25" t="s">
        <v>21</v>
      </c>
      <c r="E1558" s="25" t="s">
        <v>88</v>
      </c>
      <c r="F1558" s="25">
        <v>10</v>
      </c>
      <c r="G1558" s="25" t="s">
        <v>89</v>
      </c>
      <c r="H1558" s="25">
        <v>130</v>
      </c>
      <c r="I1558" s="25">
        <v>100</v>
      </c>
      <c r="J1558" s="25">
        <v>1300</v>
      </c>
      <c r="K1558" s="25">
        <v>1000</v>
      </c>
      <c r="L1558" s="25">
        <v>300</v>
      </c>
      <c r="M1558" s="27">
        <v>30</v>
      </c>
      <c r="N1558" s="25" t="s">
        <v>67</v>
      </c>
      <c r="O1558" s="25" t="s">
        <v>27</v>
      </c>
      <c r="P1558" s="25" t="s">
        <v>32</v>
      </c>
    </row>
    <row r="1559" spans="1:16" x14ac:dyDescent="0.3">
      <c r="A1559" s="25">
        <v>1558</v>
      </c>
      <c r="B1559" s="26">
        <v>45589</v>
      </c>
      <c r="C1559" s="25" t="s">
        <v>66</v>
      </c>
      <c r="D1559" s="25" t="s">
        <v>21</v>
      </c>
      <c r="E1559" s="25" t="s">
        <v>94</v>
      </c>
      <c r="F1559" s="25">
        <v>20</v>
      </c>
      <c r="G1559" s="25" t="s">
        <v>89</v>
      </c>
      <c r="H1559" s="25">
        <v>30</v>
      </c>
      <c r="I1559" s="25">
        <v>26</v>
      </c>
      <c r="J1559" s="25">
        <v>600</v>
      </c>
      <c r="K1559" s="25">
        <v>520</v>
      </c>
      <c r="L1559" s="25">
        <v>80</v>
      </c>
      <c r="M1559" s="27">
        <v>15.384615384615399</v>
      </c>
      <c r="N1559" s="25" t="s">
        <v>67</v>
      </c>
      <c r="O1559" s="25" t="s">
        <v>27</v>
      </c>
      <c r="P1559" s="25" t="s">
        <v>32</v>
      </c>
    </row>
    <row r="1560" spans="1:16" x14ac:dyDescent="0.3">
      <c r="A1560" s="25">
        <v>1559</v>
      </c>
      <c r="B1560" s="26">
        <v>45589</v>
      </c>
      <c r="C1560" s="25" t="s">
        <v>66</v>
      </c>
      <c r="D1560" s="25" t="s">
        <v>21</v>
      </c>
      <c r="E1560" s="25" t="s">
        <v>93</v>
      </c>
      <c r="F1560" s="25">
        <v>2</v>
      </c>
      <c r="G1560" s="25" t="s">
        <v>89</v>
      </c>
      <c r="H1560" s="25">
        <v>250</v>
      </c>
      <c r="I1560" s="25">
        <v>180</v>
      </c>
      <c r="J1560" s="25">
        <v>500</v>
      </c>
      <c r="K1560" s="25">
        <v>360</v>
      </c>
      <c r="L1560" s="25">
        <v>140</v>
      </c>
      <c r="M1560" s="27">
        <v>38.8888888888889</v>
      </c>
      <c r="N1560" s="25" t="s">
        <v>67</v>
      </c>
      <c r="O1560" s="25" t="s">
        <v>27</v>
      </c>
      <c r="P1560" s="25" t="s">
        <v>32</v>
      </c>
    </row>
    <row r="1561" spans="1:16" x14ac:dyDescent="0.3">
      <c r="A1561" s="25">
        <v>1560</v>
      </c>
      <c r="B1561" s="26">
        <v>45589</v>
      </c>
      <c r="C1561" s="25" t="s">
        <v>66</v>
      </c>
      <c r="D1561" s="25" t="s">
        <v>21</v>
      </c>
      <c r="E1561" s="25" t="s">
        <v>98</v>
      </c>
      <c r="F1561" s="25">
        <v>1</v>
      </c>
      <c r="G1561" s="25" t="s">
        <v>89</v>
      </c>
      <c r="H1561" s="25">
        <v>95</v>
      </c>
      <c r="I1561" s="25">
        <v>55</v>
      </c>
      <c r="J1561" s="25">
        <v>95</v>
      </c>
      <c r="K1561" s="25">
        <v>55</v>
      </c>
      <c r="L1561" s="25">
        <v>40</v>
      </c>
      <c r="M1561" s="27">
        <v>72.727272727272705</v>
      </c>
      <c r="N1561" s="25" t="s">
        <v>67</v>
      </c>
      <c r="O1561" s="25" t="s">
        <v>27</v>
      </c>
      <c r="P1561" s="25" t="s">
        <v>32</v>
      </c>
    </row>
    <row r="1562" spans="1:16" x14ac:dyDescent="0.3">
      <c r="A1562" s="25">
        <v>1561</v>
      </c>
      <c r="B1562" s="26">
        <v>45590</v>
      </c>
      <c r="C1562" s="25" t="s">
        <v>66</v>
      </c>
      <c r="D1562" s="25" t="s">
        <v>21</v>
      </c>
      <c r="E1562" s="25" t="s">
        <v>88</v>
      </c>
      <c r="F1562" s="25">
        <v>2</v>
      </c>
      <c r="G1562" s="25" t="s">
        <v>89</v>
      </c>
      <c r="H1562" s="25">
        <v>130</v>
      </c>
      <c r="I1562" s="25">
        <v>100</v>
      </c>
      <c r="J1562" s="25">
        <v>260</v>
      </c>
      <c r="K1562" s="25">
        <v>200</v>
      </c>
      <c r="L1562" s="25">
        <v>60</v>
      </c>
      <c r="M1562" s="27">
        <v>30</v>
      </c>
      <c r="N1562" s="25" t="s">
        <v>67</v>
      </c>
      <c r="O1562" s="25" t="s">
        <v>27</v>
      </c>
      <c r="P1562" s="25" t="s">
        <v>32</v>
      </c>
    </row>
    <row r="1563" spans="1:16" x14ac:dyDescent="0.3">
      <c r="A1563" s="25">
        <v>1562</v>
      </c>
      <c r="B1563" s="26">
        <v>45590</v>
      </c>
      <c r="C1563" s="25" t="s">
        <v>66</v>
      </c>
      <c r="D1563" s="25" t="s">
        <v>21</v>
      </c>
      <c r="E1563" s="25" t="s">
        <v>88</v>
      </c>
      <c r="F1563" s="25">
        <v>5</v>
      </c>
      <c r="G1563" s="25" t="s">
        <v>89</v>
      </c>
      <c r="H1563" s="25">
        <v>130</v>
      </c>
      <c r="I1563" s="25">
        <v>100</v>
      </c>
      <c r="J1563" s="25">
        <v>650</v>
      </c>
      <c r="K1563" s="25">
        <v>500</v>
      </c>
      <c r="L1563" s="25">
        <v>150</v>
      </c>
      <c r="M1563" s="27">
        <v>30</v>
      </c>
      <c r="N1563" s="25" t="s">
        <v>67</v>
      </c>
      <c r="O1563" s="25" t="s">
        <v>27</v>
      </c>
      <c r="P1563" s="25" t="s">
        <v>32</v>
      </c>
    </row>
    <row r="1564" spans="1:16" x14ac:dyDescent="0.3">
      <c r="A1564" s="25">
        <v>1563</v>
      </c>
      <c r="B1564" s="26">
        <v>45590</v>
      </c>
      <c r="C1564" s="25" t="s">
        <v>66</v>
      </c>
      <c r="D1564" s="25" t="s">
        <v>21</v>
      </c>
      <c r="E1564" s="25" t="s">
        <v>88</v>
      </c>
      <c r="F1564" s="25">
        <v>6</v>
      </c>
      <c r="G1564" s="25" t="s">
        <v>89</v>
      </c>
      <c r="H1564" s="25">
        <v>130</v>
      </c>
      <c r="I1564" s="25">
        <v>100</v>
      </c>
      <c r="J1564" s="25">
        <v>780</v>
      </c>
      <c r="K1564" s="25">
        <v>600</v>
      </c>
      <c r="L1564" s="25">
        <v>180</v>
      </c>
      <c r="M1564" s="27">
        <v>30</v>
      </c>
      <c r="N1564" s="25" t="s">
        <v>67</v>
      </c>
      <c r="O1564" s="25" t="s">
        <v>27</v>
      </c>
      <c r="P1564" s="25" t="s">
        <v>32</v>
      </c>
    </row>
    <row r="1565" spans="1:16" x14ac:dyDescent="0.3">
      <c r="A1565" s="25">
        <v>1564</v>
      </c>
      <c r="B1565" s="26">
        <v>45590</v>
      </c>
      <c r="C1565" s="25" t="s">
        <v>66</v>
      </c>
      <c r="D1565" s="25" t="s">
        <v>21</v>
      </c>
      <c r="E1565" s="25" t="s">
        <v>88</v>
      </c>
      <c r="F1565" s="25">
        <v>2</v>
      </c>
      <c r="G1565" s="25" t="s">
        <v>89</v>
      </c>
      <c r="H1565" s="25">
        <v>130</v>
      </c>
      <c r="I1565" s="25">
        <v>100</v>
      </c>
      <c r="J1565" s="25">
        <v>260</v>
      </c>
      <c r="K1565" s="25">
        <v>200</v>
      </c>
      <c r="L1565" s="25">
        <v>60</v>
      </c>
      <c r="M1565" s="27">
        <v>30</v>
      </c>
      <c r="N1565" s="25" t="s">
        <v>67</v>
      </c>
      <c r="O1565" s="25" t="s">
        <v>27</v>
      </c>
      <c r="P1565" s="25" t="s">
        <v>32</v>
      </c>
    </row>
    <row r="1566" spans="1:16" x14ac:dyDescent="0.3">
      <c r="A1566" s="25">
        <v>1565</v>
      </c>
      <c r="B1566" s="26">
        <v>45590</v>
      </c>
      <c r="C1566" s="25" t="s">
        <v>66</v>
      </c>
      <c r="D1566" s="25" t="s">
        <v>21</v>
      </c>
      <c r="E1566" s="25" t="s">
        <v>88</v>
      </c>
      <c r="F1566" s="25">
        <v>3</v>
      </c>
      <c r="G1566" s="25" t="s">
        <v>89</v>
      </c>
      <c r="H1566" s="25">
        <v>130</v>
      </c>
      <c r="I1566" s="25">
        <v>100</v>
      </c>
      <c r="J1566" s="25">
        <v>390</v>
      </c>
      <c r="K1566" s="25">
        <v>300</v>
      </c>
      <c r="L1566" s="25">
        <v>90</v>
      </c>
      <c r="M1566" s="27">
        <v>30</v>
      </c>
      <c r="N1566" s="25" t="s">
        <v>67</v>
      </c>
      <c r="O1566" s="25" t="s">
        <v>27</v>
      </c>
      <c r="P1566" s="25" t="s">
        <v>32</v>
      </c>
    </row>
    <row r="1567" spans="1:16" x14ac:dyDescent="0.3">
      <c r="A1567" s="25">
        <v>1566</v>
      </c>
      <c r="B1567" s="26">
        <v>45590</v>
      </c>
      <c r="C1567" s="25" t="s">
        <v>66</v>
      </c>
      <c r="D1567" s="25" t="s">
        <v>21</v>
      </c>
      <c r="E1567" s="25" t="s">
        <v>88</v>
      </c>
      <c r="F1567" s="25">
        <v>6</v>
      </c>
      <c r="G1567" s="25" t="s">
        <v>89</v>
      </c>
      <c r="H1567" s="25">
        <v>130</v>
      </c>
      <c r="I1567" s="25">
        <v>100</v>
      </c>
      <c r="J1567" s="25">
        <v>780</v>
      </c>
      <c r="K1567" s="25">
        <v>600</v>
      </c>
      <c r="L1567" s="25">
        <v>180</v>
      </c>
      <c r="M1567" s="27">
        <v>30</v>
      </c>
      <c r="N1567" s="25" t="s">
        <v>67</v>
      </c>
      <c r="O1567" s="25" t="s">
        <v>27</v>
      </c>
      <c r="P1567" s="25" t="s">
        <v>32</v>
      </c>
    </row>
    <row r="1568" spans="1:16" x14ac:dyDescent="0.3">
      <c r="A1568" s="25">
        <v>1567</v>
      </c>
      <c r="B1568" s="26">
        <v>45590</v>
      </c>
      <c r="C1568" s="25" t="s">
        <v>66</v>
      </c>
      <c r="D1568" s="25" t="s">
        <v>21</v>
      </c>
      <c r="E1568" s="25" t="s">
        <v>88</v>
      </c>
      <c r="F1568" s="25">
        <v>3</v>
      </c>
      <c r="G1568" s="25" t="s">
        <v>89</v>
      </c>
      <c r="H1568" s="25">
        <v>130</v>
      </c>
      <c r="I1568" s="25">
        <v>100</v>
      </c>
      <c r="J1568" s="25">
        <v>390</v>
      </c>
      <c r="K1568" s="25">
        <v>300</v>
      </c>
      <c r="L1568" s="25">
        <v>90</v>
      </c>
      <c r="M1568" s="27">
        <v>30</v>
      </c>
      <c r="N1568" s="25" t="s">
        <v>67</v>
      </c>
      <c r="O1568" s="25" t="s">
        <v>27</v>
      </c>
      <c r="P1568" s="25" t="s">
        <v>32</v>
      </c>
    </row>
    <row r="1569" spans="1:16" x14ac:dyDescent="0.3">
      <c r="A1569" s="25">
        <v>1568</v>
      </c>
      <c r="B1569" s="26">
        <v>45591</v>
      </c>
      <c r="C1569" s="25" t="s">
        <v>66</v>
      </c>
      <c r="D1569" s="25" t="s">
        <v>21</v>
      </c>
      <c r="E1569" s="25" t="s">
        <v>88</v>
      </c>
      <c r="F1569" s="25">
        <v>5</v>
      </c>
      <c r="G1569" s="25" t="s">
        <v>89</v>
      </c>
      <c r="H1569" s="25">
        <v>130</v>
      </c>
      <c r="I1569" s="25">
        <v>100</v>
      </c>
      <c r="J1569" s="25">
        <v>650</v>
      </c>
      <c r="K1569" s="25">
        <v>500</v>
      </c>
      <c r="L1569" s="25">
        <v>150</v>
      </c>
      <c r="M1569" s="27">
        <v>30</v>
      </c>
      <c r="N1569" s="25" t="s">
        <v>67</v>
      </c>
      <c r="O1569" s="25" t="s">
        <v>27</v>
      </c>
      <c r="P1569" s="25" t="s">
        <v>32</v>
      </c>
    </row>
    <row r="1570" spans="1:16" x14ac:dyDescent="0.3">
      <c r="A1570" s="25">
        <v>1569</v>
      </c>
      <c r="B1570" s="26">
        <v>45591</v>
      </c>
      <c r="C1570" s="25" t="s">
        <v>66</v>
      </c>
      <c r="D1570" s="25" t="s">
        <v>21</v>
      </c>
      <c r="E1570" s="25" t="s">
        <v>88</v>
      </c>
      <c r="F1570" s="25">
        <v>4</v>
      </c>
      <c r="G1570" s="25" t="s">
        <v>89</v>
      </c>
      <c r="H1570" s="25">
        <v>130</v>
      </c>
      <c r="I1570" s="25">
        <v>100</v>
      </c>
      <c r="J1570" s="25">
        <v>520</v>
      </c>
      <c r="K1570" s="25">
        <v>400</v>
      </c>
      <c r="L1570" s="25">
        <v>120</v>
      </c>
      <c r="M1570" s="27">
        <v>30</v>
      </c>
      <c r="N1570" s="25" t="s">
        <v>67</v>
      </c>
      <c r="O1570" s="25" t="s">
        <v>27</v>
      </c>
      <c r="P1570" s="25" t="s">
        <v>32</v>
      </c>
    </row>
    <row r="1571" spans="1:16" x14ac:dyDescent="0.3">
      <c r="A1571" s="25">
        <v>1570</v>
      </c>
      <c r="B1571" s="26">
        <v>45591</v>
      </c>
      <c r="C1571" s="25" t="s">
        <v>66</v>
      </c>
      <c r="D1571" s="25" t="s">
        <v>21</v>
      </c>
      <c r="E1571" s="25" t="s">
        <v>88</v>
      </c>
      <c r="F1571" s="25">
        <v>3</v>
      </c>
      <c r="G1571" s="25" t="s">
        <v>89</v>
      </c>
      <c r="H1571" s="25">
        <v>130</v>
      </c>
      <c r="I1571" s="25">
        <v>100</v>
      </c>
      <c r="J1571" s="25">
        <v>390</v>
      </c>
      <c r="K1571" s="25">
        <v>300</v>
      </c>
      <c r="L1571" s="25">
        <v>90</v>
      </c>
      <c r="M1571" s="27">
        <v>30</v>
      </c>
      <c r="N1571" s="25" t="s">
        <v>67</v>
      </c>
      <c r="O1571" s="25" t="s">
        <v>27</v>
      </c>
      <c r="P1571" s="25" t="s">
        <v>32</v>
      </c>
    </row>
    <row r="1572" spans="1:16" x14ac:dyDescent="0.3">
      <c r="A1572" s="25">
        <v>1571</v>
      </c>
      <c r="B1572" s="26">
        <v>45591</v>
      </c>
      <c r="C1572" s="25" t="s">
        <v>66</v>
      </c>
      <c r="D1572" s="25" t="s">
        <v>21</v>
      </c>
      <c r="E1572" s="25" t="s">
        <v>98</v>
      </c>
      <c r="F1572" s="25">
        <v>7</v>
      </c>
      <c r="G1572" s="25" t="s">
        <v>89</v>
      </c>
      <c r="H1572" s="25">
        <v>95</v>
      </c>
      <c r="I1572" s="25">
        <v>55</v>
      </c>
      <c r="J1572" s="25">
        <v>665</v>
      </c>
      <c r="K1572" s="25">
        <v>385</v>
      </c>
      <c r="L1572" s="25">
        <v>280</v>
      </c>
      <c r="M1572" s="27">
        <v>72.727272727272705</v>
      </c>
      <c r="N1572" s="25" t="s">
        <v>67</v>
      </c>
      <c r="O1572" s="25" t="s">
        <v>27</v>
      </c>
      <c r="P1572" s="25" t="s">
        <v>32</v>
      </c>
    </row>
    <row r="1573" spans="1:16" x14ac:dyDescent="0.3">
      <c r="A1573" s="25">
        <v>1572</v>
      </c>
      <c r="B1573" s="26">
        <v>45591</v>
      </c>
      <c r="C1573" s="25" t="s">
        <v>66</v>
      </c>
      <c r="D1573" s="25" t="s">
        <v>21</v>
      </c>
      <c r="E1573" s="25" t="s">
        <v>88</v>
      </c>
      <c r="F1573" s="25">
        <v>3</v>
      </c>
      <c r="G1573" s="25" t="s">
        <v>89</v>
      </c>
      <c r="H1573" s="25">
        <v>130</v>
      </c>
      <c r="I1573" s="25">
        <v>100</v>
      </c>
      <c r="J1573" s="25">
        <v>390</v>
      </c>
      <c r="K1573" s="25">
        <v>300</v>
      </c>
      <c r="L1573" s="25">
        <v>90</v>
      </c>
      <c r="M1573" s="27">
        <v>30</v>
      </c>
      <c r="N1573" s="25" t="s">
        <v>67</v>
      </c>
      <c r="O1573" s="25" t="s">
        <v>27</v>
      </c>
      <c r="P1573" s="25" t="s">
        <v>32</v>
      </c>
    </row>
    <row r="1574" spans="1:16" x14ac:dyDescent="0.3">
      <c r="A1574" s="25">
        <v>1573</v>
      </c>
      <c r="B1574" s="26">
        <v>45591</v>
      </c>
      <c r="C1574" s="25" t="s">
        <v>66</v>
      </c>
      <c r="D1574" s="25" t="s">
        <v>21</v>
      </c>
      <c r="E1574" s="25" t="s">
        <v>94</v>
      </c>
      <c r="F1574" s="25">
        <v>8</v>
      </c>
      <c r="G1574" s="25" t="s">
        <v>89</v>
      </c>
      <c r="H1574" s="25">
        <v>30</v>
      </c>
      <c r="I1574" s="25">
        <v>26</v>
      </c>
      <c r="J1574" s="25">
        <v>240</v>
      </c>
      <c r="K1574" s="25">
        <v>208</v>
      </c>
      <c r="L1574" s="25">
        <v>32</v>
      </c>
      <c r="M1574" s="27">
        <v>15.384615384615399</v>
      </c>
      <c r="N1574" s="25" t="s">
        <v>67</v>
      </c>
      <c r="O1574" s="25" t="s">
        <v>27</v>
      </c>
      <c r="P1574" s="25" t="s">
        <v>32</v>
      </c>
    </row>
    <row r="1575" spans="1:16" x14ac:dyDescent="0.3">
      <c r="A1575" s="25">
        <v>1574</v>
      </c>
      <c r="B1575" s="26">
        <v>45591</v>
      </c>
      <c r="C1575" s="25" t="s">
        <v>66</v>
      </c>
      <c r="D1575" s="25" t="s">
        <v>21</v>
      </c>
      <c r="E1575" s="25" t="s">
        <v>93</v>
      </c>
      <c r="F1575" s="25">
        <v>2</v>
      </c>
      <c r="G1575" s="25" t="s">
        <v>89</v>
      </c>
      <c r="H1575" s="25">
        <v>250</v>
      </c>
      <c r="I1575" s="25">
        <v>180</v>
      </c>
      <c r="J1575" s="25">
        <v>500</v>
      </c>
      <c r="K1575" s="25">
        <v>360</v>
      </c>
      <c r="L1575" s="25">
        <v>140</v>
      </c>
      <c r="M1575" s="27">
        <v>38.8888888888889</v>
      </c>
      <c r="N1575" s="25" t="s">
        <v>67</v>
      </c>
      <c r="O1575" s="25" t="s">
        <v>27</v>
      </c>
      <c r="P1575" s="25" t="s">
        <v>32</v>
      </c>
    </row>
    <row r="1576" spans="1:16" x14ac:dyDescent="0.3">
      <c r="A1576" s="25">
        <v>1575</v>
      </c>
      <c r="B1576" s="26">
        <v>45591</v>
      </c>
      <c r="C1576" s="25" t="s">
        <v>66</v>
      </c>
      <c r="D1576" s="25" t="s">
        <v>21</v>
      </c>
      <c r="E1576" s="25" t="s">
        <v>88</v>
      </c>
      <c r="F1576" s="25">
        <v>5</v>
      </c>
      <c r="G1576" s="25" t="s">
        <v>89</v>
      </c>
      <c r="H1576" s="25">
        <v>130</v>
      </c>
      <c r="I1576" s="25">
        <v>100</v>
      </c>
      <c r="J1576" s="25">
        <v>650</v>
      </c>
      <c r="K1576" s="25">
        <v>500</v>
      </c>
      <c r="L1576" s="25">
        <v>150</v>
      </c>
      <c r="M1576" s="27">
        <v>30</v>
      </c>
      <c r="N1576" s="25" t="s">
        <v>67</v>
      </c>
      <c r="O1576" s="25" t="s">
        <v>27</v>
      </c>
      <c r="P1576" s="25" t="s">
        <v>32</v>
      </c>
    </row>
    <row r="1577" spans="1:16" x14ac:dyDescent="0.3">
      <c r="A1577" s="25">
        <v>1576</v>
      </c>
      <c r="B1577" s="26">
        <v>45591</v>
      </c>
      <c r="C1577" s="25" t="s">
        <v>66</v>
      </c>
      <c r="D1577" s="25" t="s">
        <v>21</v>
      </c>
      <c r="E1577" s="25" t="s">
        <v>98</v>
      </c>
      <c r="F1577" s="25">
        <v>3</v>
      </c>
      <c r="G1577" s="25" t="s">
        <v>89</v>
      </c>
      <c r="H1577" s="25">
        <v>95</v>
      </c>
      <c r="I1577" s="25">
        <v>55</v>
      </c>
      <c r="J1577" s="25">
        <v>285</v>
      </c>
      <c r="K1577" s="25">
        <v>165</v>
      </c>
      <c r="L1577" s="25">
        <v>120</v>
      </c>
      <c r="M1577" s="27">
        <v>72.727272727272705</v>
      </c>
      <c r="N1577" s="25" t="s">
        <v>67</v>
      </c>
      <c r="O1577" s="25" t="s">
        <v>27</v>
      </c>
      <c r="P1577" s="25" t="s">
        <v>32</v>
      </c>
    </row>
    <row r="1578" spans="1:16" x14ac:dyDescent="0.3">
      <c r="A1578" s="25">
        <v>1577</v>
      </c>
      <c r="B1578" s="26">
        <v>45591</v>
      </c>
      <c r="C1578" s="25" t="s">
        <v>66</v>
      </c>
      <c r="D1578" s="25" t="s">
        <v>21</v>
      </c>
      <c r="E1578" s="25" t="s">
        <v>88</v>
      </c>
      <c r="F1578" s="25">
        <v>6</v>
      </c>
      <c r="G1578" s="25" t="s">
        <v>89</v>
      </c>
      <c r="H1578" s="25">
        <v>130</v>
      </c>
      <c r="I1578" s="25">
        <v>100</v>
      </c>
      <c r="J1578" s="25">
        <v>780</v>
      </c>
      <c r="K1578" s="25">
        <v>600</v>
      </c>
      <c r="L1578" s="25">
        <v>180</v>
      </c>
      <c r="M1578" s="27">
        <v>30</v>
      </c>
      <c r="N1578" s="25" t="s">
        <v>67</v>
      </c>
      <c r="O1578" s="25" t="s">
        <v>27</v>
      </c>
      <c r="P1578" s="25" t="s">
        <v>32</v>
      </c>
    </row>
    <row r="1579" spans="1:16" x14ac:dyDescent="0.3">
      <c r="A1579" s="25">
        <v>1578</v>
      </c>
      <c r="B1579" s="26">
        <v>45591</v>
      </c>
      <c r="C1579" s="25" t="s">
        <v>66</v>
      </c>
      <c r="D1579" s="25" t="s">
        <v>21</v>
      </c>
      <c r="E1579" s="25" t="s">
        <v>88</v>
      </c>
      <c r="F1579" s="25">
        <v>3</v>
      </c>
      <c r="G1579" s="25" t="s">
        <v>89</v>
      </c>
      <c r="H1579" s="25">
        <v>130</v>
      </c>
      <c r="I1579" s="25">
        <v>100</v>
      </c>
      <c r="J1579" s="25">
        <v>390</v>
      </c>
      <c r="K1579" s="25">
        <v>300</v>
      </c>
      <c r="L1579" s="25">
        <v>90</v>
      </c>
      <c r="M1579" s="27">
        <v>30</v>
      </c>
      <c r="N1579" s="25" t="s">
        <v>67</v>
      </c>
      <c r="O1579" s="25" t="s">
        <v>27</v>
      </c>
      <c r="P1579" s="25" t="s">
        <v>32</v>
      </c>
    </row>
    <row r="1580" spans="1:16" x14ac:dyDescent="0.3">
      <c r="A1580" s="25">
        <v>1579</v>
      </c>
      <c r="B1580" s="26">
        <v>45591</v>
      </c>
      <c r="C1580" s="25" t="s">
        <v>66</v>
      </c>
      <c r="D1580" s="25" t="s">
        <v>22</v>
      </c>
      <c r="E1580" s="25" t="s">
        <v>90</v>
      </c>
      <c r="F1580" s="25">
        <v>2.5</v>
      </c>
      <c r="G1580" s="25" t="s">
        <v>91</v>
      </c>
      <c r="H1580" s="25">
        <v>280</v>
      </c>
      <c r="I1580" s="25">
        <v>240</v>
      </c>
      <c r="J1580" s="25">
        <v>700</v>
      </c>
      <c r="K1580" s="25">
        <v>600</v>
      </c>
      <c r="L1580" s="25">
        <v>100</v>
      </c>
      <c r="M1580" s="27">
        <v>16.6666666666667</v>
      </c>
      <c r="N1580" s="25" t="s">
        <v>67</v>
      </c>
      <c r="O1580" s="25" t="s">
        <v>28</v>
      </c>
      <c r="P1580" s="25" t="s">
        <v>32</v>
      </c>
    </row>
    <row r="1581" spans="1:16" x14ac:dyDescent="0.3">
      <c r="A1581" s="25">
        <v>1580</v>
      </c>
      <c r="B1581" s="26">
        <v>45592</v>
      </c>
      <c r="C1581" s="25" t="s">
        <v>66</v>
      </c>
      <c r="D1581" s="25" t="s">
        <v>21</v>
      </c>
      <c r="E1581" s="25" t="s">
        <v>94</v>
      </c>
      <c r="F1581" s="25">
        <v>5</v>
      </c>
      <c r="G1581" s="25" t="s">
        <v>89</v>
      </c>
      <c r="H1581" s="25">
        <v>30</v>
      </c>
      <c r="I1581" s="25">
        <v>26</v>
      </c>
      <c r="J1581" s="25">
        <v>150</v>
      </c>
      <c r="K1581" s="25">
        <v>130</v>
      </c>
      <c r="L1581" s="25">
        <v>20</v>
      </c>
      <c r="M1581" s="27">
        <v>15.384615384615399</v>
      </c>
      <c r="N1581" s="25" t="s">
        <v>67</v>
      </c>
      <c r="O1581" s="25" t="s">
        <v>27</v>
      </c>
      <c r="P1581" s="25" t="s">
        <v>33</v>
      </c>
    </row>
    <row r="1582" spans="1:16" x14ac:dyDescent="0.3">
      <c r="A1582" s="25">
        <v>1581</v>
      </c>
      <c r="B1582" s="26">
        <v>45592</v>
      </c>
      <c r="C1582" s="25" t="s">
        <v>66</v>
      </c>
      <c r="D1582" s="25" t="s">
        <v>21</v>
      </c>
      <c r="E1582" s="25" t="s">
        <v>93</v>
      </c>
      <c r="F1582" s="25">
        <v>2</v>
      </c>
      <c r="G1582" s="25" t="s">
        <v>89</v>
      </c>
      <c r="H1582" s="25">
        <v>250</v>
      </c>
      <c r="I1582" s="25">
        <v>180</v>
      </c>
      <c r="J1582" s="25">
        <v>500</v>
      </c>
      <c r="K1582" s="25">
        <v>360</v>
      </c>
      <c r="L1582" s="25">
        <v>140</v>
      </c>
      <c r="M1582" s="27">
        <v>38.8888888888889</v>
      </c>
      <c r="N1582" s="25" t="s">
        <v>67</v>
      </c>
      <c r="O1582" s="25" t="s">
        <v>27</v>
      </c>
      <c r="P1582" s="25" t="s">
        <v>33</v>
      </c>
    </row>
    <row r="1583" spans="1:16" x14ac:dyDescent="0.3">
      <c r="A1583" s="25">
        <v>1582</v>
      </c>
      <c r="B1583" s="26">
        <v>45592</v>
      </c>
      <c r="C1583" s="25" t="s">
        <v>66</v>
      </c>
      <c r="D1583" s="25" t="s">
        <v>21</v>
      </c>
      <c r="E1583" s="25" t="s">
        <v>88</v>
      </c>
      <c r="F1583" s="25">
        <v>2</v>
      </c>
      <c r="G1583" s="25" t="s">
        <v>89</v>
      </c>
      <c r="H1583" s="25">
        <v>130</v>
      </c>
      <c r="I1583" s="25">
        <v>100</v>
      </c>
      <c r="J1583" s="25">
        <v>260</v>
      </c>
      <c r="K1583" s="25">
        <v>200</v>
      </c>
      <c r="L1583" s="25">
        <v>60</v>
      </c>
      <c r="M1583" s="27">
        <v>30</v>
      </c>
      <c r="N1583" s="25" t="s">
        <v>67</v>
      </c>
      <c r="O1583" s="25" t="s">
        <v>27</v>
      </c>
      <c r="P1583" s="25" t="s">
        <v>33</v>
      </c>
    </row>
    <row r="1584" spans="1:16" x14ac:dyDescent="0.3">
      <c r="A1584" s="25">
        <v>1583</v>
      </c>
      <c r="B1584" s="26">
        <v>45592</v>
      </c>
      <c r="C1584" s="25" t="s">
        <v>66</v>
      </c>
      <c r="D1584" s="25" t="s">
        <v>21</v>
      </c>
      <c r="E1584" s="25" t="s">
        <v>98</v>
      </c>
      <c r="F1584" s="25">
        <v>2</v>
      </c>
      <c r="G1584" s="25" t="s">
        <v>89</v>
      </c>
      <c r="H1584" s="25">
        <v>95</v>
      </c>
      <c r="I1584" s="25">
        <v>55</v>
      </c>
      <c r="J1584" s="25">
        <v>190</v>
      </c>
      <c r="K1584" s="25">
        <v>110</v>
      </c>
      <c r="L1584" s="25">
        <v>80</v>
      </c>
      <c r="M1584" s="27">
        <v>72.727272727272705</v>
      </c>
      <c r="N1584" s="25" t="s">
        <v>67</v>
      </c>
      <c r="O1584" s="25" t="s">
        <v>27</v>
      </c>
      <c r="P1584" s="25" t="s">
        <v>33</v>
      </c>
    </row>
    <row r="1585" spans="1:16" x14ac:dyDescent="0.3">
      <c r="A1585" s="25">
        <v>1584</v>
      </c>
      <c r="B1585" s="26">
        <v>45592</v>
      </c>
      <c r="C1585" s="25" t="s">
        <v>66</v>
      </c>
      <c r="D1585" s="25" t="s">
        <v>21</v>
      </c>
      <c r="E1585" s="25" t="s">
        <v>88</v>
      </c>
      <c r="F1585" s="25">
        <v>2</v>
      </c>
      <c r="G1585" s="25" t="s">
        <v>89</v>
      </c>
      <c r="H1585" s="25">
        <v>130</v>
      </c>
      <c r="I1585" s="25">
        <v>100</v>
      </c>
      <c r="J1585" s="25">
        <v>260</v>
      </c>
      <c r="K1585" s="25">
        <v>200</v>
      </c>
      <c r="L1585" s="25">
        <v>60</v>
      </c>
      <c r="M1585" s="27">
        <v>30</v>
      </c>
      <c r="N1585" s="25" t="s">
        <v>67</v>
      </c>
      <c r="O1585" s="25" t="s">
        <v>27</v>
      </c>
      <c r="P1585" s="25" t="s">
        <v>33</v>
      </c>
    </row>
    <row r="1586" spans="1:16" x14ac:dyDescent="0.3">
      <c r="A1586" s="25">
        <v>1585</v>
      </c>
      <c r="B1586" s="26">
        <v>45592</v>
      </c>
      <c r="C1586" s="25" t="s">
        <v>66</v>
      </c>
      <c r="D1586" s="25" t="s">
        <v>22</v>
      </c>
      <c r="E1586" s="25" t="s">
        <v>92</v>
      </c>
      <c r="F1586" s="25">
        <v>2</v>
      </c>
      <c r="G1586" s="25" t="s">
        <v>91</v>
      </c>
      <c r="H1586" s="25">
        <v>260</v>
      </c>
      <c r="I1586" s="25">
        <v>220</v>
      </c>
      <c r="J1586" s="25">
        <v>520</v>
      </c>
      <c r="K1586" s="25">
        <v>440</v>
      </c>
      <c r="L1586" s="25">
        <v>80</v>
      </c>
      <c r="M1586" s="27">
        <v>18.181818181818201</v>
      </c>
      <c r="N1586" s="25" t="s">
        <v>67</v>
      </c>
      <c r="O1586" s="25" t="s">
        <v>28</v>
      </c>
      <c r="P1586" s="25" t="s">
        <v>32</v>
      </c>
    </row>
    <row r="1587" spans="1:16" x14ac:dyDescent="0.3">
      <c r="A1587" s="25">
        <v>1586</v>
      </c>
      <c r="B1587" s="26">
        <v>45592</v>
      </c>
      <c r="C1587" s="25" t="s">
        <v>66</v>
      </c>
      <c r="D1587" s="25" t="s">
        <v>21</v>
      </c>
      <c r="E1587" s="25" t="s">
        <v>88</v>
      </c>
      <c r="F1587" s="25">
        <v>2</v>
      </c>
      <c r="G1587" s="25" t="s">
        <v>89</v>
      </c>
      <c r="H1587" s="25">
        <v>130</v>
      </c>
      <c r="I1587" s="25">
        <v>100</v>
      </c>
      <c r="J1587" s="25">
        <v>260</v>
      </c>
      <c r="K1587" s="25">
        <v>200</v>
      </c>
      <c r="L1587" s="25">
        <v>60</v>
      </c>
      <c r="M1587" s="27">
        <v>30</v>
      </c>
      <c r="N1587" s="25" t="s">
        <v>67</v>
      </c>
      <c r="O1587" s="25" t="s">
        <v>27</v>
      </c>
      <c r="P1587" s="25" t="s">
        <v>32</v>
      </c>
    </row>
    <row r="1588" spans="1:16" x14ac:dyDescent="0.3">
      <c r="A1588" s="25">
        <v>1587</v>
      </c>
      <c r="B1588" s="26">
        <v>45592</v>
      </c>
      <c r="C1588" s="25" t="s">
        <v>66</v>
      </c>
      <c r="D1588" s="25" t="s">
        <v>21</v>
      </c>
      <c r="E1588" s="25" t="s">
        <v>93</v>
      </c>
      <c r="F1588" s="25">
        <v>2</v>
      </c>
      <c r="G1588" s="25" t="s">
        <v>89</v>
      </c>
      <c r="H1588" s="25">
        <v>250</v>
      </c>
      <c r="I1588" s="25">
        <v>180</v>
      </c>
      <c r="J1588" s="25">
        <v>500</v>
      </c>
      <c r="K1588" s="25">
        <v>360</v>
      </c>
      <c r="L1588" s="25">
        <v>140</v>
      </c>
      <c r="M1588" s="27">
        <v>38.8888888888889</v>
      </c>
      <c r="N1588" s="25" t="s">
        <v>67</v>
      </c>
      <c r="O1588" s="25" t="s">
        <v>27</v>
      </c>
      <c r="P1588" s="25" t="s">
        <v>32</v>
      </c>
    </row>
    <row r="1589" spans="1:16" x14ac:dyDescent="0.3">
      <c r="A1589" s="25">
        <v>1588</v>
      </c>
      <c r="B1589" s="26">
        <v>45592</v>
      </c>
      <c r="C1589" s="25" t="s">
        <v>66</v>
      </c>
      <c r="D1589" s="25" t="s">
        <v>21</v>
      </c>
      <c r="E1589" s="25" t="s">
        <v>88</v>
      </c>
      <c r="F1589" s="25">
        <v>2</v>
      </c>
      <c r="G1589" s="25" t="s">
        <v>89</v>
      </c>
      <c r="H1589" s="25">
        <v>130</v>
      </c>
      <c r="I1589" s="25">
        <v>100</v>
      </c>
      <c r="J1589" s="25">
        <v>260</v>
      </c>
      <c r="K1589" s="25">
        <v>200</v>
      </c>
      <c r="L1589" s="25">
        <v>60</v>
      </c>
      <c r="M1589" s="27">
        <v>30</v>
      </c>
      <c r="N1589" s="25" t="s">
        <v>67</v>
      </c>
      <c r="O1589" s="25" t="s">
        <v>27</v>
      </c>
      <c r="P1589" s="25" t="s">
        <v>32</v>
      </c>
    </row>
    <row r="1590" spans="1:16" x14ac:dyDescent="0.3">
      <c r="A1590" s="25">
        <v>1589</v>
      </c>
      <c r="B1590" s="26">
        <v>45592</v>
      </c>
      <c r="C1590" s="25" t="s">
        <v>66</v>
      </c>
      <c r="D1590" s="25" t="s">
        <v>21</v>
      </c>
      <c r="E1590" s="25" t="s">
        <v>94</v>
      </c>
      <c r="F1590" s="25">
        <v>15</v>
      </c>
      <c r="G1590" s="25" t="s">
        <v>89</v>
      </c>
      <c r="H1590" s="25">
        <v>30</v>
      </c>
      <c r="I1590" s="25">
        <v>26</v>
      </c>
      <c r="J1590" s="25">
        <v>450</v>
      </c>
      <c r="K1590" s="25">
        <v>390</v>
      </c>
      <c r="L1590" s="25">
        <v>60</v>
      </c>
      <c r="M1590" s="27">
        <v>15.384615384615399</v>
      </c>
      <c r="N1590" s="25" t="s">
        <v>67</v>
      </c>
      <c r="O1590" s="25" t="s">
        <v>27</v>
      </c>
      <c r="P1590" s="25" t="s">
        <v>32</v>
      </c>
    </row>
    <row r="1591" spans="1:16" x14ac:dyDescent="0.3">
      <c r="A1591" s="25">
        <v>1590</v>
      </c>
      <c r="B1591" s="26">
        <v>45592</v>
      </c>
      <c r="C1591" s="25" t="s">
        <v>66</v>
      </c>
      <c r="D1591" s="25" t="s">
        <v>21</v>
      </c>
      <c r="E1591" s="25" t="s">
        <v>88</v>
      </c>
      <c r="F1591" s="25">
        <v>2</v>
      </c>
      <c r="G1591" s="25" t="s">
        <v>89</v>
      </c>
      <c r="H1591" s="25">
        <v>130</v>
      </c>
      <c r="I1591" s="25">
        <v>100</v>
      </c>
      <c r="J1591" s="25">
        <v>260</v>
      </c>
      <c r="K1591" s="25">
        <v>200</v>
      </c>
      <c r="L1591" s="25">
        <v>60</v>
      </c>
      <c r="M1591" s="27">
        <v>30</v>
      </c>
      <c r="N1591" s="25" t="s">
        <v>67</v>
      </c>
      <c r="O1591" s="25" t="s">
        <v>27</v>
      </c>
      <c r="P1591" s="25" t="s">
        <v>32</v>
      </c>
    </row>
    <row r="1592" spans="1:16" x14ac:dyDescent="0.3">
      <c r="A1592" s="25">
        <v>1591</v>
      </c>
      <c r="B1592" s="26">
        <v>45593</v>
      </c>
      <c r="C1592" s="25" t="s">
        <v>66</v>
      </c>
      <c r="D1592" s="25" t="s">
        <v>21</v>
      </c>
      <c r="E1592" s="25" t="s">
        <v>98</v>
      </c>
      <c r="F1592" s="25">
        <v>2</v>
      </c>
      <c r="G1592" s="25" t="s">
        <v>89</v>
      </c>
      <c r="H1592" s="25">
        <v>95</v>
      </c>
      <c r="I1592" s="25">
        <v>55</v>
      </c>
      <c r="J1592" s="25">
        <v>190</v>
      </c>
      <c r="K1592" s="25">
        <v>110</v>
      </c>
      <c r="L1592" s="25">
        <v>80</v>
      </c>
      <c r="M1592" s="27">
        <v>72.727272727272705</v>
      </c>
      <c r="N1592" s="25" t="s">
        <v>67</v>
      </c>
      <c r="O1592" s="25" t="s">
        <v>27</v>
      </c>
      <c r="P1592" s="25" t="s">
        <v>32</v>
      </c>
    </row>
    <row r="1593" spans="1:16" x14ac:dyDescent="0.3">
      <c r="A1593" s="25">
        <v>1592</v>
      </c>
      <c r="B1593" s="26">
        <v>45593</v>
      </c>
      <c r="C1593" s="25" t="s">
        <v>66</v>
      </c>
      <c r="D1593" s="25" t="s">
        <v>21</v>
      </c>
      <c r="E1593" s="25" t="s">
        <v>88</v>
      </c>
      <c r="F1593" s="25">
        <v>6</v>
      </c>
      <c r="G1593" s="25" t="s">
        <v>89</v>
      </c>
      <c r="H1593" s="25">
        <v>130</v>
      </c>
      <c r="I1593" s="25">
        <v>100</v>
      </c>
      <c r="J1593" s="25">
        <v>780</v>
      </c>
      <c r="K1593" s="25">
        <v>600</v>
      </c>
      <c r="L1593" s="25">
        <v>180</v>
      </c>
      <c r="M1593" s="27">
        <v>30</v>
      </c>
      <c r="N1593" s="25" t="s">
        <v>67</v>
      </c>
      <c r="O1593" s="25" t="s">
        <v>27</v>
      </c>
      <c r="P1593" s="25" t="s">
        <v>32</v>
      </c>
    </row>
    <row r="1594" spans="1:16" x14ac:dyDescent="0.3">
      <c r="A1594" s="25">
        <v>1593</v>
      </c>
      <c r="B1594" s="26">
        <v>45593</v>
      </c>
      <c r="C1594" s="25" t="s">
        <v>66</v>
      </c>
      <c r="D1594" s="25" t="s">
        <v>21</v>
      </c>
      <c r="E1594" s="25" t="s">
        <v>88</v>
      </c>
      <c r="F1594" s="25">
        <v>3</v>
      </c>
      <c r="G1594" s="25" t="s">
        <v>89</v>
      </c>
      <c r="H1594" s="25">
        <v>130</v>
      </c>
      <c r="I1594" s="25">
        <v>100</v>
      </c>
      <c r="J1594" s="25">
        <v>390</v>
      </c>
      <c r="K1594" s="25">
        <v>300</v>
      </c>
      <c r="L1594" s="25">
        <v>90</v>
      </c>
      <c r="M1594" s="27">
        <v>30</v>
      </c>
      <c r="N1594" s="25" t="s">
        <v>67</v>
      </c>
      <c r="O1594" s="25" t="s">
        <v>27</v>
      </c>
      <c r="P1594" s="25" t="s">
        <v>32</v>
      </c>
    </row>
    <row r="1595" spans="1:16" x14ac:dyDescent="0.3">
      <c r="A1595" s="25">
        <v>1594</v>
      </c>
      <c r="B1595" s="26">
        <v>45593</v>
      </c>
      <c r="C1595" s="25" t="s">
        <v>66</v>
      </c>
      <c r="D1595" s="25" t="s">
        <v>22</v>
      </c>
      <c r="E1595" s="25" t="s">
        <v>96</v>
      </c>
      <c r="F1595" s="25">
        <v>1</v>
      </c>
      <c r="G1595" s="25" t="s">
        <v>97</v>
      </c>
      <c r="H1595" s="25">
        <v>300</v>
      </c>
      <c r="I1595" s="25">
        <v>265</v>
      </c>
      <c r="J1595" s="25">
        <v>300</v>
      </c>
      <c r="K1595" s="25">
        <v>265</v>
      </c>
      <c r="L1595" s="25">
        <v>35</v>
      </c>
      <c r="M1595" s="27">
        <v>13.207547169811299</v>
      </c>
      <c r="N1595" s="25" t="s">
        <v>67</v>
      </c>
      <c r="O1595" s="25" t="s">
        <v>28</v>
      </c>
      <c r="P1595" s="25" t="s">
        <v>32</v>
      </c>
    </row>
    <row r="1596" spans="1:16" x14ac:dyDescent="0.3">
      <c r="A1596" s="25">
        <v>1595</v>
      </c>
      <c r="B1596" s="26">
        <v>45593</v>
      </c>
      <c r="C1596" s="25" t="s">
        <v>66</v>
      </c>
      <c r="D1596" s="25" t="s">
        <v>21</v>
      </c>
      <c r="E1596" s="25" t="s">
        <v>93</v>
      </c>
      <c r="F1596" s="25">
        <v>1</v>
      </c>
      <c r="G1596" s="25" t="s">
        <v>89</v>
      </c>
      <c r="H1596" s="25">
        <v>250</v>
      </c>
      <c r="I1596" s="25">
        <v>180</v>
      </c>
      <c r="J1596" s="25">
        <v>250</v>
      </c>
      <c r="K1596" s="25">
        <v>180</v>
      </c>
      <c r="L1596" s="25">
        <v>70</v>
      </c>
      <c r="M1596" s="27">
        <v>38.8888888888889</v>
      </c>
      <c r="N1596" s="25" t="s">
        <v>67</v>
      </c>
      <c r="O1596" s="25" t="s">
        <v>27</v>
      </c>
      <c r="P1596" s="25" t="s">
        <v>32</v>
      </c>
    </row>
    <row r="1597" spans="1:16" x14ac:dyDescent="0.3">
      <c r="A1597" s="25">
        <v>1596</v>
      </c>
      <c r="B1597" s="26">
        <v>45593</v>
      </c>
      <c r="C1597" s="25" t="s">
        <v>66</v>
      </c>
      <c r="D1597" s="25" t="s">
        <v>21</v>
      </c>
      <c r="E1597" s="25" t="s">
        <v>94</v>
      </c>
      <c r="F1597" s="25">
        <v>15</v>
      </c>
      <c r="G1597" s="25" t="s">
        <v>89</v>
      </c>
      <c r="H1597" s="25">
        <v>30</v>
      </c>
      <c r="I1597" s="25">
        <v>26</v>
      </c>
      <c r="J1597" s="25">
        <v>450</v>
      </c>
      <c r="K1597" s="25">
        <v>390</v>
      </c>
      <c r="L1597" s="25">
        <v>60</v>
      </c>
      <c r="M1597" s="27">
        <v>15.384615384615399</v>
      </c>
      <c r="N1597" s="25" t="s">
        <v>67</v>
      </c>
      <c r="O1597" s="25" t="s">
        <v>27</v>
      </c>
      <c r="P1597" s="25" t="s">
        <v>32</v>
      </c>
    </row>
    <row r="1598" spans="1:16" x14ac:dyDescent="0.3">
      <c r="A1598" s="25">
        <v>1597</v>
      </c>
      <c r="B1598" s="26">
        <v>45593</v>
      </c>
      <c r="C1598" s="25" t="s">
        <v>66</v>
      </c>
      <c r="D1598" s="25" t="s">
        <v>21</v>
      </c>
      <c r="E1598" s="25" t="s">
        <v>88</v>
      </c>
      <c r="F1598" s="25">
        <v>5</v>
      </c>
      <c r="G1598" s="25" t="s">
        <v>89</v>
      </c>
      <c r="H1598" s="25">
        <v>130</v>
      </c>
      <c r="I1598" s="25">
        <v>100</v>
      </c>
      <c r="J1598" s="25">
        <v>650</v>
      </c>
      <c r="K1598" s="25">
        <v>500</v>
      </c>
      <c r="L1598" s="25">
        <v>150</v>
      </c>
      <c r="M1598" s="27">
        <v>30</v>
      </c>
      <c r="N1598" s="25" t="s">
        <v>67</v>
      </c>
      <c r="O1598" s="25" t="s">
        <v>27</v>
      </c>
      <c r="P1598" s="25" t="s">
        <v>32</v>
      </c>
    </row>
    <row r="1599" spans="1:16" x14ac:dyDescent="0.3">
      <c r="A1599" s="25">
        <v>1598</v>
      </c>
      <c r="B1599" s="26">
        <v>45593</v>
      </c>
      <c r="C1599" s="25" t="s">
        <v>66</v>
      </c>
      <c r="D1599" s="25" t="s">
        <v>21</v>
      </c>
      <c r="E1599" s="25" t="s">
        <v>94</v>
      </c>
      <c r="F1599" s="25">
        <v>12</v>
      </c>
      <c r="G1599" s="25" t="s">
        <v>89</v>
      </c>
      <c r="H1599" s="25">
        <v>30</v>
      </c>
      <c r="I1599" s="25">
        <v>26</v>
      </c>
      <c r="J1599" s="25">
        <v>360</v>
      </c>
      <c r="K1599" s="25">
        <v>312</v>
      </c>
      <c r="L1599" s="25">
        <v>48</v>
      </c>
      <c r="M1599" s="27">
        <v>15.384615384615399</v>
      </c>
      <c r="N1599" s="25" t="s">
        <v>67</v>
      </c>
      <c r="O1599" s="25" t="s">
        <v>27</v>
      </c>
      <c r="P1599" s="25" t="s">
        <v>32</v>
      </c>
    </row>
    <row r="1600" spans="1:16" x14ac:dyDescent="0.3">
      <c r="A1600" s="25">
        <v>1599</v>
      </c>
      <c r="B1600" s="26">
        <v>45594</v>
      </c>
      <c r="C1600" s="25" t="s">
        <v>66</v>
      </c>
      <c r="D1600" s="25" t="s">
        <v>21</v>
      </c>
      <c r="E1600" s="25" t="s">
        <v>93</v>
      </c>
      <c r="F1600" s="25">
        <v>2</v>
      </c>
      <c r="G1600" s="25" t="s">
        <v>89</v>
      </c>
      <c r="H1600" s="25">
        <v>250</v>
      </c>
      <c r="I1600" s="25">
        <v>180</v>
      </c>
      <c r="J1600" s="25">
        <v>500</v>
      </c>
      <c r="K1600" s="25">
        <v>360</v>
      </c>
      <c r="L1600" s="25">
        <v>140</v>
      </c>
      <c r="M1600" s="27">
        <v>38.8888888888889</v>
      </c>
      <c r="N1600" s="25" t="s">
        <v>67</v>
      </c>
      <c r="O1600" s="25" t="s">
        <v>27</v>
      </c>
      <c r="P1600" s="25" t="s">
        <v>32</v>
      </c>
    </row>
    <row r="1601" spans="1:16" x14ac:dyDescent="0.3">
      <c r="A1601" s="25">
        <v>1600</v>
      </c>
      <c r="B1601" s="26">
        <v>45594</v>
      </c>
      <c r="C1601" s="25" t="s">
        <v>66</v>
      </c>
      <c r="D1601" s="25" t="s">
        <v>21</v>
      </c>
      <c r="E1601" s="25" t="s">
        <v>98</v>
      </c>
      <c r="F1601" s="25">
        <v>2</v>
      </c>
      <c r="G1601" s="25" t="s">
        <v>89</v>
      </c>
      <c r="H1601" s="25">
        <v>95</v>
      </c>
      <c r="I1601" s="25">
        <v>55</v>
      </c>
      <c r="J1601" s="25">
        <v>190</v>
      </c>
      <c r="K1601" s="25">
        <v>110</v>
      </c>
      <c r="L1601" s="25">
        <v>80</v>
      </c>
      <c r="M1601" s="27">
        <v>72.727272727272705</v>
      </c>
      <c r="N1601" s="25" t="s">
        <v>67</v>
      </c>
      <c r="O1601" s="25" t="s">
        <v>27</v>
      </c>
      <c r="P1601" s="25" t="s">
        <v>32</v>
      </c>
    </row>
    <row r="1602" spans="1:16" x14ac:dyDescent="0.3">
      <c r="A1602" s="25">
        <v>1601</v>
      </c>
      <c r="B1602" s="26">
        <v>45594</v>
      </c>
      <c r="C1602" s="25" t="s">
        <v>66</v>
      </c>
      <c r="D1602" s="25" t="s">
        <v>21</v>
      </c>
      <c r="E1602" s="25" t="s">
        <v>88</v>
      </c>
      <c r="F1602" s="25">
        <v>6</v>
      </c>
      <c r="G1602" s="25" t="s">
        <v>89</v>
      </c>
      <c r="H1602" s="25">
        <v>130</v>
      </c>
      <c r="I1602" s="25">
        <v>100</v>
      </c>
      <c r="J1602" s="25">
        <v>780</v>
      </c>
      <c r="K1602" s="25">
        <v>600</v>
      </c>
      <c r="L1602" s="25">
        <v>180</v>
      </c>
      <c r="M1602" s="27">
        <v>30</v>
      </c>
      <c r="N1602" s="25" t="s">
        <v>67</v>
      </c>
      <c r="O1602" s="25" t="s">
        <v>27</v>
      </c>
      <c r="P1602" s="25" t="s">
        <v>32</v>
      </c>
    </row>
    <row r="1603" spans="1:16" x14ac:dyDescent="0.3">
      <c r="A1603" s="25">
        <v>1602</v>
      </c>
      <c r="B1603" s="26">
        <v>45594</v>
      </c>
      <c r="C1603" s="25" t="s">
        <v>66</v>
      </c>
      <c r="D1603" s="25" t="s">
        <v>21</v>
      </c>
      <c r="E1603" s="25" t="s">
        <v>88</v>
      </c>
      <c r="F1603" s="25">
        <v>8</v>
      </c>
      <c r="G1603" s="25" t="s">
        <v>89</v>
      </c>
      <c r="H1603" s="25">
        <v>130</v>
      </c>
      <c r="I1603" s="25">
        <v>100</v>
      </c>
      <c r="J1603" s="25">
        <v>1040</v>
      </c>
      <c r="K1603" s="25">
        <v>800</v>
      </c>
      <c r="L1603" s="25">
        <v>240</v>
      </c>
      <c r="M1603" s="27">
        <v>30</v>
      </c>
      <c r="N1603" s="25" t="s">
        <v>67</v>
      </c>
      <c r="O1603" s="25" t="s">
        <v>27</v>
      </c>
      <c r="P1603" s="25" t="s">
        <v>32</v>
      </c>
    </row>
    <row r="1604" spans="1:16" x14ac:dyDescent="0.3">
      <c r="A1604" s="25">
        <v>1603</v>
      </c>
      <c r="B1604" s="26">
        <v>45594</v>
      </c>
      <c r="C1604" s="25" t="s">
        <v>66</v>
      </c>
      <c r="D1604" s="25" t="s">
        <v>21</v>
      </c>
      <c r="E1604" s="25" t="s">
        <v>88</v>
      </c>
      <c r="F1604" s="25">
        <v>3</v>
      </c>
      <c r="G1604" s="25" t="s">
        <v>89</v>
      </c>
      <c r="H1604" s="25">
        <v>130</v>
      </c>
      <c r="I1604" s="25">
        <v>100</v>
      </c>
      <c r="J1604" s="25">
        <v>390</v>
      </c>
      <c r="K1604" s="25">
        <v>300</v>
      </c>
      <c r="L1604" s="25">
        <v>90</v>
      </c>
      <c r="M1604" s="27">
        <v>30</v>
      </c>
      <c r="N1604" s="25" t="s">
        <v>67</v>
      </c>
      <c r="O1604" s="25" t="s">
        <v>27</v>
      </c>
      <c r="P1604" s="25" t="s">
        <v>32</v>
      </c>
    </row>
    <row r="1605" spans="1:16" x14ac:dyDescent="0.3">
      <c r="A1605" s="25">
        <v>1604</v>
      </c>
      <c r="B1605" s="26">
        <v>45594</v>
      </c>
      <c r="C1605" s="25" t="s">
        <v>66</v>
      </c>
      <c r="D1605" s="25" t="s">
        <v>21</v>
      </c>
      <c r="E1605" s="25" t="s">
        <v>88</v>
      </c>
      <c r="F1605" s="25">
        <v>6</v>
      </c>
      <c r="G1605" s="25" t="s">
        <v>89</v>
      </c>
      <c r="H1605" s="25">
        <v>130</v>
      </c>
      <c r="I1605" s="25">
        <v>100</v>
      </c>
      <c r="J1605" s="25">
        <v>780</v>
      </c>
      <c r="K1605" s="25">
        <v>600</v>
      </c>
      <c r="L1605" s="25">
        <v>180</v>
      </c>
      <c r="M1605" s="27">
        <v>30</v>
      </c>
      <c r="N1605" s="25" t="s">
        <v>67</v>
      </c>
      <c r="O1605" s="25" t="s">
        <v>27</v>
      </c>
      <c r="P1605" s="25" t="s">
        <v>32</v>
      </c>
    </row>
    <row r="1606" spans="1:16" x14ac:dyDescent="0.3">
      <c r="A1606" s="25">
        <v>1605</v>
      </c>
      <c r="B1606" s="26">
        <v>45594</v>
      </c>
      <c r="C1606" s="25" t="s">
        <v>66</v>
      </c>
      <c r="D1606" s="25" t="s">
        <v>21</v>
      </c>
      <c r="E1606" s="25" t="s">
        <v>88</v>
      </c>
      <c r="F1606" s="25">
        <v>4</v>
      </c>
      <c r="G1606" s="25" t="s">
        <v>89</v>
      </c>
      <c r="H1606" s="25">
        <v>130</v>
      </c>
      <c r="I1606" s="25">
        <v>100</v>
      </c>
      <c r="J1606" s="25">
        <v>520</v>
      </c>
      <c r="K1606" s="25">
        <v>400</v>
      </c>
      <c r="L1606" s="25">
        <v>120</v>
      </c>
      <c r="M1606" s="27">
        <v>30</v>
      </c>
      <c r="N1606" s="25" t="s">
        <v>67</v>
      </c>
      <c r="O1606" s="25" t="s">
        <v>27</v>
      </c>
      <c r="P1606" s="25" t="s">
        <v>32</v>
      </c>
    </row>
    <row r="1607" spans="1:16" x14ac:dyDescent="0.3">
      <c r="A1607" s="25">
        <v>1606</v>
      </c>
      <c r="B1607" s="26">
        <v>45594</v>
      </c>
      <c r="C1607" s="25" t="s">
        <v>66</v>
      </c>
      <c r="D1607" s="25" t="s">
        <v>21</v>
      </c>
      <c r="E1607" s="25" t="s">
        <v>88</v>
      </c>
      <c r="F1607" s="25">
        <v>3</v>
      </c>
      <c r="G1607" s="25" t="s">
        <v>89</v>
      </c>
      <c r="H1607" s="25">
        <v>130</v>
      </c>
      <c r="I1607" s="25">
        <v>100</v>
      </c>
      <c r="J1607" s="25">
        <v>390</v>
      </c>
      <c r="K1607" s="25">
        <v>300</v>
      </c>
      <c r="L1607" s="25">
        <v>90</v>
      </c>
      <c r="M1607" s="27">
        <v>30</v>
      </c>
      <c r="N1607" s="25" t="s">
        <v>67</v>
      </c>
      <c r="O1607" s="25" t="s">
        <v>27</v>
      </c>
      <c r="P1607" s="25" t="s">
        <v>32</v>
      </c>
    </row>
    <row r="1608" spans="1:16" x14ac:dyDescent="0.3">
      <c r="A1608" s="25">
        <v>1607</v>
      </c>
      <c r="B1608" s="26">
        <v>45594</v>
      </c>
      <c r="C1608" s="25" t="s">
        <v>66</v>
      </c>
      <c r="D1608" s="25" t="s">
        <v>21</v>
      </c>
      <c r="E1608" s="25" t="s">
        <v>88</v>
      </c>
      <c r="F1608" s="25">
        <v>6</v>
      </c>
      <c r="G1608" s="25" t="s">
        <v>89</v>
      </c>
      <c r="H1608" s="25">
        <v>130</v>
      </c>
      <c r="I1608" s="25">
        <v>100</v>
      </c>
      <c r="J1608" s="25">
        <v>780</v>
      </c>
      <c r="K1608" s="25">
        <v>600</v>
      </c>
      <c r="L1608" s="25">
        <v>180</v>
      </c>
      <c r="M1608" s="27">
        <v>30</v>
      </c>
      <c r="N1608" s="25" t="s">
        <v>67</v>
      </c>
      <c r="O1608" s="25" t="s">
        <v>27</v>
      </c>
      <c r="P1608" s="25" t="s">
        <v>32</v>
      </c>
    </row>
    <row r="1609" spans="1:16" x14ac:dyDescent="0.3">
      <c r="A1609" s="25">
        <v>1608</v>
      </c>
      <c r="B1609" s="26">
        <v>45595</v>
      </c>
      <c r="C1609" s="25" t="s">
        <v>66</v>
      </c>
      <c r="D1609" s="25" t="s">
        <v>21</v>
      </c>
      <c r="E1609" s="25" t="s">
        <v>88</v>
      </c>
      <c r="F1609" s="25">
        <v>3</v>
      </c>
      <c r="G1609" s="25" t="s">
        <v>89</v>
      </c>
      <c r="H1609" s="25">
        <v>130</v>
      </c>
      <c r="I1609" s="25">
        <v>100</v>
      </c>
      <c r="J1609" s="25">
        <v>390</v>
      </c>
      <c r="K1609" s="25">
        <v>300</v>
      </c>
      <c r="L1609" s="25">
        <v>90</v>
      </c>
      <c r="M1609" s="27">
        <v>30</v>
      </c>
      <c r="N1609" s="25" t="s">
        <v>67</v>
      </c>
      <c r="O1609" s="25" t="s">
        <v>27</v>
      </c>
      <c r="P1609" s="25" t="s">
        <v>32</v>
      </c>
    </row>
    <row r="1610" spans="1:16" x14ac:dyDescent="0.3">
      <c r="A1610" s="25">
        <v>1609</v>
      </c>
      <c r="B1610" s="26">
        <v>45595</v>
      </c>
      <c r="C1610" s="25" t="s">
        <v>66</v>
      </c>
      <c r="D1610" s="25" t="s">
        <v>22</v>
      </c>
      <c r="E1610" s="25" t="s">
        <v>90</v>
      </c>
      <c r="F1610" s="25">
        <v>2</v>
      </c>
      <c r="G1610" s="25" t="s">
        <v>91</v>
      </c>
      <c r="H1610" s="25">
        <v>280</v>
      </c>
      <c r="I1610" s="25">
        <v>240</v>
      </c>
      <c r="J1610" s="25">
        <v>560</v>
      </c>
      <c r="K1610" s="25">
        <v>480</v>
      </c>
      <c r="L1610" s="25">
        <v>80</v>
      </c>
      <c r="M1610" s="27">
        <v>16.6666666666667</v>
      </c>
      <c r="N1610" s="25" t="s">
        <v>67</v>
      </c>
      <c r="O1610" s="25" t="s">
        <v>28</v>
      </c>
      <c r="P1610" s="25" t="s">
        <v>33</v>
      </c>
    </row>
    <row r="1611" spans="1:16" x14ac:dyDescent="0.3">
      <c r="A1611" s="25">
        <v>1610</v>
      </c>
      <c r="B1611" s="26">
        <v>45595</v>
      </c>
      <c r="C1611" s="25" t="s">
        <v>66</v>
      </c>
      <c r="D1611" s="25" t="s">
        <v>22</v>
      </c>
      <c r="E1611" s="25" t="s">
        <v>92</v>
      </c>
      <c r="F1611" s="25">
        <v>1.5</v>
      </c>
      <c r="G1611" s="25" t="s">
        <v>91</v>
      </c>
      <c r="H1611" s="25">
        <v>260</v>
      </c>
      <c r="I1611" s="25">
        <v>220</v>
      </c>
      <c r="J1611" s="25">
        <v>390</v>
      </c>
      <c r="K1611" s="25">
        <v>330</v>
      </c>
      <c r="L1611" s="25">
        <v>60</v>
      </c>
      <c r="M1611" s="27">
        <v>18.181818181818201</v>
      </c>
      <c r="N1611" s="25" t="s">
        <v>67</v>
      </c>
      <c r="O1611" s="25" t="s">
        <v>28</v>
      </c>
      <c r="P1611" s="25" t="s">
        <v>33</v>
      </c>
    </row>
    <row r="1612" spans="1:16" x14ac:dyDescent="0.3">
      <c r="A1612" s="25">
        <v>1611</v>
      </c>
      <c r="B1612" s="26">
        <v>45595</v>
      </c>
      <c r="C1612" s="25" t="s">
        <v>66</v>
      </c>
      <c r="D1612" s="25" t="s">
        <v>22</v>
      </c>
      <c r="E1612" s="25" t="s">
        <v>99</v>
      </c>
      <c r="F1612" s="25">
        <v>2</v>
      </c>
      <c r="G1612" s="25" t="s">
        <v>100</v>
      </c>
      <c r="H1612" s="25">
        <v>200</v>
      </c>
      <c r="I1612" s="25">
        <v>160</v>
      </c>
      <c r="J1612" s="25">
        <v>400</v>
      </c>
      <c r="K1612" s="25">
        <v>320</v>
      </c>
      <c r="L1612" s="25">
        <v>80</v>
      </c>
      <c r="M1612" s="27">
        <v>25</v>
      </c>
      <c r="N1612" s="25" t="s">
        <v>67</v>
      </c>
      <c r="O1612" s="25" t="s">
        <v>28</v>
      </c>
      <c r="P1612" s="25" t="s">
        <v>33</v>
      </c>
    </row>
    <row r="1613" spans="1:16" x14ac:dyDescent="0.3">
      <c r="A1613" s="25">
        <v>1612</v>
      </c>
      <c r="B1613" s="26">
        <v>45595</v>
      </c>
      <c r="C1613" s="25" t="s">
        <v>66</v>
      </c>
      <c r="D1613" s="25" t="s">
        <v>21</v>
      </c>
      <c r="E1613" s="25" t="s">
        <v>94</v>
      </c>
      <c r="F1613" s="25">
        <v>10</v>
      </c>
      <c r="G1613" s="25" t="s">
        <v>89</v>
      </c>
      <c r="H1613" s="25">
        <v>30</v>
      </c>
      <c r="I1613" s="25">
        <v>26</v>
      </c>
      <c r="J1613" s="25">
        <v>300</v>
      </c>
      <c r="K1613" s="25">
        <v>260</v>
      </c>
      <c r="L1613" s="25">
        <v>40</v>
      </c>
      <c r="M1613" s="27">
        <v>15.384615384615399</v>
      </c>
      <c r="N1613" s="25" t="s">
        <v>67</v>
      </c>
      <c r="O1613" s="25" t="s">
        <v>27</v>
      </c>
      <c r="P1613" s="25" t="s">
        <v>32</v>
      </c>
    </row>
    <row r="1614" spans="1:16" x14ac:dyDescent="0.3">
      <c r="A1614" s="25">
        <v>1613</v>
      </c>
      <c r="B1614" s="26">
        <v>45595</v>
      </c>
      <c r="C1614" s="25" t="s">
        <v>66</v>
      </c>
      <c r="D1614" s="25" t="s">
        <v>21</v>
      </c>
      <c r="E1614" s="25" t="s">
        <v>93</v>
      </c>
      <c r="F1614" s="25">
        <v>2</v>
      </c>
      <c r="G1614" s="25" t="s">
        <v>89</v>
      </c>
      <c r="H1614" s="25">
        <v>250</v>
      </c>
      <c r="I1614" s="25">
        <v>180</v>
      </c>
      <c r="J1614" s="25">
        <v>500</v>
      </c>
      <c r="K1614" s="25">
        <v>360</v>
      </c>
      <c r="L1614" s="25">
        <v>140</v>
      </c>
      <c r="M1614" s="27">
        <v>38.8888888888889</v>
      </c>
      <c r="N1614" s="25" t="s">
        <v>67</v>
      </c>
      <c r="O1614" s="25" t="s">
        <v>27</v>
      </c>
      <c r="P1614" s="25" t="s">
        <v>32</v>
      </c>
    </row>
    <row r="1615" spans="1:16" x14ac:dyDescent="0.3">
      <c r="A1615" s="25">
        <v>1614</v>
      </c>
      <c r="B1615" s="26">
        <v>45595</v>
      </c>
      <c r="C1615" s="25" t="s">
        <v>66</v>
      </c>
      <c r="D1615" s="25" t="s">
        <v>21</v>
      </c>
      <c r="E1615" s="25" t="s">
        <v>94</v>
      </c>
      <c r="F1615" s="25">
        <v>15</v>
      </c>
      <c r="G1615" s="25" t="s">
        <v>89</v>
      </c>
      <c r="H1615" s="25">
        <v>30</v>
      </c>
      <c r="I1615" s="25">
        <v>26</v>
      </c>
      <c r="J1615" s="25">
        <v>450</v>
      </c>
      <c r="K1615" s="25">
        <v>390</v>
      </c>
      <c r="L1615" s="25">
        <v>60</v>
      </c>
      <c r="M1615" s="27">
        <v>15.384615384615399</v>
      </c>
      <c r="N1615" s="25" t="s">
        <v>67</v>
      </c>
      <c r="O1615" s="25" t="s">
        <v>27</v>
      </c>
      <c r="P1615" s="25" t="s">
        <v>32</v>
      </c>
    </row>
    <row r="1616" spans="1:16" x14ac:dyDescent="0.3">
      <c r="A1616" s="25">
        <v>1615</v>
      </c>
      <c r="B1616" s="26">
        <v>45595</v>
      </c>
      <c r="C1616" s="25" t="s">
        <v>66</v>
      </c>
      <c r="D1616" s="25" t="s">
        <v>21</v>
      </c>
      <c r="E1616" s="25" t="s">
        <v>93</v>
      </c>
      <c r="F1616" s="25">
        <v>2</v>
      </c>
      <c r="G1616" s="25" t="s">
        <v>89</v>
      </c>
      <c r="H1616" s="25">
        <v>250</v>
      </c>
      <c r="I1616" s="25">
        <v>180</v>
      </c>
      <c r="J1616" s="25">
        <v>500</v>
      </c>
      <c r="K1616" s="25">
        <v>360</v>
      </c>
      <c r="L1616" s="25">
        <v>140</v>
      </c>
      <c r="M1616" s="27">
        <v>38.8888888888889</v>
      </c>
      <c r="N1616" s="25" t="s">
        <v>67</v>
      </c>
      <c r="O1616" s="25" t="s">
        <v>27</v>
      </c>
      <c r="P1616" s="25" t="s">
        <v>32</v>
      </c>
    </row>
    <row r="1617" spans="1:16" x14ac:dyDescent="0.3">
      <c r="A1617" s="25">
        <v>1616</v>
      </c>
      <c r="B1617" s="26">
        <v>45595</v>
      </c>
      <c r="C1617" s="25" t="s">
        <v>66</v>
      </c>
      <c r="D1617" s="25" t="s">
        <v>21</v>
      </c>
      <c r="E1617" s="25" t="s">
        <v>98</v>
      </c>
      <c r="F1617" s="25">
        <v>2</v>
      </c>
      <c r="G1617" s="25" t="s">
        <v>89</v>
      </c>
      <c r="H1617" s="25">
        <v>95</v>
      </c>
      <c r="I1617" s="25">
        <v>55</v>
      </c>
      <c r="J1617" s="25">
        <v>190</v>
      </c>
      <c r="K1617" s="25">
        <v>110</v>
      </c>
      <c r="L1617" s="25">
        <v>80</v>
      </c>
      <c r="M1617" s="27">
        <v>72.727272727272705</v>
      </c>
      <c r="N1617" s="25" t="s">
        <v>67</v>
      </c>
      <c r="O1617" s="25" t="s">
        <v>27</v>
      </c>
      <c r="P1617" s="25" t="s">
        <v>32</v>
      </c>
    </row>
    <row r="1618" spans="1:16" x14ac:dyDescent="0.3">
      <c r="A1618" s="25">
        <v>1617</v>
      </c>
      <c r="B1618" s="26">
        <v>45595</v>
      </c>
      <c r="C1618" s="25" t="s">
        <v>66</v>
      </c>
      <c r="D1618" s="25" t="s">
        <v>21</v>
      </c>
      <c r="E1618" s="25" t="s">
        <v>88</v>
      </c>
      <c r="F1618" s="25">
        <v>5</v>
      </c>
      <c r="G1618" s="25" t="s">
        <v>89</v>
      </c>
      <c r="H1618" s="25">
        <v>130</v>
      </c>
      <c r="I1618" s="25">
        <v>100</v>
      </c>
      <c r="J1618" s="25">
        <v>650</v>
      </c>
      <c r="K1618" s="25">
        <v>500</v>
      </c>
      <c r="L1618" s="25">
        <v>150</v>
      </c>
      <c r="M1618" s="27">
        <v>30</v>
      </c>
      <c r="N1618" s="25" t="s">
        <v>67</v>
      </c>
      <c r="O1618" s="25" t="s">
        <v>27</v>
      </c>
      <c r="P1618" s="25" t="s">
        <v>32</v>
      </c>
    </row>
    <row r="1619" spans="1:16" x14ac:dyDescent="0.3">
      <c r="A1619" s="25">
        <v>1618</v>
      </c>
      <c r="B1619" s="26">
        <v>45596</v>
      </c>
      <c r="C1619" s="25" t="s">
        <v>66</v>
      </c>
      <c r="D1619" s="25" t="s">
        <v>21</v>
      </c>
      <c r="E1619" s="25" t="s">
        <v>88</v>
      </c>
      <c r="F1619" s="25">
        <v>6</v>
      </c>
      <c r="G1619" s="25" t="s">
        <v>89</v>
      </c>
      <c r="H1619" s="25">
        <v>130</v>
      </c>
      <c r="I1619" s="25">
        <v>100</v>
      </c>
      <c r="J1619" s="25">
        <v>780</v>
      </c>
      <c r="K1619" s="25">
        <v>600</v>
      </c>
      <c r="L1619" s="25">
        <v>180</v>
      </c>
      <c r="M1619" s="27">
        <v>30</v>
      </c>
      <c r="N1619" s="25" t="s">
        <v>67</v>
      </c>
      <c r="O1619" s="25" t="s">
        <v>27</v>
      </c>
      <c r="P1619" s="25" t="s">
        <v>32</v>
      </c>
    </row>
    <row r="1620" spans="1:16" x14ac:dyDescent="0.3">
      <c r="A1620" s="25">
        <v>1619</v>
      </c>
      <c r="B1620" s="26">
        <v>45596</v>
      </c>
      <c r="C1620" s="25" t="s">
        <v>66</v>
      </c>
      <c r="D1620" s="25" t="s">
        <v>22</v>
      </c>
      <c r="E1620" s="25" t="s">
        <v>92</v>
      </c>
      <c r="F1620" s="25">
        <v>3</v>
      </c>
      <c r="G1620" s="25" t="s">
        <v>91</v>
      </c>
      <c r="H1620" s="25">
        <v>260</v>
      </c>
      <c r="I1620" s="25">
        <v>220</v>
      </c>
      <c r="J1620" s="25">
        <v>780</v>
      </c>
      <c r="K1620" s="25">
        <v>660</v>
      </c>
      <c r="L1620" s="25">
        <v>120</v>
      </c>
      <c r="M1620" s="27">
        <v>18.181818181818201</v>
      </c>
      <c r="N1620" s="25" t="s">
        <v>67</v>
      </c>
      <c r="O1620" s="25" t="s">
        <v>28</v>
      </c>
      <c r="P1620" s="25" t="s">
        <v>33</v>
      </c>
    </row>
    <row r="1621" spans="1:16" x14ac:dyDescent="0.3">
      <c r="A1621" s="25">
        <v>1620</v>
      </c>
      <c r="B1621" s="26">
        <v>45596</v>
      </c>
      <c r="C1621" s="25" t="s">
        <v>66</v>
      </c>
      <c r="D1621" s="25" t="s">
        <v>21</v>
      </c>
      <c r="E1621" s="25" t="s">
        <v>98</v>
      </c>
      <c r="F1621" s="25">
        <v>2</v>
      </c>
      <c r="G1621" s="25" t="s">
        <v>89</v>
      </c>
      <c r="H1621" s="25">
        <v>95</v>
      </c>
      <c r="I1621" s="25">
        <v>55</v>
      </c>
      <c r="J1621" s="25">
        <v>190</v>
      </c>
      <c r="K1621" s="25">
        <v>110</v>
      </c>
      <c r="L1621" s="25">
        <v>80</v>
      </c>
      <c r="M1621" s="27">
        <v>72.727272727272705</v>
      </c>
      <c r="N1621" s="25" t="s">
        <v>67</v>
      </c>
      <c r="O1621" s="25" t="s">
        <v>27</v>
      </c>
      <c r="P1621" s="25" t="s">
        <v>32</v>
      </c>
    </row>
    <row r="1622" spans="1:16" x14ac:dyDescent="0.3">
      <c r="A1622" s="25">
        <v>1621</v>
      </c>
      <c r="B1622" s="26">
        <v>45596</v>
      </c>
      <c r="C1622" s="25" t="s">
        <v>66</v>
      </c>
      <c r="D1622" s="25" t="s">
        <v>21</v>
      </c>
      <c r="E1622" s="25" t="s">
        <v>94</v>
      </c>
      <c r="F1622" s="25">
        <v>16</v>
      </c>
      <c r="G1622" s="25" t="s">
        <v>89</v>
      </c>
      <c r="H1622" s="25">
        <v>30</v>
      </c>
      <c r="I1622" s="25">
        <v>26</v>
      </c>
      <c r="J1622" s="25">
        <v>480</v>
      </c>
      <c r="K1622" s="25">
        <v>416</v>
      </c>
      <c r="L1622" s="25">
        <v>64</v>
      </c>
      <c r="M1622" s="27">
        <v>15.384615384615399</v>
      </c>
      <c r="N1622" s="25" t="s">
        <v>67</v>
      </c>
      <c r="O1622" s="25" t="s">
        <v>27</v>
      </c>
      <c r="P1622" s="25" t="s">
        <v>32</v>
      </c>
    </row>
    <row r="1623" spans="1:16" x14ac:dyDescent="0.3">
      <c r="A1623" s="25">
        <v>1622</v>
      </c>
      <c r="B1623" s="26">
        <v>45596</v>
      </c>
      <c r="C1623" s="25" t="s">
        <v>66</v>
      </c>
      <c r="D1623" s="25" t="s">
        <v>21</v>
      </c>
      <c r="E1623" s="25" t="s">
        <v>93</v>
      </c>
      <c r="F1623" s="25">
        <v>2</v>
      </c>
      <c r="G1623" s="25" t="s">
        <v>89</v>
      </c>
      <c r="H1623" s="25">
        <v>250</v>
      </c>
      <c r="I1623" s="25">
        <v>180</v>
      </c>
      <c r="J1623" s="25">
        <v>500</v>
      </c>
      <c r="K1623" s="25">
        <v>360</v>
      </c>
      <c r="L1623" s="25">
        <v>140</v>
      </c>
      <c r="M1623" s="27">
        <v>38.8888888888889</v>
      </c>
      <c r="N1623" s="25" t="s">
        <v>67</v>
      </c>
      <c r="O1623" s="25" t="s">
        <v>27</v>
      </c>
      <c r="P1623" s="25" t="s">
        <v>32</v>
      </c>
    </row>
    <row r="1624" spans="1:16" x14ac:dyDescent="0.3">
      <c r="A1624" s="25">
        <v>1623</v>
      </c>
      <c r="B1624" s="26">
        <v>45596</v>
      </c>
      <c r="C1624" s="25" t="s">
        <v>66</v>
      </c>
      <c r="D1624" s="25" t="s">
        <v>21</v>
      </c>
      <c r="E1624" s="25" t="s">
        <v>98</v>
      </c>
      <c r="F1624" s="25">
        <v>2</v>
      </c>
      <c r="G1624" s="25" t="s">
        <v>89</v>
      </c>
      <c r="H1624" s="25">
        <v>95</v>
      </c>
      <c r="I1624" s="25">
        <v>55</v>
      </c>
      <c r="J1624" s="25">
        <v>190</v>
      </c>
      <c r="K1624" s="25">
        <v>110</v>
      </c>
      <c r="L1624" s="25">
        <v>80</v>
      </c>
      <c r="M1624" s="27">
        <v>72.727272727272705</v>
      </c>
      <c r="N1624" s="25" t="s">
        <v>67</v>
      </c>
      <c r="O1624" s="25" t="s">
        <v>27</v>
      </c>
      <c r="P1624" s="25" t="s">
        <v>32</v>
      </c>
    </row>
    <row r="1625" spans="1:16" x14ac:dyDescent="0.3">
      <c r="A1625" s="25">
        <v>1624</v>
      </c>
      <c r="B1625" s="26">
        <v>45596</v>
      </c>
      <c r="C1625" s="25" t="s">
        <v>66</v>
      </c>
      <c r="D1625" s="25" t="s">
        <v>22</v>
      </c>
      <c r="E1625" s="25" t="s">
        <v>96</v>
      </c>
      <c r="F1625" s="25">
        <v>1</v>
      </c>
      <c r="G1625" s="25" t="s">
        <v>97</v>
      </c>
      <c r="H1625" s="25">
        <v>300</v>
      </c>
      <c r="I1625" s="25">
        <v>265</v>
      </c>
      <c r="J1625" s="25">
        <v>300</v>
      </c>
      <c r="K1625" s="25">
        <v>265</v>
      </c>
      <c r="L1625" s="25">
        <v>35</v>
      </c>
      <c r="M1625" s="27">
        <v>13.207547169811299</v>
      </c>
      <c r="N1625" s="25" t="s">
        <v>67</v>
      </c>
      <c r="O1625" s="25" t="s">
        <v>28</v>
      </c>
      <c r="P1625" s="25" t="s">
        <v>32</v>
      </c>
    </row>
    <row r="1626" spans="1:16" x14ac:dyDescent="0.3">
      <c r="A1626" s="25">
        <v>1625</v>
      </c>
      <c r="B1626" s="26">
        <v>45596</v>
      </c>
      <c r="C1626" s="25" t="s">
        <v>66</v>
      </c>
      <c r="D1626" s="25" t="s">
        <v>22</v>
      </c>
      <c r="E1626" s="25" t="s">
        <v>99</v>
      </c>
      <c r="F1626" s="25">
        <v>2</v>
      </c>
      <c r="G1626" s="25" t="s">
        <v>100</v>
      </c>
      <c r="H1626" s="25">
        <v>200</v>
      </c>
      <c r="I1626" s="25">
        <v>160</v>
      </c>
      <c r="J1626" s="25">
        <v>400</v>
      </c>
      <c r="K1626" s="25">
        <v>320</v>
      </c>
      <c r="L1626" s="25">
        <v>80</v>
      </c>
      <c r="M1626" s="27">
        <v>25</v>
      </c>
      <c r="N1626" s="25" t="s">
        <v>67</v>
      </c>
      <c r="O1626" s="25" t="s">
        <v>28</v>
      </c>
      <c r="P1626" s="25" t="s">
        <v>32</v>
      </c>
    </row>
    <row r="1627" spans="1:16" x14ac:dyDescent="0.3">
      <c r="A1627" s="25">
        <v>1626</v>
      </c>
      <c r="B1627" s="26">
        <v>45596</v>
      </c>
      <c r="C1627" s="25" t="s">
        <v>66</v>
      </c>
      <c r="D1627" s="25" t="s">
        <v>22</v>
      </c>
      <c r="E1627" s="25" t="s">
        <v>90</v>
      </c>
      <c r="F1627" s="25">
        <v>2.5</v>
      </c>
      <c r="G1627" s="25" t="s">
        <v>91</v>
      </c>
      <c r="H1627" s="25">
        <v>280</v>
      </c>
      <c r="I1627" s="25">
        <v>240</v>
      </c>
      <c r="J1627" s="25">
        <v>700</v>
      </c>
      <c r="K1627" s="25">
        <v>600</v>
      </c>
      <c r="L1627" s="25">
        <v>100</v>
      </c>
      <c r="M1627" s="27">
        <v>16.6666666666667</v>
      </c>
      <c r="N1627" s="25" t="s">
        <v>67</v>
      </c>
      <c r="O1627" s="25" t="s">
        <v>28</v>
      </c>
      <c r="P1627" s="25" t="s">
        <v>32</v>
      </c>
    </row>
    <row r="1628" spans="1:16" x14ac:dyDescent="0.3">
      <c r="A1628" s="25">
        <v>1627</v>
      </c>
      <c r="B1628" s="26">
        <v>45596</v>
      </c>
      <c r="C1628" s="25" t="s">
        <v>66</v>
      </c>
      <c r="D1628" s="25" t="s">
        <v>21</v>
      </c>
      <c r="E1628" s="25" t="s">
        <v>94</v>
      </c>
      <c r="F1628" s="25">
        <v>15</v>
      </c>
      <c r="G1628" s="25" t="s">
        <v>89</v>
      </c>
      <c r="H1628" s="25">
        <v>30</v>
      </c>
      <c r="I1628" s="25">
        <v>26</v>
      </c>
      <c r="J1628" s="25">
        <v>450</v>
      </c>
      <c r="K1628" s="25">
        <v>390</v>
      </c>
      <c r="L1628" s="25">
        <v>60</v>
      </c>
      <c r="M1628" s="27">
        <v>15.384615384615399</v>
      </c>
      <c r="N1628" s="25" t="s">
        <v>67</v>
      </c>
      <c r="O1628" s="25" t="s">
        <v>27</v>
      </c>
      <c r="P1628" s="25" t="s">
        <v>32</v>
      </c>
    </row>
    <row r="1629" spans="1:16" x14ac:dyDescent="0.3">
      <c r="A1629" s="25">
        <v>1628</v>
      </c>
      <c r="B1629" s="26">
        <v>45597</v>
      </c>
      <c r="C1629" s="25" t="s">
        <v>68</v>
      </c>
      <c r="D1629" s="25" t="s">
        <v>22</v>
      </c>
      <c r="E1629" s="25" t="s">
        <v>92</v>
      </c>
      <c r="F1629" s="25">
        <v>1</v>
      </c>
      <c r="G1629" s="25" t="s">
        <v>91</v>
      </c>
      <c r="H1629" s="25">
        <v>260</v>
      </c>
      <c r="I1629" s="25">
        <v>220</v>
      </c>
      <c r="J1629" s="25">
        <v>260</v>
      </c>
      <c r="K1629" s="25">
        <v>220</v>
      </c>
      <c r="L1629" s="25">
        <v>40</v>
      </c>
      <c r="M1629" s="27">
        <v>18.181818181818201</v>
      </c>
      <c r="N1629" s="25" t="s">
        <v>55</v>
      </c>
      <c r="O1629" s="25" t="s">
        <v>28</v>
      </c>
      <c r="P1629" s="25" t="s">
        <v>33</v>
      </c>
    </row>
    <row r="1630" spans="1:16" x14ac:dyDescent="0.3">
      <c r="A1630" s="25">
        <v>1629</v>
      </c>
      <c r="B1630" s="26">
        <v>45597</v>
      </c>
      <c r="C1630" s="25" t="s">
        <v>68</v>
      </c>
      <c r="D1630" s="25" t="s">
        <v>22</v>
      </c>
      <c r="E1630" s="25" t="s">
        <v>92</v>
      </c>
      <c r="F1630" s="25">
        <v>0.25</v>
      </c>
      <c r="G1630" s="25" t="s">
        <v>91</v>
      </c>
      <c r="H1630" s="25">
        <v>260</v>
      </c>
      <c r="I1630" s="25">
        <v>220</v>
      </c>
      <c r="J1630" s="25">
        <v>65</v>
      </c>
      <c r="K1630" s="25">
        <v>55</v>
      </c>
      <c r="L1630" s="25">
        <v>10</v>
      </c>
      <c r="M1630" s="27">
        <v>18.181818181818201</v>
      </c>
      <c r="N1630" s="25" t="s">
        <v>55</v>
      </c>
      <c r="O1630" s="25" t="s">
        <v>28</v>
      </c>
      <c r="P1630" s="25" t="s">
        <v>33</v>
      </c>
    </row>
    <row r="1631" spans="1:16" x14ac:dyDescent="0.3">
      <c r="A1631" s="25">
        <v>1630</v>
      </c>
      <c r="B1631" s="26">
        <v>45597</v>
      </c>
      <c r="C1631" s="25" t="s">
        <v>68</v>
      </c>
      <c r="D1631" s="25" t="s">
        <v>21</v>
      </c>
      <c r="E1631" s="25" t="s">
        <v>88</v>
      </c>
      <c r="F1631" s="25">
        <v>3</v>
      </c>
      <c r="G1631" s="25" t="s">
        <v>89</v>
      </c>
      <c r="H1631" s="25">
        <v>130</v>
      </c>
      <c r="I1631" s="25">
        <v>100</v>
      </c>
      <c r="J1631" s="25">
        <v>390</v>
      </c>
      <c r="K1631" s="25">
        <v>300</v>
      </c>
      <c r="L1631" s="25">
        <v>90</v>
      </c>
      <c r="M1631" s="27">
        <v>30</v>
      </c>
      <c r="N1631" s="25" t="s">
        <v>55</v>
      </c>
      <c r="O1631" s="25" t="s">
        <v>27</v>
      </c>
      <c r="P1631" s="25" t="s">
        <v>32</v>
      </c>
    </row>
    <row r="1632" spans="1:16" x14ac:dyDescent="0.3">
      <c r="A1632" s="25">
        <v>1631</v>
      </c>
      <c r="B1632" s="26">
        <v>45597</v>
      </c>
      <c r="C1632" s="25" t="s">
        <v>68</v>
      </c>
      <c r="D1632" s="25" t="s">
        <v>21</v>
      </c>
      <c r="E1632" s="25" t="s">
        <v>95</v>
      </c>
      <c r="F1632" s="25">
        <v>5</v>
      </c>
      <c r="G1632" s="25" t="s">
        <v>89</v>
      </c>
      <c r="H1632" s="25">
        <v>150</v>
      </c>
      <c r="I1632" s="25">
        <v>100</v>
      </c>
      <c r="J1632" s="25">
        <v>750</v>
      </c>
      <c r="K1632" s="25">
        <v>500</v>
      </c>
      <c r="L1632" s="25">
        <v>250</v>
      </c>
      <c r="M1632" s="27">
        <v>50</v>
      </c>
      <c r="N1632" s="25" t="s">
        <v>55</v>
      </c>
      <c r="O1632" s="25" t="s">
        <v>28</v>
      </c>
      <c r="P1632" s="25" t="s">
        <v>32</v>
      </c>
    </row>
    <row r="1633" spans="1:16" x14ac:dyDescent="0.3">
      <c r="A1633" s="25">
        <v>1632</v>
      </c>
      <c r="B1633" s="26">
        <v>45597</v>
      </c>
      <c r="C1633" s="25" t="s">
        <v>68</v>
      </c>
      <c r="D1633" s="25" t="s">
        <v>21</v>
      </c>
      <c r="E1633" s="25" t="s">
        <v>88</v>
      </c>
      <c r="F1633" s="25">
        <v>4</v>
      </c>
      <c r="G1633" s="25" t="s">
        <v>89</v>
      </c>
      <c r="H1633" s="25">
        <v>130</v>
      </c>
      <c r="I1633" s="25">
        <v>100</v>
      </c>
      <c r="J1633" s="25">
        <v>520</v>
      </c>
      <c r="K1633" s="25">
        <v>400</v>
      </c>
      <c r="L1633" s="25">
        <v>120</v>
      </c>
      <c r="M1633" s="27">
        <v>30</v>
      </c>
      <c r="N1633" s="25" t="s">
        <v>55</v>
      </c>
      <c r="O1633" s="25" t="s">
        <v>27</v>
      </c>
      <c r="P1633" s="25" t="s">
        <v>32</v>
      </c>
    </row>
    <row r="1634" spans="1:16" x14ac:dyDescent="0.3">
      <c r="A1634" s="25">
        <v>1633</v>
      </c>
      <c r="B1634" s="26">
        <v>45597</v>
      </c>
      <c r="C1634" s="25" t="s">
        <v>68</v>
      </c>
      <c r="D1634" s="25" t="s">
        <v>21</v>
      </c>
      <c r="E1634" s="25" t="s">
        <v>94</v>
      </c>
      <c r="F1634" s="25">
        <v>5</v>
      </c>
      <c r="G1634" s="25" t="s">
        <v>89</v>
      </c>
      <c r="H1634" s="25">
        <v>30</v>
      </c>
      <c r="I1634" s="25">
        <v>26</v>
      </c>
      <c r="J1634" s="25">
        <v>150</v>
      </c>
      <c r="K1634" s="25">
        <v>130</v>
      </c>
      <c r="L1634" s="25">
        <v>20</v>
      </c>
      <c r="M1634" s="27">
        <v>15.384615384615399</v>
      </c>
      <c r="N1634" s="25" t="s">
        <v>55</v>
      </c>
      <c r="O1634" s="25" t="s">
        <v>27</v>
      </c>
      <c r="P1634" s="25" t="s">
        <v>32</v>
      </c>
    </row>
    <row r="1635" spans="1:16" x14ac:dyDescent="0.3">
      <c r="A1635" s="25">
        <v>1634</v>
      </c>
      <c r="B1635" s="26">
        <v>45597</v>
      </c>
      <c r="C1635" s="25" t="s">
        <v>68</v>
      </c>
      <c r="D1635" s="25" t="s">
        <v>22</v>
      </c>
      <c r="E1635" s="25" t="s">
        <v>92</v>
      </c>
      <c r="F1635" s="25">
        <v>2</v>
      </c>
      <c r="G1635" s="25" t="s">
        <v>91</v>
      </c>
      <c r="H1635" s="25">
        <v>260</v>
      </c>
      <c r="I1635" s="25">
        <v>220</v>
      </c>
      <c r="J1635" s="25">
        <v>520</v>
      </c>
      <c r="K1635" s="25">
        <v>440</v>
      </c>
      <c r="L1635" s="25">
        <v>80</v>
      </c>
      <c r="M1635" s="27">
        <v>18.181818181818201</v>
      </c>
      <c r="N1635" s="25" t="s">
        <v>55</v>
      </c>
      <c r="O1635" s="25" t="s">
        <v>28</v>
      </c>
      <c r="P1635" s="25" t="s">
        <v>33</v>
      </c>
    </row>
    <row r="1636" spans="1:16" x14ac:dyDescent="0.3">
      <c r="A1636" s="25">
        <v>1635</v>
      </c>
      <c r="B1636" s="26">
        <v>45598</v>
      </c>
      <c r="C1636" s="25" t="s">
        <v>68</v>
      </c>
      <c r="D1636" s="25" t="s">
        <v>22</v>
      </c>
      <c r="E1636" s="25" t="s">
        <v>103</v>
      </c>
      <c r="F1636" s="25">
        <v>2</v>
      </c>
      <c r="G1636" s="25" t="s">
        <v>102</v>
      </c>
      <c r="H1636" s="25">
        <v>30</v>
      </c>
      <c r="I1636" s="25">
        <v>20</v>
      </c>
      <c r="J1636" s="25">
        <v>60</v>
      </c>
      <c r="K1636" s="25">
        <v>40</v>
      </c>
      <c r="L1636" s="25">
        <v>20</v>
      </c>
      <c r="M1636" s="27">
        <v>50</v>
      </c>
      <c r="N1636" s="25" t="s">
        <v>55</v>
      </c>
      <c r="O1636" s="25" t="s">
        <v>28</v>
      </c>
      <c r="P1636" s="25" t="s">
        <v>33</v>
      </c>
    </row>
    <row r="1637" spans="1:16" x14ac:dyDescent="0.3">
      <c r="A1637" s="25">
        <v>1636</v>
      </c>
      <c r="B1637" s="26">
        <v>45598</v>
      </c>
      <c r="C1637" s="25" t="s">
        <v>68</v>
      </c>
      <c r="D1637" s="25" t="s">
        <v>22</v>
      </c>
      <c r="E1637" s="25" t="s">
        <v>92</v>
      </c>
      <c r="F1637" s="25">
        <v>1</v>
      </c>
      <c r="G1637" s="25" t="s">
        <v>91</v>
      </c>
      <c r="H1637" s="25">
        <v>260</v>
      </c>
      <c r="I1637" s="25">
        <v>220</v>
      </c>
      <c r="J1637" s="25">
        <v>260</v>
      </c>
      <c r="K1637" s="25">
        <v>220</v>
      </c>
      <c r="L1637" s="25">
        <v>40</v>
      </c>
      <c r="M1637" s="27">
        <v>18.181818181818201</v>
      </c>
      <c r="N1637" s="25" t="s">
        <v>55</v>
      </c>
      <c r="O1637" s="25" t="s">
        <v>28</v>
      </c>
      <c r="P1637" s="25" t="s">
        <v>33</v>
      </c>
    </row>
    <row r="1638" spans="1:16" x14ac:dyDescent="0.3">
      <c r="A1638" s="25">
        <v>1637</v>
      </c>
      <c r="B1638" s="26">
        <v>45598</v>
      </c>
      <c r="C1638" s="25" t="s">
        <v>68</v>
      </c>
      <c r="D1638" s="25" t="s">
        <v>22</v>
      </c>
      <c r="E1638" s="25" t="s">
        <v>90</v>
      </c>
      <c r="F1638" s="25">
        <v>0.5</v>
      </c>
      <c r="G1638" s="25" t="s">
        <v>91</v>
      </c>
      <c r="H1638" s="25">
        <v>280</v>
      </c>
      <c r="I1638" s="25">
        <v>240</v>
      </c>
      <c r="J1638" s="25">
        <v>140</v>
      </c>
      <c r="K1638" s="25">
        <v>120</v>
      </c>
      <c r="L1638" s="25">
        <v>20</v>
      </c>
      <c r="M1638" s="27">
        <v>16.6666666666667</v>
      </c>
      <c r="N1638" s="25" t="s">
        <v>55</v>
      </c>
      <c r="O1638" s="25" t="s">
        <v>28</v>
      </c>
      <c r="P1638" s="25" t="s">
        <v>32</v>
      </c>
    </row>
    <row r="1639" spans="1:16" x14ac:dyDescent="0.3">
      <c r="A1639" s="25">
        <v>1638</v>
      </c>
      <c r="B1639" s="26">
        <v>45598</v>
      </c>
      <c r="C1639" s="25" t="s">
        <v>68</v>
      </c>
      <c r="D1639" s="25" t="s">
        <v>22</v>
      </c>
      <c r="E1639" s="25" t="s">
        <v>92</v>
      </c>
      <c r="F1639" s="25">
        <v>1</v>
      </c>
      <c r="G1639" s="25" t="s">
        <v>91</v>
      </c>
      <c r="H1639" s="25">
        <v>260</v>
      </c>
      <c r="I1639" s="25">
        <v>220</v>
      </c>
      <c r="J1639" s="25">
        <v>260</v>
      </c>
      <c r="K1639" s="25">
        <v>220</v>
      </c>
      <c r="L1639" s="25">
        <v>40</v>
      </c>
      <c r="M1639" s="27">
        <v>18.181818181818201</v>
      </c>
      <c r="N1639" s="25" t="s">
        <v>55</v>
      </c>
      <c r="O1639" s="25" t="s">
        <v>28</v>
      </c>
      <c r="P1639" s="25" t="s">
        <v>32</v>
      </c>
    </row>
    <row r="1640" spans="1:16" x14ac:dyDescent="0.3">
      <c r="A1640" s="25">
        <v>1639</v>
      </c>
      <c r="B1640" s="26">
        <v>45598</v>
      </c>
      <c r="C1640" s="25" t="s">
        <v>68</v>
      </c>
      <c r="D1640" s="25" t="s">
        <v>21</v>
      </c>
      <c r="E1640" s="25" t="s">
        <v>95</v>
      </c>
      <c r="F1640" s="25">
        <v>3</v>
      </c>
      <c r="G1640" s="25" t="s">
        <v>89</v>
      </c>
      <c r="H1640" s="25">
        <v>150</v>
      </c>
      <c r="I1640" s="25">
        <v>100</v>
      </c>
      <c r="J1640" s="25">
        <v>450</v>
      </c>
      <c r="K1640" s="25">
        <v>300</v>
      </c>
      <c r="L1640" s="25">
        <v>150</v>
      </c>
      <c r="M1640" s="27">
        <v>50</v>
      </c>
      <c r="N1640" s="25" t="s">
        <v>55</v>
      </c>
      <c r="O1640" s="25" t="s">
        <v>28</v>
      </c>
      <c r="P1640" s="25" t="s">
        <v>32</v>
      </c>
    </row>
    <row r="1641" spans="1:16" x14ac:dyDescent="0.3">
      <c r="A1641" s="25">
        <v>1640</v>
      </c>
      <c r="B1641" s="26">
        <v>45598</v>
      </c>
      <c r="C1641" s="25" t="s">
        <v>68</v>
      </c>
      <c r="D1641" s="25" t="s">
        <v>21</v>
      </c>
      <c r="E1641" s="25" t="s">
        <v>88</v>
      </c>
      <c r="F1641" s="25">
        <v>2</v>
      </c>
      <c r="G1641" s="25" t="s">
        <v>89</v>
      </c>
      <c r="H1641" s="25">
        <v>130</v>
      </c>
      <c r="I1641" s="25">
        <v>100</v>
      </c>
      <c r="J1641" s="25">
        <v>260</v>
      </c>
      <c r="K1641" s="25">
        <v>200</v>
      </c>
      <c r="L1641" s="25">
        <v>60</v>
      </c>
      <c r="M1641" s="27">
        <v>30</v>
      </c>
      <c r="N1641" s="25" t="s">
        <v>55</v>
      </c>
      <c r="O1641" s="25" t="s">
        <v>27</v>
      </c>
      <c r="P1641" s="25" t="s">
        <v>32</v>
      </c>
    </row>
    <row r="1642" spans="1:16" x14ac:dyDescent="0.3">
      <c r="A1642" s="25">
        <v>1641</v>
      </c>
      <c r="B1642" s="26">
        <v>45598</v>
      </c>
      <c r="C1642" s="25" t="s">
        <v>68</v>
      </c>
      <c r="D1642" s="25" t="s">
        <v>22</v>
      </c>
      <c r="E1642" s="25" t="s">
        <v>96</v>
      </c>
      <c r="F1642" s="25">
        <v>1</v>
      </c>
      <c r="G1642" s="25" t="s">
        <v>97</v>
      </c>
      <c r="H1642" s="25">
        <v>300</v>
      </c>
      <c r="I1642" s="25">
        <v>265</v>
      </c>
      <c r="J1642" s="25">
        <v>300</v>
      </c>
      <c r="K1642" s="25">
        <v>265</v>
      </c>
      <c r="L1642" s="25">
        <v>35</v>
      </c>
      <c r="M1642" s="27">
        <v>13.207547169811299</v>
      </c>
      <c r="N1642" s="25" t="s">
        <v>55</v>
      </c>
      <c r="O1642" s="25" t="s">
        <v>28</v>
      </c>
      <c r="P1642" s="25" t="s">
        <v>32</v>
      </c>
    </row>
    <row r="1643" spans="1:16" x14ac:dyDescent="0.3">
      <c r="A1643" s="25">
        <v>1642</v>
      </c>
      <c r="B1643" s="26">
        <v>45598</v>
      </c>
      <c r="C1643" s="25" t="s">
        <v>68</v>
      </c>
      <c r="D1643" s="25" t="s">
        <v>22</v>
      </c>
      <c r="E1643" s="25" t="s">
        <v>101</v>
      </c>
      <c r="F1643" s="25">
        <v>6</v>
      </c>
      <c r="G1643" s="25" t="s">
        <v>102</v>
      </c>
      <c r="H1643" s="25">
        <v>6</v>
      </c>
      <c r="I1643" s="25">
        <v>4</v>
      </c>
      <c r="J1643" s="25">
        <v>36</v>
      </c>
      <c r="K1643" s="25">
        <v>24</v>
      </c>
      <c r="L1643" s="25">
        <v>12</v>
      </c>
      <c r="M1643" s="27">
        <v>50</v>
      </c>
      <c r="N1643" s="25" t="s">
        <v>55</v>
      </c>
      <c r="O1643" s="25" t="s">
        <v>28</v>
      </c>
      <c r="P1643" s="25" t="s">
        <v>32</v>
      </c>
    </row>
    <row r="1644" spans="1:16" x14ac:dyDescent="0.3">
      <c r="A1644" s="25">
        <v>1643</v>
      </c>
      <c r="B1644" s="26">
        <v>45599</v>
      </c>
      <c r="C1644" s="25" t="s">
        <v>68</v>
      </c>
      <c r="D1644" s="25" t="s">
        <v>21</v>
      </c>
      <c r="E1644" s="25" t="s">
        <v>95</v>
      </c>
      <c r="F1644" s="25">
        <v>2</v>
      </c>
      <c r="G1644" s="25" t="s">
        <v>89</v>
      </c>
      <c r="H1644" s="25">
        <v>150</v>
      </c>
      <c r="I1644" s="25">
        <v>100</v>
      </c>
      <c r="J1644" s="25">
        <v>300</v>
      </c>
      <c r="K1644" s="25">
        <v>200</v>
      </c>
      <c r="L1644" s="25">
        <v>100</v>
      </c>
      <c r="M1644" s="27">
        <v>50</v>
      </c>
      <c r="N1644" s="25" t="s">
        <v>55</v>
      </c>
      <c r="O1644" s="25" t="s">
        <v>28</v>
      </c>
      <c r="P1644" s="25" t="s">
        <v>32</v>
      </c>
    </row>
    <row r="1645" spans="1:16" x14ac:dyDescent="0.3">
      <c r="A1645" s="25">
        <v>1644</v>
      </c>
      <c r="B1645" s="26">
        <v>45599</v>
      </c>
      <c r="C1645" s="25" t="s">
        <v>68</v>
      </c>
      <c r="D1645" s="25" t="s">
        <v>21</v>
      </c>
      <c r="E1645" s="25" t="s">
        <v>88</v>
      </c>
      <c r="F1645" s="25">
        <v>4</v>
      </c>
      <c r="G1645" s="25" t="s">
        <v>89</v>
      </c>
      <c r="H1645" s="25">
        <v>130</v>
      </c>
      <c r="I1645" s="25">
        <v>100</v>
      </c>
      <c r="J1645" s="25">
        <v>520</v>
      </c>
      <c r="K1645" s="25">
        <v>400</v>
      </c>
      <c r="L1645" s="25">
        <v>120</v>
      </c>
      <c r="M1645" s="27">
        <v>30</v>
      </c>
      <c r="N1645" s="25" t="s">
        <v>55</v>
      </c>
      <c r="O1645" s="25" t="s">
        <v>27</v>
      </c>
      <c r="P1645" s="25" t="s">
        <v>32</v>
      </c>
    </row>
    <row r="1646" spans="1:16" x14ac:dyDescent="0.3">
      <c r="A1646" s="25">
        <v>1645</v>
      </c>
      <c r="B1646" s="26">
        <v>45599</v>
      </c>
      <c r="C1646" s="25" t="s">
        <v>68</v>
      </c>
      <c r="D1646" s="25" t="s">
        <v>22</v>
      </c>
      <c r="E1646" s="25" t="s">
        <v>96</v>
      </c>
      <c r="F1646" s="25">
        <v>1</v>
      </c>
      <c r="G1646" s="25" t="s">
        <v>97</v>
      </c>
      <c r="H1646" s="25">
        <v>300</v>
      </c>
      <c r="I1646" s="25">
        <v>265</v>
      </c>
      <c r="J1646" s="25">
        <v>300</v>
      </c>
      <c r="K1646" s="25">
        <v>265</v>
      </c>
      <c r="L1646" s="25">
        <v>35</v>
      </c>
      <c r="M1646" s="27">
        <v>13.207547169811299</v>
      </c>
      <c r="N1646" s="25" t="s">
        <v>55</v>
      </c>
      <c r="O1646" s="25" t="s">
        <v>28</v>
      </c>
      <c r="P1646" s="25" t="s">
        <v>33</v>
      </c>
    </row>
    <row r="1647" spans="1:16" x14ac:dyDescent="0.3">
      <c r="A1647" s="25">
        <v>1646</v>
      </c>
      <c r="B1647" s="26">
        <v>45599</v>
      </c>
      <c r="C1647" s="25" t="s">
        <v>68</v>
      </c>
      <c r="D1647" s="25" t="s">
        <v>22</v>
      </c>
      <c r="E1647" s="25" t="s">
        <v>92</v>
      </c>
      <c r="F1647" s="25">
        <v>1</v>
      </c>
      <c r="G1647" s="25" t="s">
        <v>91</v>
      </c>
      <c r="H1647" s="25">
        <v>260</v>
      </c>
      <c r="I1647" s="25">
        <v>220</v>
      </c>
      <c r="J1647" s="25">
        <v>260</v>
      </c>
      <c r="K1647" s="25">
        <v>220</v>
      </c>
      <c r="L1647" s="25">
        <v>40</v>
      </c>
      <c r="M1647" s="27">
        <v>18.181818181818201</v>
      </c>
      <c r="N1647" s="25" t="s">
        <v>55</v>
      </c>
      <c r="O1647" s="25" t="s">
        <v>28</v>
      </c>
      <c r="P1647" s="25" t="s">
        <v>33</v>
      </c>
    </row>
    <row r="1648" spans="1:16" x14ac:dyDescent="0.3">
      <c r="A1648" s="25">
        <v>1647</v>
      </c>
      <c r="B1648" s="26">
        <v>45599</v>
      </c>
      <c r="C1648" s="25" t="s">
        <v>68</v>
      </c>
      <c r="D1648" s="25" t="s">
        <v>22</v>
      </c>
      <c r="E1648" s="25" t="s">
        <v>90</v>
      </c>
      <c r="F1648" s="25">
        <v>2</v>
      </c>
      <c r="G1648" s="25" t="s">
        <v>91</v>
      </c>
      <c r="H1648" s="25">
        <v>280</v>
      </c>
      <c r="I1648" s="25">
        <v>240</v>
      </c>
      <c r="J1648" s="25">
        <v>560</v>
      </c>
      <c r="K1648" s="25">
        <v>480</v>
      </c>
      <c r="L1648" s="25">
        <v>80</v>
      </c>
      <c r="M1648" s="27">
        <v>16.6666666666667</v>
      </c>
      <c r="N1648" s="25" t="s">
        <v>55</v>
      </c>
      <c r="O1648" s="25" t="s">
        <v>28</v>
      </c>
      <c r="P1648" s="25" t="s">
        <v>32</v>
      </c>
    </row>
    <row r="1649" spans="1:16" x14ac:dyDescent="0.3">
      <c r="A1649" s="25">
        <v>1648</v>
      </c>
      <c r="B1649" s="26">
        <v>45599</v>
      </c>
      <c r="C1649" s="25" t="s">
        <v>68</v>
      </c>
      <c r="D1649" s="25" t="s">
        <v>22</v>
      </c>
      <c r="E1649" s="25" t="s">
        <v>103</v>
      </c>
      <c r="F1649" s="25">
        <v>1</v>
      </c>
      <c r="G1649" s="25" t="s">
        <v>102</v>
      </c>
      <c r="H1649" s="25">
        <v>30</v>
      </c>
      <c r="I1649" s="25">
        <v>20</v>
      </c>
      <c r="J1649" s="25">
        <v>30</v>
      </c>
      <c r="K1649" s="25">
        <v>20</v>
      </c>
      <c r="L1649" s="25">
        <v>10</v>
      </c>
      <c r="M1649" s="27">
        <v>50</v>
      </c>
      <c r="N1649" s="25" t="s">
        <v>55</v>
      </c>
      <c r="O1649" s="25" t="s">
        <v>28</v>
      </c>
      <c r="P1649" s="25" t="s">
        <v>32</v>
      </c>
    </row>
    <row r="1650" spans="1:16" x14ac:dyDescent="0.3">
      <c r="A1650" s="25">
        <v>1649</v>
      </c>
      <c r="B1650" s="26">
        <v>45600</v>
      </c>
      <c r="C1650" s="25" t="s">
        <v>68</v>
      </c>
      <c r="D1650" s="25" t="s">
        <v>21</v>
      </c>
      <c r="E1650" s="25" t="s">
        <v>88</v>
      </c>
      <c r="F1650" s="25">
        <v>2</v>
      </c>
      <c r="G1650" s="25" t="s">
        <v>89</v>
      </c>
      <c r="H1650" s="25">
        <v>130</v>
      </c>
      <c r="I1650" s="25">
        <v>100</v>
      </c>
      <c r="J1650" s="25">
        <v>260</v>
      </c>
      <c r="K1650" s="25">
        <v>200</v>
      </c>
      <c r="L1650" s="25">
        <v>60</v>
      </c>
      <c r="M1650" s="27">
        <v>30</v>
      </c>
      <c r="N1650" s="25" t="s">
        <v>55</v>
      </c>
      <c r="O1650" s="25" t="s">
        <v>27</v>
      </c>
      <c r="P1650" s="25" t="s">
        <v>33</v>
      </c>
    </row>
    <row r="1651" spans="1:16" x14ac:dyDescent="0.3">
      <c r="A1651" s="25">
        <v>1650</v>
      </c>
      <c r="B1651" s="26">
        <v>45600</v>
      </c>
      <c r="C1651" s="25" t="s">
        <v>68</v>
      </c>
      <c r="D1651" s="25" t="s">
        <v>22</v>
      </c>
      <c r="E1651" s="25" t="s">
        <v>92</v>
      </c>
      <c r="F1651" s="25">
        <v>0.25</v>
      </c>
      <c r="G1651" s="25" t="s">
        <v>91</v>
      </c>
      <c r="H1651" s="25">
        <v>260</v>
      </c>
      <c r="I1651" s="25">
        <v>220</v>
      </c>
      <c r="J1651" s="25">
        <v>65</v>
      </c>
      <c r="K1651" s="25">
        <v>55</v>
      </c>
      <c r="L1651" s="25">
        <v>10</v>
      </c>
      <c r="M1651" s="27">
        <v>18.181818181818201</v>
      </c>
      <c r="N1651" s="25" t="s">
        <v>55</v>
      </c>
      <c r="O1651" s="25" t="s">
        <v>28</v>
      </c>
      <c r="P1651" s="25" t="s">
        <v>33</v>
      </c>
    </row>
    <row r="1652" spans="1:16" x14ac:dyDescent="0.3">
      <c r="A1652" s="25">
        <v>1651</v>
      </c>
      <c r="B1652" s="26">
        <v>45600</v>
      </c>
      <c r="C1652" s="25" t="s">
        <v>68</v>
      </c>
      <c r="D1652" s="25" t="s">
        <v>22</v>
      </c>
      <c r="E1652" s="25" t="s">
        <v>92</v>
      </c>
      <c r="F1652" s="25">
        <v>0.5</v>
      </c>
      <c r="G1652" s="25" t="s">
        <v>91</v>
      </c>
      <c r="H1652" s="25">
        <v>260</v>
      </c>
      <c r="I1652" s="25">
        <v>220</v>
      </c>
      <c r="J1652" s="25">
        <v>130</v>
      </c>
      <c r="K1652" s="25">
        <v>110</v>
      </c>
      <c r="L1652" s="25">
        <v>20</v>
      </c>
      <c r="M1652" s="27">
        <v>18.181818181818201</v>
      </c>
      <c r="N1652" s="25" t="s">
        <v>55</v>
      </c>
      <c r="O1652" s="25" t="s">
        <v>28</v>
      </c>
      <c r="P1652" s="25" t="s">
        <v>32</v>
      </c>
    </row>
    <row r="1653" spans="1:16" x14ac:dyDescent="0.3">
      <c r="A1653" s="25">
        <v>1652</v>
      </c>
      <c r="B1653" s="26">
        <v>45600</v>
      </c>
      <c r="C1653" s="25" t="s">
        <v>68</v>
      </c>
      <c r="D1653" s="25" t="s">
        <v>22</v>
      </c>
      <c r="E1653" s="25" t="s">
        <v>90</v>
      </c>
      <c r="F1653" s="25">
        <v>2</v>
      </c>
      <c r="G1653" s="25" t="s">
        <v>91</v>
      </c>
      <c r="H1653" s="25">
        <v>280</v>
      </c>
      <c r="I1653" s="25">
        <v>240</v>
      </c>
      <c r="J1653" s="25">
        <v>560</v>
      </c>
      <c r="K1653" s="25">
        <v>480</v>
      </c>
      <c r="L1653" s="25">
        <v>80</v>
      </c>
      <c r="M1653" s="27">
        <v>16.6666666666667</v>
      </c>
      <c r="N1653" s="25" t="s">
        <v>55</v>
      </c>
      <c r="O1653" s="25" t="s">
        <v>28</v>
      </c>
      <c r="P1653" s="25" t="s">
        <v>33</v>
      </c>
    </row>
    <row r="1654" spans="1:16" x14ac:dyDescent="0.3">
      <c r="A1654" s="25">
        <v>1653</v>
      </c>
      <c r="B1654" s="26">
        <v>45600</v>
      </c>
      <c r="C1654" s="25" t="s">
        <v>68</v>
      </c>
      <c r="D1654" s="25" t="s">
        <v>22</v>
      </c>
      <c r="E1654" s="25" t="s">
        <v>96</v>
      </c>
      <c r="F1654" s="25">
        <v>1</v>
      </c>
      <c r="G1654" s="25" t="s">
        <v>97</v>
      </c>
      <c r="H1654" s="25">
        <v>300</v>
      </c>
      <c r="I1654" s="25">
        <v>265</v>
      </c>
      <c r="J1654" s="25">
        <v>300</v>
      </c>
      <c r="K1654" s="25">
        <v>265</v>
      </c>
      <c r="L1654" s="25">
        <v>35</v>
      </c>
      <c r="M1654" s="27">
        <v>13.207547169811299</v>
      </c>
      <c r="N1654" s="25" t="s">
        <v>55</v>
      </c>
      <c r="O1654" s="25" t="s">
        <v>28</v>
      </c>
      <c r="P1654" s="25" t="s">
        <v>33</v>
      </c>
    </row>
    <row r="1655" spans="1:16" x14ac:dyDescent="0.3">
      <c r="A1655" s="25">
        <v>1654</v>
      </c>
      <c r="B1655" s="26">
        <v>45600</v>
      </c>
      <c r="C1655" s="25" t="s">
        <v>68</v>
      </c>
      <c r="D1655" s="25" t="s">
        <v>22</v>
      </c>
      <c r="E1655" s="25" t="s">
        <v>103</v>
      </c>
      <c r="F1655" s="25">
        <v>2</v>
      </c>
      <c r="G1655" s="25" t="s">
        <v>102</v>
      </c>
      <c r="H1655" s="25">
        <v>30</v>
      </c>
      <c r="I1655" s="25">
        <v>20</v>
      </c>
      <c r="J1655" s="25">
        <v>60</v>
      </c>
      <c r="K1655" s="25">
        <v>40</v>
      </c>
      <c r="L1655" s="25">
        <v>20</v>
      </c>
      <c r="M1655" s="27">
        <v>50</v>
      </c>
      <c r="N1655" s="25" t="s">
        <v>55</v>
      </c>
      <c r="O1655" s="25" t="s">
        <v>28</v>
      </c>
      <c r="P1655" s="25" t="s">
        <v>32</v>
      </c>
    </row>
    <row r="1656" spans="1:16" x14ac:dyDescent="0.3">
      <c r="A1656" s="25">
        <v>1655</v>
      </c>
      <c r="B1656" s="26">
        <v>45601</v>
      </c>
      <c r="C1656" s="25" t="s">
        <v>68</v>
      </c>
      <c r="D1656" s="25" t="s">
        <v>22</v>
      </c>
      <c r="E1656" s="25" t="s">
        <v>101</v>
      </c>
      <c r="F1656" s="25">
        <v>6</v>
      </c>
      <c r="G1656" s="25" t="s">
        <v>102</v>
      </c>
      <c r="H1656" s="25">
        <v>6</v>
      </c>
      <c r="I1656" s="25">
        <v>4</v>
      </c>
      <c r="J1656" s="25">
        <v>36</v>
      </c>
      <c r="K1656" s="25">
        <v>24</v>
      </c>
      <c r="L1656" s="25">
        <v>12</v>
      </c>
      <c r="M1656" s="27">
        <v>50</v>
      </c>
      <c r="N1656" s="25" t="s">
        <v>55</v>
      </c>
      <c r="O1656" s="25" t="s">
        <v>28</v>
      </c>
      <c r="P1656" s="25" t="s">
        <v>32</v>
      </c>
    </row>
    <row r="1657" spans="1:16" x14ac:dyDescent="0.3">
      <c r="A1657" s="25">
        <v>1656</v>
      </c>
      <c r="B1657" s="26">
        <v>45601</v>
      </c>
      <c r="C1657" s="25" t="s">
        <v>68</v>
      </c>
      <c r="D1657" s="25" t="s">
        <v>22</v>
      </c>
      <c r="E1657" s="25" t="s">
        <v>92</v>
      </c>
      <c r="F1657" s="25">
        <v>1</v>
      </c>
      <c r="G1657" s="25" t="s">
        <v>91</v>
      </c>
      <c r="H1657" s="25">
        <v>260</v>
      </c>
      <c r="I1657" s="25">
        <v>220</v>
      </c>
      <c r="J1657" s="25">
        <v>260</v>
      </c>
      <c r="K1657" s="25">
        <v>220</v>
      </c>
      <c r="L1657" s="25">
        <v>40</v>
      </c>
      <c r="M1657" s="27">
        <v>18.181818181818201</v>
      </c>
      <c r="N1657" s="25" t="s">
        <v>55</v>
      </c>
      <c r="O1657" s="25" t="s">
        <v>28</v>
      </c>
      <c r="P1657" s="25" t="s">
        <v>32</v>
      </c>
    </row>
    <row r="1658" spans="1:16" x14ac:dyDescent="0.3">
      <c r="A1658" s="25">
        <v>1657</v>
      </c>
      <c r="B1658" s="26">
        <v>45601</v>
      </c>
      <c r="C1658" s="25" t="s">
        <v>68</v>
      </c>
      <c r="D1658" s="25" t="s">
        <v>21</v>
      </c>
      <c r="E1658" s="25" t="s">
        <v>88</v>
      </c>
      <c r="F1658" s="25">
        <v>3</v>
      </c>
      <c r="G1658" s="25" t="s">
        <v>89</v>
      </c>
      <c r="H1658" s="25">
        <v>130</v>
      </c>
      <c r="I1658" s="25">
        <v>100</v>
      </c>
      <c r="J1658" s="25">
        <v>390</v>
      </c>
      <c r="K1658" s="25">
        <v>300</v>
      </c>
      <c r="L1658" s="25">
        <v>90</v>
      </c>
      <c r="M1658" s="27">
        <v>30</v>
      </c>
      <c r="N1658" s="25" t="s">
        <v>55</v>
      </c>
      <c r="O1658" s="25" t="s">
        <v>27</v>
      </c>
      <c r="P1658" s="25" t="s">
        <v>32</v>
      </c>
    </row>
    <row r="1659" spans="1:16" x14ac:dyDescent="0.3">
      <c r="A1659" s="25">
        <v>1658</v>
      </c>
      <c r="B1659" s="26">
        <v>45601</v>
      </c>
      <c r="C1659" s="25" t="s">
        <v>68</v>
      </c>
      <c r="D1659" s="25" t="s">
        <v>22</v>
      </c>
      <c r="E1659" s="25" t="s">
        <v>96</v>
      </c>
      <c r="F1659" s="25">
        <v>1</v>
      </c>
      <c r="G1659" s="25" t="s">
        <v>97</v>
      </c>
      <c r="H1659" s="25">
        <v>300</v>
      </c>
      <c r="I1659" s="25">
        <v>265</v>
      </c>
      <c r="J1659" s="25">
        <v>300</v>
      </c>
      <c r="K1659" s="25">
        <v>265</v>
      </c>
      <c r="L1659" s="25">
        <v>35</v>
      </c>
      <c r="M1659" s="27">
        <v>13.207547169811299</v>
      </c>
      <c r="N1659" s="25" t="s">
        <v>55</v>
      </c>
      <c r="O1659" s="25" t="s">
        <v>28</v>
      </c>
      <c r="P1659" s="25" t="s">
        <v>32</v>
      </c>
    </row>
    <row r="1660" spans="1:16" x14ac:dyDescent="0.3">
      <c r="A1660" s="25">
        <v>1659</v>
      </c>
      <c r="B1660" s="26">
        <v>45601</v>
      </c>
      <c r="C1660" s="25" t="s">
        <v>68</v>
      </c>
      <c r="D1660" s="25" t="s">
        <v>22</v>
      </c>
      <c r="E1660" s="25" t="s">
        <v>96</v>
      </c>
      <c r="F1660" s="25">
        <v>1</v>
      </c>
      <c r="G1660" s="25" t="s">
        <v>97</v>
      </c>
      <c r="H1660" s="25">
        <v>300</v>
      </c>
      <c r="I1660" s="25">
        <v>265</v>
      </c>
      <c r="J1660" s="25">
        <v>300</v>
      </c>
      <c r="K1660" s="25">
        <v>265</v>
      </c>
      <c r="L1660" s="25">
        <v>35</v>
      </c>
      <c r="M1660" s="27">
        <v>13.207547169811299</v>
      </c>
      <c r="N1660" s="25" t="s">
        <v>55</v>
      </c>
      <c r="O1660" s="25" t="s">
        <v>28</v>
      </c>
      <c r="P1660" s="25" t="s">
        <v>32</v>
      </c>
    </row>
    <row r="1661" spans="1:16" x14ac:dyDescent="0.3">
      <c r="A1661" s="25">
        <v>1660</v>
      </c>
      <c r="B1661" s="26">
        <v>45601</v>
      </c>
      <c r="C1661" s="25" t="s">
        <v>68</v>
      </c>
      <c r="D1661" s="25" t="s">
        <v>22</v>
      </c>
      <c r="E1661" s="25" t="s">
        <v>92</v>
      </c>
      <c r="F1661" s="25">
        <v>2.5</v>
      </c>
      <c r="G1661" s="25" t="s">
        <v>91</v>
      </c>
      <c r="H1661" s="25">
        <v>260</v>
      </c>
      <c r="I1661" s="25">
        <v>220</v>
      </c>
      <c r="J1661" s="25">
        <v>650</v>
      </c>
      <c r="K1661" s="25">
        <v>550</v>
      </c>
      <c r="L1661" s="25">
        <v>100</v>
      </c>
      <c r="M1661" s="27">
        <v>18.181818181818201</v>
      </c>
      <c r="N1661" s="25" t="s">
        <v>55</v>
      </c>
      <c r="O1661" s="25" t="s">
        <v>28</v>
      </c>
      <c r="P1661" s="25" t="s">
        <v>32</v>
      </c>
    </row>
    <row r="1662" spans="1:16" x14ac:dyDescent="0.3">
      <c r="A1662" s="25">
        <v>1661</v>
      </c>
      <c r="B1662" s="26">
        <v>45601</v>
      </c>
      <c r="C1662" s="25" t="s">
        <v>68</v>
      </c>
      <c r="D1662" s="25" t="s">
        <v>22</v>
      </c>
      <c r="E1662" s="25" t="s">
        <v>90</v>
      </c>
      <c r="F1662" s="25">
        <v>0.25</v>
      </c>
      <c r="G1662" s="25" t="s">
        <v>91</v>
      </c>
      <c r="H1662" s="25">
        <v>280</v>
      </c>
      <c r="I1662" s="25">
        <v>240</v>
      </c>
      <c r="J1662" s="25">
        <v>70</v>
      </c>
      <c r="K1662" s="25">
        <v>60</v>
      </c>
      <c r="L1662" s="25">
        <v>10</v>
      </c>
      <c r="M1662" s="27">
        <v>16.6666666666667</v>
      </c>
      <c r="N1662" s="25" t="s">
        <v>55</v>
      </c>
      <c r="O1662" s="25" t="s">
        <v>28</v>
      </c>
      <c r="P1662" s="25" t="s">
        <v>32</v>
      </c>
    </row>
    <row r="1663" spans="1:16" x14ac:dyDescent="0.3">
      <c r="A1663" s="25">
        <v>1662</v>
      </c>
      <c r="B1663" s="26">
        <v>45601</v>
      </c>
      <c r="C1663" s="25" t="s">
        <v>68</v>
      </c>
      <c r="D1663" s="25" t="s">
        <v>22</v>
      </c>
      <c r="E1663" s="25" t="s">
        <v>92</v>
      </c>
      <c r="F1663" s="25">
        <v>1</v>
      </c>
      <c r="G1663" s="25" t="s">
        <v>91</v>
      </c>
      <c r="H1663" s="25">
        <v>260</v>
      </c>
      <c r="I1663" s="25">
        <v>220</v>
      </c>
      <c r="J1663" s="25">
        <v>260</v>
      </c>
      <c r="K1663" s="25">
        <v>220</v>
      </c>
      <c r="L1663" s="25">
        <v>40</v>
      </c>
      <c r="M1663" s="27">
        <v>18.181818181818201</v>
      </c>
      <c r="N1663" s="25" t="s">
        <v>55</v>
      </c>
      <c r="O1663" s="25" t="s">
        <v>28</v>
      </c>
      <c r="P1663" s="25" t="s">
        <v>32</v>
      </c>
    </row>
    <row r="1664" spans="1:16" x14ac:dyDescent="0.3">
      <c r="A1664" s="25">
        <v>1663</v>
      </c>
      <c r="B1664" s="26">
        <v>45602</v>
      </c>
      <c r="C1664" s="25" t="s">
        <v>68</v>
      </c>
      <c r="D1664" s="25" t="s">
        <v>22</v>
      </c>
      <c r="E1664" s="25" t="s">
        <v>103</v>
      </c>
      <c r="F1664" s="25">
        <v>2</v>
      </c>
      <c r="G1664" s="25" t="s">
        <v>102</v>
      </c>
      <c r="H1664" s="25">
        <v>30</v>
      </c>
      <c r="I1664" s="25">
        <v>20</v>
      </c>
      <c r="J1664" s="25">
        <v>60</v>
      </c>
      <c r="K1664" s="25">
        <v>40</v>
      </c>
      <c r="L1664" s="25">
        <v>20</v>
      </c>
      <c r="M1664" s="27">
        <v>50</v>
      </c>
      <c r="N1664" s="25" t="s">
        <v>55</v>
      </c>
      <c r="O1664" s="25" t="s">
        <v>28</v>
      </c>
      <c r="P1664" s="25" t="s">
        <v>33</v>
      </c>
    </row>
    <row r="1665" spans="1:16" x14ac:dyDescent="0.3">
      <c r="A1665" s="25">
        <v>1664</v>
      </c>
      <c r="B1665" s="26">
        <v>45602</v>
      </c>
      <c r="C1665" s="25" t="s">
        <v>68</v>
      </c>
      <c r="D1665" s="25" t="s">
        <v>22</v>
      </c>
      <c r="E1665" s="25" t="s">
        <v>101</v>
      </c>
      <c r="F1665" s="25">
        <v>12</v>
      </c>
      <c r="G1665" s="25" t="s">
        <v>102</v>
      </c>
      <c r="H1665" s="25">
        <v>6</v>
      </c>
      <c r="I1665" s="25">
        <v>4</v>
      </c>
      <c r="J1665" s="25">
        <v>72</v>
      </c>
      <c r="K1665" s="25">
        <v>48</v>
      </c>
      <c r="L1665" s="25">
        <v>24</v>
      </c>
      <c r="M1665" s="27">
        <v>50</v>
      </c>
      <c r="N1665" s="25" t="s">
        <v>55</v>
      </c>
      <c r="O1665" s="25" t="s">
        <v>28</v>
      </c>
      <c r="P1665" s="25" t="s">
        <v>33</v>
      </c>
    </row>
    <row r="1666" spans="1:16" x14ac:dyDescent="0.3">
      <c r="A1666" s="25">
        <v>1665</v>
      </c>
      <c r="B1666" s="26">
        <v>45602</v>
      </c>
      <c r="C1666" s="25" t="s">
        <v>68</v>
      </c>
      <c r="D1666" s="25" t="s">
        <v>22</v>
      </c>
      <c r="E1666" s="25" t="s">
        <v>99</v>
      </c>
      <c r="F1666" s="25">
        <v>1</v>
      </c>
      <c r="G1666" s="25" t="s">
        <v>100</v>
      </c>
      <c r="H1666" s="25">
        <v>200</v>
      </c>
      <c r="I1666" s="25">
        <v>160</v>
      </c>
      <c r="J1666" s="25">
        <v>200</v>
      </c>
      <c r="K1666" s="25">
        <v>160</v>
      </c>
      <c r="L1666" s="25">
        <v>40</v>
      </c>
      <c r="M1666" s="27">
        <v>25</v>
      </c>
      <c r="N1666" s="25" t="s">
        <v>55</v>
      </c>
      <c r="O1666" s="25" t="s">
        <v>28</v>
      </c>
      <c r="P1666" s="25" t="s">
        <v>32</v>
      </c>
    </row>
    <row r="1667" spans="1:16" x14ac:dyDescent="0.3">
      <c r="A1667" s="25">
        <v>1666</v>
      </c>
      <c r="B1667" s="26">
        <v>45602</v>
      </c>
      <c r="C1667" s="25" t="s">
        <v>68</v>
      </c>
      <c r="D1667" s="25" t="s">
        <v>22</v>
      </c>
      <c r="E1667" s="25" t="s">
        <v>101</v>
      </c>
      <c r="F1667" s="25">
        <v>6</v>
      </c>
      <c r="G1667" s="25" t="s">
        <v>102</v>
      </c>
      <c r="H1667" s="25">
        <v>6</v>
      </c>
      <c r="I1667" s="25">
        <v>4</v>
      </c>
      <c r="J1667" s="25">
        <v>36</v>
      </c>
      <c r="K1667" s="25">
        <v>24</v>
      </c>
      <c r="L1667" s="25">
        <v>12</v>
      </c>
      <c r="M1667" s="27">
        <v>50</v>
      </c>
      <c r="N1667" s="25" t="s">
        <v>55</v>
      </c>
      <c r="O1667" s="25" t="s">
        <v>28</v>
      </c>
      <c r="P1667" s="25" t="s">
        <v>32</v>
      </c>
    </row>
    <row r="1668" spans="1:16" x14ac:dyDescent="0.3">
      <c r="A1668" s="25">
        <v>1667</v>
      </c>
      <c r="B1668" s="26">
        <v>45602</v>
      </c>
      <c r="C1668" s="25" t="s">
        <v>68</v>
      </c>
      <c r="D1668" s="25" t="s">
        <v>22</v>
      </c>
      <c r="E1668" s="25" t="s">
        <v>103</v>
      </c>
      <c r="F1668" s="25">
        <v>2</v>
      </c>
      <c r="G1668" s="25" t="s">
        <v>102</v>
      </c>
      <c r="H1668" s="25">
        <v>30</v>
      </c>
      <c r="I1668" s="25">
        <v>20</v>
      </c>
      <c r="J1668" s="25">
        <v>60</v>
      </c>
      <c r="K1668" s="25">
        <v>40</v>
      </c>
      <c r="L1668" s="25">
        <v>20</v>
      </c>
      <c r="M1668" s="27">
        <v>50</v>
      </c>
      <c r="N1668" s="25" t="s">
        <v>55</v>
      </c>
      <c r="O1668" s="25" t="s">
        <v>28</v>
      </c>
      <c r="P1668" s="25" t="s">
        <v>32</v>
      </c>
    </row>
    <row r="1669" spans="1:16" x14ac:dyDescent="0.3">
      <c r="A1669" s="25">
        <v>1668</v>
      </c>
      <c r="B1669" s="26">
        <v>45602</v>
      </c>
      <c r="C1669" s="25" t="s">
        <v>68</v>
      </c>
      <c r="D1669" s="25" t="s">
        <v>22</v>
      </c>
      <c r="E1669" s="25" t="s">
        <v>92</v>
      </c>
      <c r="F1669" s="25">
        <v>1.5</v>
      </c>
      <c r="G1669" s="25" t="s">
        <v>91</v>
      </c>
      <c r="H1669" s="25">
        <v>260</v>
      </c>
      <c r="I1669" s="25">
        <v>220</v>
      </c>
      <c r="J1669" s="25">
        <v>390</v>
      </c>
      <c r="K1669" s="25">
        <v>330</v>
      </c>
      <c r="L1669" s="25">
        <v>60</v>
      </c>
      <c r="M1669" s="27">
        <v>18.181818181818201</v>
      </c>
      <c r="N1669" s="25" t="s">
        <v>55</v>
      </c>
      <c r="O1669" s="25" t="s">
        <v>28</v>
      </c>
      <c r="P1669" s="25" t="s">
        <v>32</v>
      </c>
    </row>
    <row r="1670" spans="1:16" x14ac:dyDescent="0.3">
      <c r="A1670" s="25">
        <v>1669</v>
      </c>
      <c r="B1670" s="26">
        <v>45603</v>
      </c>
      <c r="C1670" s="25" t="s">
        <v>68</v>
      </c>
      <c r="D1670" s="25" t="s">
        <v>22</v>
      </c>
      <c r="E1670" s="25" t="s">
        <v>90</v>
      </c>
      <c r="F1670" s="25">
        <v>1.25</v>
      </c>
      <c r="G1670" s="25" t="s">
        <v>91</v>
      </c>
      <c r="H1670" s="25">
        <v>280</v>
      </c>
      <c r="I1670" s="25">
        <v>240</v>
      </c>
      <c r="J1670" s="25">
        <v>350</v>
      </c>
      <c r="K1670" s="25">
        <v>300</v>
      </c>
      <c r="L1670" s="25">
        <v>50</v>
      </c>
      <c r="M1670" s="27">
        <v>16.6666666666667</v>
      </c>
      <c r="N1670" s="25" t="s">
        <v>55</v>
      </c>
      <c r="O1670" s="25" t="s">
        <v>28</v>
      </c>
      <c r="P1670" s="25" t="s">
        <v>32</v>
      </c>
    </row>
    <row r="1671" spans="1:16" x14ac:dyDescent="0.3">
      <c r="A1671" s="25">
        <v>1670</v>
      </c>
      <c r="B1671" s="26">
        <v>45603</v>
      </c>
      <c r="C1671" s="25" t="s">
        <v>68</v>
      </c>
      <c r="D1671" s="25" t="s">
        <v>21</v>
      </c>
      <c r="E1671" s="25" t="s">
        <v>88</v>
      </c>
      <c r="F1671" s="25">
        <v>2</v>
      </c>
      <c r="G1671" s="25" t="s">
        <v>89</v>
      </c>
      <c r="H1671" s="25">
        <v>130</v>
      </c>
      <c r="I1671" s="25">
        <v>100</v>
      </c>
      <c r="J1671" s="25">
        <v>260</v>
      </c>
      <c r="K1671" s="25">
        <v>200</v>
      </c>
      <c r="L1671" s="25">
        <v>60</v>
      </c>
      <c r="M1671" s="27">
        <v>30</v>
      </c>
      <c r="N1671" s="25" t="s">
        <v>55</v>
      </c>
      <c r="O1671" s="25" t="s">
        <v>27</v>
      </c>
      <c r="P1671" s="25" t="s">
        <v>32</v>
      </c>
    </row>
    <row r="1672" spans="1:16" x14ac:dyDescent="0.3">
      <c r="A1672" s="25">
        <v>1671</v>
      </c>
      <c r="B1672" s="26">
        <v>45603</v>
      </c>
      <c r="C1672" s="25" t="s">
        <v>68</v>
      </c>
      <c r="D1672" s="25" t="s">
        <v>21</v>
      </c>
      <c r="E1672" s="25" t="s">
        <v>94</v>
      </c>
      <c r="F1672" s="25">
        <v>15</v>
      </c>
      <c r="G1672" s="25" t="s">
        <v>89</v>
      </c>
      <c r="H1672" s="25">
        <v>30</v>
      </c>
      <c r="I1672" s="25">
        <v>26</v>
      </c>
      <c r="J1672" s="25">
        <v>450</v>
      </c>
      <c r="K1672" s="25">
        <v>390</v>
      </c>
      <c r="L1672" s="25">
        <v>60</v>
      </c>
      <c r="M1672" s="27">
        <v>15.384615384615399</v>
      </c>
      <c r="N1672" s="25" t="s">
        <v>55</v>
      </c>
      <c r="O1672" s="25" t="s">
        <v>27</v>
      </c>
      <c r="P1672" s="25" t="s">
        <v>32</v>
      </c>
    </row>
    <row r="1673" spans="1:16" x14ac:dyDescent="0.3">
      <c r="A1673" s="25">
        <v>1672</v>
      </c>
      <c r="B1673" s="26">
        <v>45603</v>
      </c>
      <c r="C1673" s="25" t="s">
        <v>68</v>
      </c>
      <c r="D1673" s="25" t="s">
        <v>22</v>
      </c>
      <c r="E1673" s="25" t="s">
        <v>99</v>
      </c>
      <c r="F1673" s="25">
        <v>1</v>
      </c>
      <c r="G1673" s="25" t="s">
        <v>100</v>
      </c>
      <c r="H1673" s="25">
        <v>200</v>
      </c>
      <c r="I1673" s="25">
        <v>160</v>
      </c>
      <c r="J1673" s="25">
        <v>200</v>
      </c>
      <c r="K1673" s="25">
        <v>160</v>
      </c>
      <c r="L1673" s="25">
        <v>40</v>
      </c>
      <c r="M1673" s="27">
        <v>25</v>
      </c>
      <c r="N1673" s="25" t="s">
        <v>55</v>
      </c>
      <c r="O1673" s="25" t="s">
        <v>28</v>
      </c>
      <c r="P1673" s="25" t="s">
        <v>32</v>
      </c>
    </row>
    <row r="1674" spans="1:16" x14ac:dyDescent="0.3">
      <c r="A1674" s="25">
        <v>1673</v>
      </c>
      <c r="B1674" s="26">
        <v>45603</v>
      </c>
      <c r="C1674" s="25" t="s">
        <v>68</v>
      </c>
      <c r="D1674" s="25" t="s">
        <v>22</v>
      </c>
      <c r="E1674" s="25" t="s">
        <v>92</v>
      </c>
      <c r="F1674" s="25">
        <v>1</v>
      </c>
      <c r="G1674" s="25" t="s">
        <v>91</v>
      </c>
      <c r="H1674" s="25">
        <v>260</v>
      </c>
      <c r="I1674" s="25">
        <v>220</v>
      </c>
      <c r="J1674" s="25">
        <v>260</v>
      </c>
      <c r="K1674" s="25">
        <v>220</v>
      </c>
      <c r="L1674" s="25">
        <v>40</v>
      </c>
      <c r="M1674" s="27">
        <v>18.181818181818201</v>
      </c>
      <c r="N1674" s="25" t="s">
        <v>55</v>
      </c>
      <c r="O1674" s="25" t="s">
        <v>28</v>
      </c>
      <c r="P1674" s="25" t="s">
        <v>32</v>
      </c>
    </row>
    <row r="1675" spans="1:16" x14ac:dyDescent="0.3">
      <c r="A1675" s="25">
        <v>1674</v>
      </c>
      <c r="B1675" s="26">
        <v>45603</v>
      </c>
      <c r="C1675" s="25" t="s">
        <v>68</v>
      </c>
      <c r="D1675" s="25" t="s">
        <v>22</v>
      </c>
      <c r="E1675" s="25" t="s">
        <v>90</v>
      </c>
      <c r="F1675" s="25">
        <v>2</v>
      </c>
      <c r="G1675" s="25" t="s">
        <v>91</v>
      </c>
      <c r="H1675" s="25">
        <v>280</v>
      </c>
      <c r="I1675" s="25">
        <v>240</v>
      </c>
      <c r="J1675" s="25">
        <v>560</v>
      </c>
      <c r="K1675" s="25">
        <v>480</v>
      </c>
      <c r="L1675" s="25">
        <v>80</v>
      </c>
      <c r="M1675" s="27">
        <v>16.6666666666667</v>
      </c>
      <c r="N1675" s="25" t="s">
        <v>55</v>
      </c>
      <c r="O1675" s="25" t="s">
        <v>28</v>
      </c>
      <c r="P1675" s="25" t="s">
        <v>32</v>
      </c>
    </row>
    <row r="1676" spans="1:16" x14ac:dyDescent="0.3">
      <c r="A1676" s="25">
        <v>1675</v>
      </c>
      <c r="B1676" s="26">
        <v>45604</v>
      </c>
      <c r="C1676" s="25" t="s">
        <v>68</v>
      </c>
      <c r="D1676" s="25" t="s">
        <v>22</v>
      </c>
      <c r="E1676" s="25" t="s">
        <v>103</v>
      </c>
      <c r="F1676" s="25">
        <v>1</v>
      </c>
      <c r="G1676" s="25" t="s">
        <v>102</v>
      </c>
      <c r="H1676" s="25">
        <v>30</v>
      </c>
      <c r="I1676" s="25">
        <v>20</v>
      </c>
      <c r="J1676" s="25">
        <v>30</v>
      </c>
      <c r="K1676" s="25">
        <v>20</v>
      </c>
      <c r="L1676" s="25">
        <v>10</v>
      </c>
      <c r="M1676" s="27">
        <v>50</v>
      </c>
      <c r="N1676" s="25" t="s">
        <v>55</v>
      </c>
      <c r="O1676" s="25" t="s">
        <v>28</v>
      </c>
      <c r="P1676" s="25" t="s">
        <v>32</v>
      </c>
    </row>
    <row r="1677" spans="1:16" x14ac:dyDescent="0.3">
      <c r="A1677" s="25">
        <v>1676</v>
      </c>
      <c r="B1677" s="26">
        <v>45604</v>
      </c>
      <c r="C1677" s="25" t="s">
        <v>68</v>
      </c>
      <c r="D1677" s="25" t="s">
        <v>22</v>
      </c>
      <c r="E1677" s="25" t="s">
        <v>96</v>
      </c>
      <c r="F1677" s="25">
        <v>1</v>
      </c>
      <c r="G1677" s="25" t="s">
        <v>97</v>
      </c>
      <c r="H1677" s="25">
        <v>300</v>
      </c>
      <c r="I1677" s="25">
        <v>265</v>
      </c>
      <c r="J1677" s="25">
        <v>300</v>
      </c>
      <c r="K1677" s="25">
        <v>265</v>
      </c>
      <c r="L1677" s="25">
        <v>35</v>
      </c>
      <c r="M1677" s="27">
        <v>13.207547169811299</v>
      </c>
      <c r="N1677" s="25" t="s">
        <v>55</v>
      </c>
      <c r="O1677" s="25" t="s">
        <v>28</v>
      </c>
      <c r="P1677" s="25" t="s">
        <v>32</v>
      </c>
    </row>
    <row r="1678" spans="1:16" x14ac:dyDescent="0.3">
      <c r="A1678" s="25">
        <v>1677</v>
      </c>
      <c r="B1678" s="26">
        <v>45604</v>
      </c>
      <c r="C1678" s="25" t="s">
        <v>68</v>
      </c>
      <c r="D1678" s="25" t="s">
        <v>22</v>
      </c>
      <c r="E1678" s="25" t="s">
        <v>101</v>
      </c>
      <c r="F1678" s="25">
        <v>5</v>
      </c>
      <c r="G1678" s="25" t="s">
        <v>102</v>
      </c>
      <c r="H1678" s="25">
        <v>6</v>
      </c>
      <c r="I1678" s="25">
        <v>4</v>
      </c>
      <c r="J1678" s="25">
        <v>30</v>
      </c>
      <c r="K1678" s="25">
        <v>20</v>
      </c>
      <c r="L1678" s="25">
        <v>10</v>
      </c>
      <c r="M1678" s="27">
        <v>50</v>
      </c>
      <c r="N1678" s="25" t="s">
        <v>55</v>
      </c>
      <c r="O1678" s="25" t="s">
        <v>28</v>
      </c>
      <c r="P1678" s="25" t="s">
        <v>32</v>
      </c>
    </row>
    <row r="1679" spans="1:16" x14ac:dyDescent="0.3">
      <c r="A1679" s="25">
        <v>1678</v>
      </c>
      <c r="B1679" s="26">
        <v>45604</v>
      </c>
      <c r="C1679" s="25" t="s">
        <v>68</v>
      </c>
      <c r="D1679" s="25" t="s">
        <v>22</v>
      </c>
      <c r="E1679" s="25" t="s">
        <v>96</v>
      </c>
      <c r="F1679" s="25">
        <v>1</v>
      </c>
      <c r="G1679" s="25" t="s">
        <v>97</v>
      </c>
      <c r="H1679" s="25">
        <v>300</v>
      </c>
      <c r="I1679" s="25">
        <v>265</v>
      </c>
      <c r="J1679" s="25">
        <v>300</v>
      </c>
      <c r="K1679" s="25">
        <v>265</v>
      </c>
      <c r="L1679" s="25">
        <v>35</v>
      </c>
      <c r="M1679" s="27">
        <v>13.207547169811299</v>
      </c>
      <c r="N1679" s="25" t="s">
        <v>55</v>
      </c>
      <c r="O1679" s="25" t="s">
        <v>28</v>
      </c>
      <c r="P1679" s="25" t="s">
        <v>32</v>
      </c>
    </row>
    <row r="1680" spans="1:16" x14ac:dyDescent="0.3">
      <c r="A1680" s="25">
        <v>1679</v>
      </c>
      <c r="B1680" s="26">
        <v>45604</v>
      </c>
      <c r="C1680" s="25" t="s">
        <v>68</v>
      </c>
      <c r="D1680" s="25" t="s">
        <v>21</v>
      </c>
      <c r="E1680" s="25" t="s">
        <v>88</v>
      </c>
      <c r="F1680" s="25">
        <v>5</v>
      </c>
      <c r="G1680" s="25" t="s">
        <v>89</v>
      </c>
      <c r="H1680" s="25">
        <v>130</v>
      </c>
      <c r="I1680" s="25">
        <v>100</v>
      </c>
      <c r="J1680" s="25">
        <v>650</v>
      </c>
      <c r="K1680" s="25">
        <v>500</v>
      </c>
      <c r="L1680" s="25">
        <v>150</v>
      </c>
      <c r="M1680" s="27">
        <v>30</v>
      </c>
      <c r="N1680" s="25" t="s">
        <v>55</v>
      </c>
      <c r="O1680" s="25" t="s">
        <v>27</v>
      </c>
      <c r="P1680" s="25" t="s">
        <v>32</v>
      </c>
    </row>
    <row r="1681" spans="1:16" x14ac:dyDescent="0.3">
      <c r="A1681" s="25">
        <v>1680</v>
      </c>
      <c r="B1681" s="26">
        <v>45604</v>
      </c>
      <c r="C1681" s="25" t="s">
        <v>68</v>
      </c>
      <c r="D1681" s="25" t="s">
        <v>21</v>
      </c>
      <c r="E1681" s="25" t="s">
        <v>95</v>
      </c>
      <c r="F1681" s="25">
        <v>4</v>
      </c>
      <c r="G1681" s="25" t="s">
        <v>89</v>
      </c>
      <c r="H1681" s="25">
        <v>150</v>
      </c>
      <c r="I1681" s="25">
        <v>100</v>
      </c>
      <c r="J1681" s="25">
        <v>600</v>
      </c>
      <c r="K1681" s="25">
        <v>400</v>
      </c>
      <c r="L1681" s="25">
        <v>200</v>
      </c>
      <c r="M1681" s="27">
        <v>50</v>
      </c>
      <c r="N1681" s="25" t="s">
        <v>55</v>
      </c>
      <c r="O1681" s="25" t="s">
        <v>28</v>
      </c>
      <c r="P1681" s="25" t="s">
        <v>32</v>
      </c>
    </row>
    <row r="1682" spans="1:16" x14ac:dyDescent="0.3">
      <c r="A1682" s="25">
        <v>1681</v>
      </c>
      <c r="B1682" s="26">
        <v>45604</v>
      </c>
      <c r="C1682" s="25" t="s">
        <v>68</v>
      </c>
      <c r="D1682" s="25" t="s">
        <v>22</v>
      </c>
      <c r="E1682" s="25" t="s">
        <v>90</v>
      </c>
      <c r="F1682" s="25">
        <v>0.5</v>
      </c>
      <c r="G1682" s="25" t="s">
        <v>91</v>
      </c>
      <c r="H1682" s="25">
        <v>280</v>
      </c>
      <c r="I1682" s="25">
        <v>240</v>
      </c>
      <c r="J1682" s="25">
        <v>140</v>
      </c>
      <c r="K1682" s="25">
        <v>120</v>
      </c>
      <c r="L1682" s="25">
        <v>20</v>
      </c>
      <c r="M1682" s="27">
        <v>16.6666666666667</v>
      </c>
      <c r="N1682" s="25" t="s">
        <v>55</v>
      </c>
      <c r="O1682" s="25" t="s">
        <v>28</v>
      </c>
      <c r="P1682" s="25" t="s">
        <v>32</v>
      </c>
    </row>
    <row r="1683" spans="1:16" x14ac:dyDescent="0.3">
      <c r="A1683" s="25">
        <v>1682</v>
      </c>
      <c r="B1683" s="26">
        <v>45605</v>
      </c>
      <c r="C1683" s="25" t="s">
        <v>68</v>
      </c>
      <c r="D1683" s="25" t="s">
        <v>22</v>
      </c>
      <c r="E1683" s="25" t="s">
        <v>92</v>
      </c>
      <c r="F1683" s="25">
        <v>2</v>
      </c>
      <c r="G1683" s="25" t="s">
        <v>91</v>
      </c>
      <c r="H1683" s="25">
        <v>260</v>
      </c>
      <c r="I1683" s="25">
        <v>220</v>
      </c>
      <c r="J1683" s="25">
        <v>520</v>
      </c>
      <c r="K1683" s="25">
        <v>440</v>
      </c>
      <c r="L1683" s="25">
        <v>80</v>
      </c>
      <c r="M1683" s="27">
        <v>18.181818181818201</v>
      </c>
      <c r="N1683" s="25" t="s">
        <v>55</v>
      </c>
      <c r="O1683" s="25" t="s">
        <v>28</v>
      </c>
      <c r="P1683" s="25" t="s">
        <v>32</v>
      </c>
    </row>
    <row r="1684" spans="1:16" x14ac:dyDescent="0.3">
      <c r="A1684" s="25">
        <v>1683</v>
      </c>
      <c r="B1684" s="26">
        <v>45605</v>
      </c>
      <c r="C1684" s="25" t="s">
        <v>68</v>
      </c>
      <c r="D1684" s="25" t="s">
        <v>22</v>
      </c>
      <c r="E1684" s="25" t="s">
        <v>103</v>
      </c>
      <c r="F1684" s="25">
        <v>1</v>
      </c>
      <c r="G1684" s="25" t="s">
        <v>102</v>
      </c>
      <c r="H1684" s="25">
        <v>30</v>
      </c>
      <c r="I1684" s="25">
        <v>20</v>
      </c>
      <c r="J1684" s="25">
        <v>30</v>
      </c>
      <c r="K1684" s="25">
        <v>20</v>
      </c>
      <c r="L1684" s="25">
        <v>10</v>
      </c>
      <c r="M1684" s="27">
        <v>50</v>
      </c>
      <c r="N1684" s="25" t="s">
        <v>55</v>
      </c>
      <c r="O1684" s="25" t="s">
        <v>28</v>
      </c>
      <c r="P1684" s="25" t="s">
        <v>32</v>
      </c>
    </row>
    <row r="1685" spans="1:16" x14ac:dyDescent="0.3">
      <c r="A1685" s="25">
        <v>1684</v>
      </c>
      <c r="B1685" s="26">
        <v>45605</v>
      </c>
      <c r="C1685" s="25" t="s">
        <v>68</v>
      </c>
      <c r="D1685" s="25" t="s">
        <v>22</v>
      </c>
      <c r="E1685" s="25" t="s">
        <v>101</v>
      </c>
      <c r="F1685" s="25">
        <v>6</v>
      </c>
      <c r="G1685" s="25" t="s">
        <v>102</v>
      </c>
      <c r="H1685" s="25">
        <v>6</v>
      </c>
      <c r="I1685" s="25">
        <v>4</v>
      </c>
      <c r="J1685" s="25">
        <v>36</v>
      </c>
      <c r="K1685" s="25">
        <v>24</v>
      </c>
      <c r="L1685" s="25">
        <v>12</v>
      </c>
      <c r="M1685" s="27">
        <v>50</v>
      </c>
      <c r="N1685" s="25" t="s">
        <v>55</v>
      </c>
      <c r="O1685" s="25" t="s">
        <v>28</v>
      </c>
      <c r="P1685" s="25" t="s">
        <v>32</v>
      </c>
    </row>
    <row r="1686" spans="1:16" x14ac:dyDescent="0.3">
      <c r="A1686" s="25">
        <v>1685</v>
      </c>
      <c r="B1686" s="26">
        <v>45605</v>
      </c>
      <c r="C1686" s="25" t="s">
        <v>68</v>
      </c>
      <c r="D1686" s="25" t="s">
        <v>22</v>
      </c>
      <c r="E1686" s="25" t="s">
        <v>90</v>
      </c>
      <c r="F1686" s="25">
        <v>2.5</v>
      </c>
      <c r="G1686" s="25" t="s">
        <v>91</v>
      </c>
      <c r="H1686" s="25">
        <v>280</v>
      </c>
      <c r="I1686" s="25">
        <v>240</v>
      </c>
      <c r="J1686" s="25">
        <v>700</v>
      </c>
      <c r="K1686" s="25">
        <v>600</v>
      </c>
      <c r="L1686" s="25">
        <v>100</v>
      </c>
      <c r="M1686" s="27">
        <v>16.6666666666667</v>
      </c>
      <c r="N1686" s="25" t="s">
        <v>55</v>
      </c>
      <c r="O1686" s="25" t="s">
        <v>28</v>
      </c>
      <c r="P1686" s="25" t="s">
        <v>32</v>
      </c>
    </row>
    <row r="1687" spans="1:16" x14ac:dyDescent="0.3">
      <c r="A1687" s="25">
        <v>1686</v>
      </c>
      <c r="B1687" s="26">
        <v>45605</v>
      </c>
      <c r="C1687" s="25" t="s">
        <v>68</v>
      </c>
      <c r="D1687" s="25" t="s">
        <v>21</v>
      </c>
      <c r="E1687" s="25" t="s">
        <v>88</v>
      </c>
      <c r="F1687" s="25">
        <v>2</v>
      </c>
      <c r="G1687" s="25" t="s">
        <v>89</v>
      </c>
      <c r="H1687" s="25">
        <v>130</v>
      </c>
      <c r="I1687" s="25">
        <v>100</v>
      </c>
      <c r="J1687" s="25">
        <v>260</v>
      </c>
      <c r="K1687" s="25">
        <v>200</v>
      </c>
      <c r="L1687" s="25">
        <v>60</v>
      </c>
      <c r="M1687" s="27">
        <v>30</v>
      </c>
      <c r="N1687" s="25" t="s">
        <v>55</v>
      </c>
      <c r="O1687" s="25" t="s">
        <v>27</v>
      </c>
      <c r="P1687" s="25" t="s">
        <v>32</v>
      </c>
    </row>
    <row r="1688" spans="1:16" x14ac:dyDescent="0.3">
      <c r="A1688" s="25">
        <v>1687</v>
      </c>
      <c r="B1688" s="26">
        <v>45605</v>
      </c>
      <c r="C1688" s="25" t="s">
        <v>68</v>
      </c>
      <c r="D1688" s="25" t="s">
        <v>21</v>
      </c>
      <c r="E1688" s="25" t="s">
        <v>88</v>
      </c>
      <c r="F1688" s="25">
        <v>4</v>
      </c>
      <c r="G1688" s="25" t="s">
        <v>89</v>
      </c>
      <c r="H1688" s="25">
        <v>130</v>
      </c>
      <c r="I1688" s="25">
        <v>100</v>
      </c>
      <c r="J1688" s="25">
        <v>520</v>
      </c>
      <c r="K1688" s="25">
        <v>400</v>
      </c>
      <c r="L1688" s="25">
        <v>120</v>
      </c>
      <c r="M1688" s="27">
        <v>30</v>
      </c>
      <c r="N1688" s="25" t="s">
        <v>55</v>
      </c>
      <c r="O1688" s="25" t="s">
        <v>27</v>
      </c>
      <c r="P1688" s="25" t="s">
        <v>32</v>
      </c>
    </row>
    <row r="1689" spans="1:16" x14ac:dyDescent="0.3">
      <c r="A1689" s="25">
        <v>1688</v>
      </c>
      <c r="B1689" s="26">
        <v>45605</v>
      </c>
      <c r="C1689" s="25" t="s">
        <v>68</v>
      </c>
      <c r="D1689" s="25" t="s">
        <v>22</v>
      </c>
      <c r="E1689" s="25" t="s">
        <v>92</v>
      </c>
      <c r="F1689" s="25">
        <v>1</v>
      </c>
      <c r="G1689" s="25" t="s">
        <v>91</v>
      </c>
      <c r="H1689" s="25">
        <v>260</v>
      </c>
      <c r="I1689" s="25">
        <v>220</v>
      </c>
      <c r="J1689" s="25">
        <v>260</v>
      </c>
      <c r="K1689" s="25">
        <v>220</v>
      </c>
      <c r="L1689" s="25">
        <v>40</v>
      </c>
      <c r="M1689" s="27">
        <v>18.181818181818201</v>
      </c>
      <c r="N1689" s="25" t="s">
        <v>55</v>
      </c>
      <c r="O1689" s="25" t="s">
        <v>28</v>
      </c>
      <c r="P1689" s="25" t="s">
        <v>32</v>
      </c>
    </row>
    <row r="1690" spans="1:16" x14ac:dyDescent="0.3">
      <c r="A1690" s="25">
        <v>1689</v>
      </c>
      <c r="B1690" s="26">
        <v>45605</v>
      </c>
      <c r="C1690" s="25" t="s">
        <v>68</v>
      </c>
      <c r="D1690" s="25" t="s">
        <v>22</v>
      </c>
      <c r="E1690" s="25" t="s">
        <v>90</v>
      </c>
      <c r="F1690" s="25">
        <v>1</v>
      </c>
      <c r="G1690" s="25" t="s">
        <v>91</v>
      </c>
      <c r="H1690" s="25">
        <v>280</v>
      </c>
      <c r="I1690" s="25">
        <v>240</v>
      </c>
      <c r="J1690" s="25">
        <v>280</v>
      </c>
      <c r="K1690" s="25">
        <v>240</v>
      </c>
      <c r="L1690" s="25">
        <v>40</v>
      </c>
      <c r="M1690" s="27">
        <v>16.6666666666667</v>
      </c>
      <c r="N1690" s="25" t="s">
        <v>55</v>
      </c>
      <c r="O1690" s="25" t="s">
        <v>28</v>
      </c>
      <c r="P1690" s="25" t="s">
        <v>32</v>
      </c>
    </row>
    <row r="1691" spans="1:16" x14ac:dyDescent="0.3">
      <c r="A1691" s="25">
        <v>1690</v>
      </c>
      <c r="B1691" s="26">
        <v>45605</v>
      </c>
      <c r="C1691" s="25" t="s">
        <v>68</v>
      </c>
      <c r="D1691" s="25" t="s">
        <v>22</v>
      </c>
      <c r="E1691" s="25" t="s">
        <v>99</v>
      </c>
      <c r="F1691" s="25">
        <v>1</v>
      </c>
      <c r="G1691" s="25" t="s">
        <v>100</v>
      </c>
      <c r="H1691" s="25">
        <v>200</v>
      </c>
      <c r="I1691" s="25">
        <v>160</v>
      </c>
      <c r="J1691" s="25">
        <v>200</v>
      </c>
      <c r="K1691" s="25">
        <v>160</v>
      </c>
      <c r="L1691" s="25">
        <v>40</v>
      </c>
      <c r="M1691" s="27">
        <v>25</v>
      </c>
      <c r="N1691" s="25" t="s">
        <v>55</v>
      </c>
      <c r="O1691" s="25" t="s">
        <v>28</v>
      </c>
      <c r="P1691" s="25" t="s">
        <v>32</v>
      </c>
    </row>
    <row r="1692" spans="1:16" x14ac:dyDescent="0.3">
      <c r="A1692" s="25">
        <v>1691</v>
      </c>
      <c r="B1692" s="26">
        <v>45606</v>
      </c>
      <c r="C1692" s="25" t="s">
        <v>68</v>
      </c>
      <c r="D1692" s="25" t="s">
        <v>22</v>
      </c>
      <c r="E1692" s="25" t="s">
        <v>96</v>
      </c>
      <c r="F1692" s="25">
        <v>1</v>
      </c>
      <c r="G1692" s="25" t="s">
        <v>97</v>
      </c>
      <c r="H1692" s="25">
        <v>300</v>
      </c>
      <c r="I1692" s="25">
        <v>265</v>
      </c>
      <c r="J1692" s="25">
        <v>300</v>
      </c>
      <c r="K1692" s="25">
        <v>265</v>
      </c>
      <c r="L1692" s="25">
        <v>35</v>
      </c>
      <c r="M1692" s="27">
        <v>13.207547169811299</v>
      </c>
      <c r="N1692" s="25" t="s">
        <v>55</v>
      </c>
      <c r="O1692" s="25" t="s">
        <v>28</v>
      </c>
      <c r="P1692" s="25" t="s">
        <v>32</v>
      </c>
    </row>
    <row r="1693" spans="1:16" x14ac:dyDescent="0.3">
      <c r="A1693" s="25">
        <v>1692</v>
      </c>
      <c r="B1693" s="26">
        <v>45606</v>
      </c>
      <c r="C1693" s="25" t="s">
        <v>68</v>
      </c>
      <c r="D1693" s="25" t="s">
        <v>22</v>
      </c>
      <c r="E1693" s="25" t="s">
        <v>90</v>
      </c>
      <c r="F1693" s="25">
        <v>0.25</v>
      </c>
      <c r="G1693" s="25" t="s">
        <v>91</v>
      </c>
      <c r="H1693" s="25">
        <v>280</v>
      </c>
      <c r="I1693" s="25">
        <v>240</v>
      </c>
      <c r="J1693" s="25">
        <v>70</v>
      </c>
      <c r="K1693" s="25">
        <v>60</v>
      </c>
      <c r="L1693" s="25">
        <v>10</v>
      </c>
      <c r="M1693" s="27">
        <v>16.6666666666667</v>
      </c>
      <c r="N1693" s="25" t="s">
        <v>55</v>
      </c>
      <c r="O1693" s="25" t="s">
        <v>28</v>
      </c>
      <c r="P1693" s="25" t="s">
        <v>32</v>
      </c>
    </row>
    <row r="1694" spans="1:16" x14ac:dyDescent="0.3">
      <c r="A1694" s="25">
        <v>1693</v>
      </c>
      <c r="B1694" s="26">
        <v>45606</v>
      </c>
      <c r="C1694" s="25" t="s">
        <v>68</v>
      </c>
      <c r="D1694" s="25" t="s">
        <v>22</v>
      </c>
      <c r="E1694" s="25" t="s">
        <v>101</v>
      </c>
      <c r="F1694" s="25">
        <v>6</v>
      </c>
      <c r="G1694" s="25" t="s">
        <v>102</v>
      </c>
      <c r="H1694" s="25">
        <v>6</v>
      </c>
      <c r="I1694" s="25">
        <v>4</v>
      </c>
      <c r="J1694" s="25">
        <v>36</v>
      </c>
      <c r="K1694" s="25">
        <v>24</v>
      </c>
      <c r="L1694" s="25">
        <v>12</v>
      </c>
      <c r="M1694" s="27">
        <v>50</v>
      </c>
      <c r="N1694" s="25" t="s">
        <v>55</v>
      </c>
      <c r="O1694" s="25" t="s">
        <v>28</v>
      </c>
      <c r="P1694" s="25" t="s">
        <v>32</v>
      </c>
    </row>
    <row r="1695" spans="1:16" x14ac:dyDescent="0.3">
      <c r="A1695" s="25">
        <v>1694</v>
      </c>
      <c r="B1695" s="26">
        <v>45606</v>
      </c>
      <c r="C1695" s="25" t="s">
        <v>68</v>
      </c>
      <c r="D1695" s="25" t="s">
        <v>22</v>
      </c>
      <c r="E1695" s="25" t="s">
        <v>103</v>
      </c>
      <c r="F1695" s="25">
        <v>2</v>
      </c>
      <c r="G1695" s="25" t="s">
        <v>102</v>
      </c>
      <c r="H1695" s="25">
        <v>30</v>
      </c>
      <c r="I1695" s="25">
        <v>20</v>
      </c>
      <c r="J1695" s="25">
        <v>60</v>
      </c>
      <c r="K1695" s="25">
        <v>40</v>
      </c>
      <c r="L1695" s="25">
        <v>20</v>
      </c>
      <c r="M1695" s="27">
        <v>50</v>
      </c>
      <c r="N1695" s="25" t="s">
        <v>55</v>
      </c>
      <c r="O1695" s="25" t="s">
        <v>28</v>
      </c>
      <c r="P1695" s="25" t="s">
        <v>32</v>
      </c>
    </row>
    <row r="1696" spans="1:16" x14ac:dyDescent="0.3">
      <c r="A1696" s="25">
        <v>1695</v>
      </c>
      <c r="B1696" s="26">
        <v>45606</v>
      </c>
      <c r="C1696" s="25" t="s">
        <v>68</v>
      </c>
      <c r="D1696" s="25" t="s">
        <v>22</v>
      </c>
      <c r="E1696" s="25" t="s">
        <v>92</v>
      </c>
      <c r="F1696" s="25">
        <v>1</v>
      </c>
      <c r="G1696" s="25" t="s">
        <v>91</v>
      </c>
      <c r="H1696" s="25">
        <v>260</v>
      </c>
      <c r="I1696" s="25">
        <v>220</v>
      </c>
      <c r="J1696" s="25">
        <v>260</v>
      </c>
      <c r="K1696" s="25">
        <v>220</v>
      </c>
      <c r="L1696" s="25">
        <v>40</v>
      </c>
      <c r="M1696" s="27">
        <v>18.181818181818201</v>
      </c>
      <c r="N1696" s="25" t="s">
        <v>55</v>
      </c>
      <c r="O1696" s="25" t="s">
        <v>28</v>
      </c>
      <c r="P1696" s="25" t="s">
        <v>32</v>
      </c>
    </row>
    <row r="1697" spans="1:16" x14ac:dyDescent="0.3">
      <c r="A1697" s="25">
        <v>1696</v>
      </c>
      <c r="B1697" s="26">
        <v>45606</v>
      </c>
      <c r="C1697" s="25" t="s">
        <v>68</v>
      </c>
      <c r="D1697" s="25" t="s">
        <v>22</v>
      </c>
      <c r="E1697" s="25" t="s">
        <v>90</v>
      </c>
      <c r="F1697" s="25">
        <v>1.5</v>
      </c>
      <c r="G1697" s="25" t="s">
        <v>91</v>
      </c>
      <c r="H1697" s="25">
        <v>280</v>
      </c>
      <c r="I1697" s="25">
        <v>240</v>
      </c>
      <c r="J1697" s="25">
        <v>420</v>
      </c>
      <c r="K1697" s="25">
        <v>360</v>
      </c>
      <c r="L1697" s="25">
        <v>60</v>
      </c>
      <c r="M1697" s="27">
        <v>16.6666666666667</v>
      </c>
      <c r="N1697" s="25" t="s">
        <v>55</v>
      </c>
      <c r="O1697" s="25" t="s">
        <v>28</v>
      </c>
      <c r="P1697" s="25" t="s">
        <v>32</v>
      </c>
    </row>
    <row r="1698" spans="1:16" x14ac:dyDescent="0.3">
      <c r="A1698" s="25">
        <v>1697</v>
      </c>
      <c r="B1698" s="26">
        <v>45606</v>
      </c>
      <c r="C1698" s="25" t="s">
        <v>68</v>
      </c>
      <c r="D1698" s="25" t="s">
        <v>22</v>
      </c>
      <c r="E1698" s="25" t="s">
        <v>103</v>
      </c>
      <c r="F1698" s="25">
        <v>1</v>
      </c>
      <c r="G1698" s="25" t="s">
        <v>102</v>
      </c>
      <c r="H1698" s="25">
        <v>30</v>
      </c>
      <c r="I1698" s="25">
        <v>20</v>
      </c>
      <c r="J1698" s="25">
        <v>30</v>
      </c>
      <c r="K1698" s="25">
        <v>20</v>
      </c>
      <c r="L1698" s="25">
        <v>10</v>
      </c>
      <c r="M1698" s="27">
        <v>50</v>
      </c>
      <c r="N1698" s="25" t="s">
        <v>55</v>
      </c>
      <c r="O1698" s="25" t="s">
        <v>28</v>
      </c>
      <c r="P1698" s="25" t="s">
        <v>32</v>
      </c>
    </row>
    <row r="1699" spans="1:16" x14ac:dyDescent="0.3">
      <c r="A1699" s="25">
        <v>1698</v>
      </c>
      <c r="B1699" s="26">
        <v>45606</v>
      </c>
      <c r="C1699" s="25" t="s">
        <v>68</v>
      </c>
      <c r="D1699" s="25" t="s">
        <v>21</v>
      </c>
      <c r="E1699" s="25" t="s">
        <v>95</v>
      </c>
      <c r="F1699" s="25">
        <v>5</v>
      </c>
      <c r="G1699" s="25" t="s">
        <v>89</v>
      </c>
      <c r="H1699" s="25">
        <v>150</v>
      </c>
      <c r="I1699" s="25">
        <v>100</v>
      </c>
      <c r="J1699" s="25">
        <v>750</v>
      </c>
      <c r="K1699" s="25">
        <v>500</v>
      </c>
      <c r="L1699" s="25">
        <v>250</v>
      </c>
      <c r="M1699" s="27">
        <v>50</v>
      </c>
      <c r="N1699" s="25" t="s">
        <v>55</v>
      </c>
      <c r="O1699" s="25" t="s">
        <v>28</v>
      </c>
      <c r="P1699" s="25" t="s">
        <v>32</v>
      </c>
    </row>
    <row r="1700" spans="1:16" x14ac:dyDescent="0.3">
      <c r="A1700" s="25">
        <v>1699</v>
      </c>
      <c r="B1700" s="26">
        <v>45606</v>
      </c>
      <c r="C1700" s="25" t="s">
        <v>68</v>
      </c>
      <c r="D1700" s="25" t="s">
        <v>21</v>
      </c>
      <c r="E1700" s="25" t="s">
        <v>94</v>
      </c>
      <c r="F1700" s="25">
        <v>12</v>
      </c>
      <c r="G1700" s="25" t="s">
        <v>89</v>
      </c>
      <c r="H1700" s="25">
        <v>30</v>
      </c>
      <c r="I1700" s="25">
        <v>26</v>
      </c>
      <c r="J1700" s="25">
        <v>360</v>
      </c>
      <c r="K1700" s="25">
        <v>312</v>
      </c>
      <c r="L1700" s="25">
        <v>48</v>
      </c>
      <c r="M1700" s="27">
        <v>15.384615384615399</v>
      </c>
      <c r="N1700" s="25" t="s">
        <v>55</v>
      </c>
      <c r="O1700" s="25" t="s">
        <v>27</v>
      </c>
      <c r="P1700" s="25" t="s">
        <v>32</v>
      </c>
    </row>
    <row r="1701" spans="1:16" x14ac:dyDescent="0.3">
      <c r="A1701" s="25">
        <v>1700</v>
      </c>
      <c r="B1701" s="26">
        <v>45608</v>
      </c>
      <c r="C1701" s="25" t="s">
        <v>68</v>
      </c>
      <c r="D1701" s="25" t="s">
        <v>22</v>
      </c>
      <c r="E1701" s="25" t="s">
        <v>90</v>
      </c>
      <c r="F1701" s="25">
        <v>0.25</v>
      </c>
      <c r="G1701" s="25" t="s">
        <v>91</v>
      </c>
      <c r="H1701" s="25">
        <v>280</v>
      </c>
      <c r="I1701" s="25">
        <v>240</v>
      </c>
      <c r="J1701" s="25">
        <v>70</v>
      </c>
      <c r="K1701" s="25">
        <v>60</v>
      </c>
      <c r="L1701" s="25">
        <v>10</v>
      </c>
      <c r="M1701" s="27">
        <v>16.6666666666667</v>
      </c>
      <c r="N1701" s="25" t="s">
        <v>55</v>
      </c>
      <c r="O1701" s="25" t="s">
        <v>28</v>
      </c>
      <c r="P1701" s="25" t="s">
        <v>32</v>
      </c>
    </row>
    <row r="1702" spans="1:16" x14ac:dyDescent="0.3">
      <c r="A1702" s="25">
        <v>1701</v>
      </c>
      <c r="B1702" s="26">
        <v>45608</v>
      </c>
      <c r="C1702" s="25" t="s">
        <v>68</v>
      </c>
      <c r="D1702" s="25" t="s">
        <v>22</v>
      </c>
      <c r="E1702" s="25" t="s">
        <v>96</v>
      </c>
      <c r="F1702" s="25">
        <v>1</v>
      </c>
      <c r="G1702" s="25" t="s">
        <v>97</v>
      </c>
      <c r="H1702" s="25">
        <v>300</v>
      </c>
      <c r="I1702" s="25">
        <v>265</v>
      </c>
      <c r="J1702" s="25">
        <v>300</v>
      </c>
      <c r="K1702" s="25">
        <v>265</v>
      </c>
      <c r="L1702" s="25">
        <v>35</v>
      </c>
      <c r="M1702" s="27">
        <v>13.207547169811299</v>
      </c>
      <c r="N1702" s="25" t="s">
        <v>55</v>
      </c>
      <c r="O1702" s="25" t="s">
        <v>28</v>
      </c>
      <c r="P1702" s="25" t="s">
        <v>32</v>
      </c>
    </row>
    <row r="1703" spans="1:16" x14ac:dyDescent="0.3">
      <c r="A1703" s="25">
        <v>1702</v>
      </c>
      <c r="B1703" s="26">
        <v>45608</v>
      </c>
      <c r="C1703" s="25" t="s">
        <v>68</v>
      </c>
      <c r="D1703" s="25" t="s">
        <v>22</v>
      </c>
      <c r="E1703" s="25" t="s">
        <v>96</v>
      </c>
      <c r="F1703" s="25">
        <v>1</v>
      </c>
      <c r="G1703" s="25" t="s">
        <v>97</v>
      </c>
      <c r="H1703" s="25">
        <v>300</v>
      </c>
      <c r="I1703" s="25">
        <v>265</v>
      </c>
      <c r="J1703" s="25">
        <v>300</v>
      </c>
      <c r="K1703" s="25">
        <v>265</v>
      </c>
      <c r="L1703" s="25">
        <v>35</v>
      </c>
      <c r="M1703" s="27">
        <v>13.207547169811299</v>
      </c>
      <c r="N1703" s="25" t="s">
        <v>55</v>
      </c>
      <c r="O1703" s="25" t="s">
        <v>28</v>
      </c>
      <c r="P1703" s="25" t="s">
        <v>32</v>
      </c>
    </row>
    <row r="1704" spans="1:16" x14ac:dyDescent="0.3">
      <c r="A1704" s="25">
        <v>1703</v>
      </c>
      <c r="B1704" s="26">
        <v>45608</v>
      </c>
      <c r="C1704" s="25" t="s">
        <v>68</v>
      </c>
      <c r="D1704" s="25" t="s">
        <v>21</v>
      </c>
      <c r="E1704" s="25" t="s">
        <v>88</v>
      </c>
      <c r="F1704" s="25">
        <v>4</v>
      </c>
      <c r="G1704" s="25" t="s">
        <v>89</v>
      </c>
      <c r="H1704" s="25">
        <v>130</v>
      </c>
      <c r="I1704" s="25">
        <v>100</v>
      </c>
      <c r="J1704" s="25">
        <v>520</v>
      </c>
      <c r="K1704" s="25">
        <v>400</v>
      </c>
      <c r="L1704" s="25">
        <v>120</v>
      </c>
      <c r="M1704" s="27">
        <v>30</v>
      </c>
      <c r="N1704" s="25" t="s">
        <v>55</v>
      </c>
      <c r="O1704" s="25" t="s">
        <v>27</v>
      </c>
      <c r="P1704" s="25" t="s">
        <v>32</v>
      </c>
    </row>
    <row r="1705" spans="1:16" x14ac:dyDescent="0.3">
      <c r="A1705" s="25">
        <v>1704</v>
      </c>
      <c r="B1705" s="26">
        <v>45608</v>
      </c>
      <c r="C1705" s="25" t="s">
        <v>68</v>
      </c>
      <c r="D1705" s="25" t="s">
        <v>22</v>
      </c>
      <c r="E1705" s="25" t="s">
        <v>92</v>
      </c>
      <c r="F1705" s="25">
        <v>2</v>
      </c>
      <c r="G1705" s="25" t="s">
        <v>91</v>
      </c>
      <c r="H1705" s="25">
        <v>260</v>
      </c>
      <c r="I1705" s="25">
        <v>220</v>
      </c>
      <c r="J1705" s="25">
        <v>520</v>
      </c>
      <c r="K1705" s="25">
        <v>440</v>
      </c>
      <c r="L1705" s="25">
        <v>80</v>
      </c>
      <c r="M1705" s="27">
        <v>18.181818181818201</v>
      </c>
      <c r="N1705" s="25" t="s">
        <v>55</v>
      </c>
      <c r="O1705" s="25" t="s">
        <v>28</v>
      </c>
      <c r="P1705" s="25" t="s">
        <v>32</v>
      </c>
    </row>
    <row r="1706" spans="1:16" x14ac:dyDescent="0.3">
      <c r="A1706" s="25">
        <v>1705</v>
      </c>
      <c r="B1706" s="26">
        <v>45608</v>
      </c>
      <c r="C1706" s="25" t="s">
        <v>68</v>
      </c>
      <c r="D1706" s="25" t="s">
        <v>22</v>
      </c>
      <c r="E1706" s="25" t="s">
        <v>92</v>
      </c>
      <c r="F1706" s="25">
        <v>1</v>
      </c>
      <c r="G1706" s="25" t="s">
        <v>91</v>
      </c>
      <c r="H1706" s="25">
        <v>260</v>
      </c>
      <c r="I1706" s="25">
        <v>220</v>
      </c>
      <c r="J1706" s="25">
        <v>260</v>
      </c>
      <c r="K1706" s="25">
        <v>220</v>
      </c>
      <c r="L1706" s="25">
        <v>40</v>
      </c>
      <c r="M1706" s="27">
        <v>18.181818181818201</v>
      </c>
      <c r="N1706" s="25" t="s">
        <v>55</v>
      </c>
      <c r="O1706" s="25" t="s">
        <v>28</v>
      </c>
      <c r="P1706" s="25" t="s">
        <v>32</v>
      </c>
    </row>
    <row r="1707" spans="1:16" x14ac:dyDescent="0.3">
      <c r="A1707" s="25">
        <v>1706</v>
      </c>
      <c r="B1707" s="26">
        <v>45609</v>
      </c>
      <c r="C1707" s="25" t="s">
        <v>68</v>
      </c>
      <c r="D1707" s="25" t="s">
        <v>22</v>
      </c>
      <c r="E1707" s="25" t="s">
        <v>90</v>
      </c>
      <c r="F1707" s="25">
        <v>0.5</v>
      </c>
      <c r="G1707" s="25" t="s">
        <v>91</v>
      </c>
      <c r="H1707" s="25">
        <v>280</v>
      </c>
      <c r="I1707" s="25">
        <v>240</v>
      </c>
      <c r="J1707" s="25">
        <v>140</v>
      </c>
      <c r="K1707" s="25">
        <v>120</v>
      </c>
      <c r="L1707" s="25">
        <v>20</v>
      </c>
      <c r="M1707" s="27">
        <v>16.6666666666667</v>
      </c>
      <c r="N1707" s="25" t="s">
        <v>55</v>
      </c>
      <c r="O1707" s="25" t="s">
        <v>28</v>
      </c>
      <c r="P1707" s="25" t="s">
        <v>32</v>
      </c>
    </row>
    <row r="1708" spans="1:16" x14ac:dyDescent="0.3">
      <c r="A1708" s="25">
        <v>1707</v>
      </c>
      <c r="B1708" s="26">
        <v>45609</v>
      </c>
      <c r="C1708" s="25" t="s">
        <v>68</v>
      </c>
      <c r="D1708" s="25" t="s">
        <v>22</v>
      </c>
      <c r="E1708" s="25" t="s">
        <v>96</v>
      </c>
      <c r="F1708" s="25">
        <v>1</v>
      </c>
      <c r="G1708" s="25" t="s">
        <v>97</v>
      </c>
      <c r="H1708" s="25">
        <v>300</v>
      </c>
      <c r="I1708" s="25">
        <v>265</v>
      </c>
      <c r="J1708" s="25">
        <v>300</v>
      </c>
      <c r="K1708" s="25">
        <v>265</v>
      </c>
      <c r="L1708" s="25">
        <v>35</v>
      </c>
      <c r="M1708" s="27">
        <v>13.207547169811299</v>
      </c>
      <c r="N1708" s="25" t="s">
        <v>55</v>
      </c>
      <c r="O1708" s="25" t="s">
        <v>28</v>
      </c>
      <c r="P1708" s="25" t="s">
        <v>32</v>
      </c>
    </row>
    <row r="1709" spans="1:16" x14ac:dyDescent="0.3">
      <c r="A1709" s="25">
        <v>1708</v>
      </c>
      <c r="B1709" s="26">
        <v>45609</v>
      </c>
      <c r="C1709" s="25" t="s">
        <v>68</v>
      </c>
      <c r="D1709" s="25" t="s">
        <v>22</v>
      </c>
      <c r="E1709" s="25" t="s">
        <v>101</v>
      </c>
      <c r="F1709" s="25">
        <v>12</v>
      </c>
      <c r="G1709" s="25" t="s">
        <v>102</v>
      </c>
      <c r="H1709" s="25">
        <v>6</v>
      </c>
      <c r="I1709" s="25">
        <v>4</v>
      </c>
      <c r="J1709" s="25">
        <v>72</v>
      </c>
      <c r="K1709" s="25">
        <v>48</v>
      </c>
      <c r="L1709" s="25">
        <v>24</v>
      </c>
      <c r="M1709" s="27">
        <v>50</v>
      </c>
      <c r="N1709" s="25" t="s">
        <v>55</v>
      </c>
      <c r="O1709" s="25" t="s">
        <v>28</v>
      </c>
      <c r="P1709" s="25" t="s">
        <v>32</v>
      </c>
    </row>
    <row r="1710" spans="1:16" x14ac:dyDescent="0.3">
      <c r="A1710" s="25">
        <v>1709</v>
      </c>
      <c r="B1710" s="26">
        <v>45609</v>
      </c>
      <c r="C1710" s="25" t="s">
        <v>68</v>
      </c>
      <c r="D1710" s="25" t="s">
        <v>22</v>
      </c>
      <c r="E1710" s="25" t="s">
        <v>103</v>
      </c>
      <c r="F1710" s="25">
        <v>2</v>
      </c>
      <c r="G1710" s="25" t="s">
        <v>102</v>
      </c>
      <c r="H1710" s="25">
        <v>30</v>
      </c>
      <c r="I1710" s="25">
        <v>20</v>
      </c>
      <c r="J1710" s="25">
        <v>60</v>
      </c>
      <c r="K1710" s="25">
        <v>40</v>
      </c>
      <c r="L1710" s="25">
        <v>20</v>
      </c>
      <c r="M1710" s="27">
        <v>50</v>
      </c>
      <c r="N1710" s="25" t="s">
        <v>55</v>
      </c>
      <c r="O1710" s="25" t="s">
        <v>28</v>
      </c>
      <c r="P1710" s="25" t="s">
        <v>32</v>
      </c>
    </row>
    <row r="1711" spans="1:16" x14ac:dyDescent="0.3">
      <c r="A1711" s="25">
        <v>1710</v>
      </c>
      <c r="B1711" s="26">
        <v>45609</v>
      </c>
      <c r="C1711" s="25" t="s">
        <v>68</v>
      </c>
      <c r="D1711" s="25" t="s">
        <v>22</v>
      </c>
      <c r="E1711" s="25" t="s">
        <v>92</v>
      </c>
      <c r="F1711" s="25">
        <v>2</v>
      </c>
      <c r="G1711" s="25" t="s">
        <v>91</v>
      </c>
      <c r="H1711" s="25">
        <v>260</v>
      </c>
      <c r="I1711" s="25">
        <v>220</v>
      </c>
      <c r="J1711" s="25">
        <v>520</v>
      </c>
      <c r="K1711" s="25">
        <v>440</v>
      </c>
      <c r="L1711" s="25">
        <v>80</v>
      </c>
      <c r="M1711" s="27">
        <v>18.181818181818201</v>
      </c>
      <c r="N1711" s="25" t="s">
        <v>55</v>
      </c>
      <c r="O1711" s="25" t="s">
        <v>28</v>
      </c>
      <c r="P1711" s="25" t="s">
        <v>32</v>
      </c>
    </row>
    <row r="1712" spans="1:16" x14ac:dyDescent="0.3">
      <c r="A1712" s="25">
        <v>1711</v>
      </c>
      <c r="B1712" s="26">
        <v>45609</v>
      </c>
      <c r="C1712" s="25" t="s">
        <v>68</v>
      </c>
      <c r="D1712" s="25" t="s">
        <v>22</v>
      </c>
      <c r="E1712" s="25" t="s">
        <v>99</v>
      </c>
      <c r="F1712" s="25">
        <v>1</v>
      </c>
      <c r="G1712" s="25" t="s">
        <v>100</v>
      </c>
      <c r="H1712" s="25">
        <v>200</v>
      </c>
      <c r="I1712" s="25">
        <v>160</v>
      </c>
      <c r="J1712" s="25">
        <v>200</v>
      </c>
      <c r="K1712" s="25">
        <v>160</v>
      </c>
      <c r="L1712" s="25">
        <v>40</v>
      </c>
      <c r="M1712" s="27">
        <v>25</v>
      </c>
      <c r="N1712" s="25" t="s">
        <v>55</v>
      </c>
      <c r="O1712" s="25" t="s">
        <v>28</v>
      </c>
      <c r="P1712" s="25" t="s">
        <v>32</v>
      </c>
    </row>
    <row r="1713" spans="1:16" x14ac:dyDescent="0.3">
      <c r="A1713" s="25">
        <v>1712</v>
      </c>
      <c r="B1713" s="26">
        <v>45609</v>
      </c>
      <c r="C1713" s="25" t="s">
        <v>68</v>
      </c>
      <c r="D1713" s="25" t="s">
        <v>21</v>
      </c>
      <c r="E1713" s="25" t="s">
        <v>88</v>
      </c>
      <c r="F1713" s="25">
        <v>2</v>
      </c>
      <c r="G1713" s="25" t="s">
        <v>89</v>
      </c>
      <c r="H1713" s="25">
        <v>130</v>
      </c>
      <c r="I1713" s="25">
        <v>100</v>
      </c>
      <c r="J1713" s="25">
        <v>260</v>
      </c>
      <c r="K1713" s="25">
        <v>200</v>
      </c>
      <c r="L1713" s="25">
        <v>60</v>
      </c>
      <c r="M1713" s="27">
        <v>30</v>
      </c>
      <c r="N1713" s="25" t="s">
        <v>55</v>
      </c>
      <c r="O1713" s="25" t="s">
        <v>27</v>
      </c>
      <c r="P1713" s="25" t="s">
        <v>32</v>
      </c>
    </row>
    <row r="1714" spans="1:16" x14ac:dyDescent="0.3">
      <c r="A1714" s="25">
        <v>1713</v>
      </c>
      <c r="B1714" s="26">
        <v>45610</v>
      </c>
      <c r="C1714" s="25" t="s">
        <v>68</v>
      </c>
      <c r="D1714" s="25" t="s">
        <v>22</v>
      </c>
      <c r="E1714" s="25" t="s">
        <v>96</v>
      </c>
      <c r="F1714" s="25">
        <v>1</v>
      </c>
      <c r="G1714" s="25" t="s">
        <v>97</v>
      </c>
      <c r="H1714" s="25">
        <v>300</v>
      </c>
      <c r="I1714" s="25">
        <v>265</v>
      </c>
      <c r="J1714" s="25">
        <v>300</v>
      </c>
      <c r="K1714" s="25">
        <v>265</v>
      </c>
      <c r="L1714" s="25">
        <v>35</v>
      </c>
      <c r="M1714" s="27">
        <v>13.207547169811299</v>
      </c>
      <c r="N1714" s="25" t="s">
        <v>55</v>
      </c>
      <c r="O1714" s="25" t="s">
        <v>28</v>
      </c>
      <c r="P1714" s="25" t="s">
        <v>32</v>
      </c>
    </row>
    <row r="1715" spans="1:16" x14ac:dyDescent="0.3">
      <c r="A1715" s="25">
        <v>1714</v>
      </c>
      <c r="B1715" s="26">
        <v>45611</v>
      </c>
      <c r="C1715" s="25" t="s">
        <v>68</v>
      </c>
      <c r="D1715" s="25" t="s">
        <v>22</v>
      </c>
      <c r="E1715" s="25" t="s">
        <v>92</v>
      </c>
      <c r="F1715" s="25">
        <v>1.5</v>
      </c>
      <c r="G1715" s="25" t="s">
        <v>91</v>
      </c>
      <c r="H1715" s="25">
        <v>260</v>
      </c>
      <c r="I1715" s="25">
        <v>220</v>
      </c>
      <c r="J1715" s="25">
        <v>390</v>
      </c>
      <c r="K1715" s="25">
        <v>330</v>
      </c>
      <c r="L1715" s="25">
        <v>60</v>
      </c>
      <c r="M1715" s="27">
        <v>18.181818181818201</v>
      </c>
      <c r="N1715" s="25" t="s">
        <v>55</v>
      </c>
      <c r="O1715" s="25" t="s">
        <v>28</v>
      </c>
      <c r="P1715" s="25" t="s">
        <v>32</v>
      </c>
    </row>
    <row r="1716" spans="1:16" x14ac:dyDescent="0.3">
      <c r="A1716" s="25">
        <v>1715</v>
      </c>
      <c r="B1716" s="26">
        <v>45611</v>
      </c>
      <c r="C1716" s="25" t="s">
        <v>68</v>
      </c>
      <c r="D1716" s="25" t="s">
        <v>22</v>
      </c>
      <c r="E1716" s="25" t="s">
        <v>101</v>
      </c>
      <c r="F1716" s="25">
        <v>5</v>
      </c>
      <c r="G1716" s="25" t="s">
        <v>102</v>
      </c>
      <c r="H1716" s="25">
        <v>6</v>
      </c>
      <c r="I1716" s="25">
        <v>4</v>
      </c>
      <c r="J1716" s="25">
        <v>30</v>
      </c>
      <c r="K1716" s="25">
        <v>20</v>
      </c>
      <c r="L1716" s="25">
        <v>10</v>
      </c>
      <c r="M1716" s="27">
        <v>50</v>
      </c>
      <c r="N1716" s="25" t="s">
        <v>55</v>
      </c>
      <c r="O1716" s="25" t="s">
        <v>28</v>
      </c>
      <c r="P1716" s="25" t="s">
        <v>32</v>
      </c>
    </row>
    <row r="1717" spans="1:16" x14ac:dyDescent="0.3">
      <c r="A1717" s="25">
        <v>1716</v>
      </c>
      <c r="B1717" s="26">
        <v>45611</v>
      </c>
      <c r="C1717" s="25" t="s">
        <v>68</v>
      </c>
      <c r="D1717" s="25" t="s">
        <v>22</v>
      </c>
      <c r="E1717" s="25" t="s">
        <v>103</v>
      </c>
      <c r="F1717" s="25">
        <v>1</v>
      </c>
      <c r="G1717" s="25" t="s">
        <v>102</v>
      </c>
      <c r="H1717" s="25">
        <v>30</v>
      </c>
      <c r="I1717" s="25">
        <v>20</v>
      </c>
      <c r="J1717" s="25">
        <v>30</v>
      </c>
      <c r="K1717" s="25">
        <v>20</v>
      </c>
      <c r="L1717" s="25">
        <v>10</v>
      </c>
      <c r="M1717" s="27">
        <v>50</v>
      </c>
      <c r="N1717" s="25" t="s">
        <v>55</v>
      </c>
      <c r="O1717" s="25" t="s">
        <v>28</v>
      </c>
      <c r="P1717" s="25" t="s">
        <v>32</v>
      </c>
    </row>
    <row r="1718" spans="1:16" x14ac:dyDescent="0.3">
      <c r="A1718" s="25">
        <v>1717</v>
      </c>
      <c r="B1718" s="26">
        <v>45611</v>
      </c>
      <c r="C1718" s="25" t="s">
        <v>68</v>
      </c>
      <c r="D1718" s="25" t="s">
        <v>22</v>
      </c>
      <c r="E1718" s="25" t="s">
        <v>92</v>
      </c>
      <c r="F1718" s="25">
        <v>2</v>
      </c>
      <c r="G1718" s="25" t="s">
        <v>91</v>
      </c>
      <c r="H1718" s="25">
        <v>260</v>
      </c>
      <c r="I1718" s="25">
        <v>220</v>
      </c>
      <c r="J1718" s="25">
        <v>520</v>
      </c>
      <c r="K1718" s="25">
        <v>440</v>
      </c>
      <c r="L1718" s="25">
        <v>80</v>
      </c>
      <c r="M1718" s="27">
        <v>18.181818181818201</v>
      </c>
      <c r="N1718" s="25" t="s">
        <v>55</v>
      </c>
      <c r="O1718" s="25" t="s">
        <v>28</v>
      </c>
      <c r="P1718" s="25" t="s">
        <v>32</v>
      </c>
    </row>
    <row r="1719" spans="1:16" x14ac:dyDescent="0.3">
      <c r="A1719" s="25">
        <v>1718</v>
      </c>
      <c r="B1719" s="26">
        <v>45611</v>
      </c>
      <c r="C1719" s="25" t="s">
        <v>68</v>
      </c>
      <c r="D1719" s="25" t="s">
        <v>21</v>
      </c>
      <c r="E1719" s="25" t="s">
        <v>88</v>
      </c>
      <c r="F1719" s="25">
        <v>2</v>
      </c>
      <c r="G1719" s="25" t="s">
        <v>89</v>
      </c>
      <c r="H1719" s="25">
        <v>130</v>
      </c>
      <c r="I1719" s="25">
        <v>100</v>
      </c>
      <c r="J1719" s="25">
        <v>260</v>
      </c>
      <c r="K1719" s="25">
        <v>200</v>
      </c>
      <c r="L1719" s="25">
        <v>60</v>
      </c>
      <c r="M1719" s="27">
        <v>30</v>
      </c>
      <c r="N1719" s="25" t="s">
        <v>55</v>
      </c>
      <c r="O1719" s="25" t="s">
        <v>27</v>
      </c>
      <c r="P1719" s="25" t="s">
        <v>32</v>
      </c>
    </row>
    <row r="1720" spans="1:16" x14ac:dyDescent="0.3">
      <c r="A1720" s="25">
        <v>1719</v>
      </c>
      <c r="B1720" s="26">
        <v>45611</v>
      </c>
      <c r="C1720" s="25" t="s">
        <v>68</v>
      </c>
      <c r="D1720" s="25" t="s">
        <v>21</v>
      </c>
      <c r="E1720" s="25" t="s">
        <v>95</v>
      </c>
      <c r="F1720" s="25">
        <v>7</v>
      </c>
      <c r="G1720" s="25" t="s">
        <v>89</v>
      </c>
      <c r="H1720" s="25">
        <v>150</v>
      </c>
      <c r="I1720" s="25">
        <v>100</v>
      </c>
      <c r="J1720" s="25">
        <v>1050</v>
      </c>
      <c r="K1720" s="25">
        <v>700</v>
      </c>
      <c r="L1720" s="25">
        <v>350</v>
      </c>
      <c r="M1720" s="27">
        <v>50</v>
      </c>
      <c r="N1720" s="25" t="s">
        <v>55</v>
      </c>
      <c r="O1720" s="25" t="s">
        <v>28</v>
      </c>
      <c r="P1720" s="25" t="s">
        <v>32</v>
      </c>
    </row>
    <row r="1721" spans="1:16" x14ac:dyDescent="0.3">
      <c r="A1721" s="25">
        <v>1720</v>
      </c>
      <c r="B1721" s="26">
        <v>45611</v>
      </c>
      <c r="C1721" s="25" t="s">
        <v>68</v>
      </c>
      <c r="D1721" s="25" t="s">
        <v>22</v>
      </c>
      <c r="E1721" s="25" t="s">
        <v>92</v>
      </c>
      <c r="F1721" s="25">
        <v>1.5</v>
      </c>
      <c r="G1721" s="25" t="s">
        <v>91</v>
      </c>
      <c r="H1721" s="25">
        <v>260</v>
      </c>
      <c r="I1721" s="25">
        <v>220</v>
      </c>
      <c r="J1721" s="25">
        <v>390</v>
      </c>
      <c r="K1721" s="25">
        <v>330</v>
      </c>
      <c r="L1721" s="25">
        <v>60</v>
      </c>
      <c r="M1721" s="27">
        <v>18.181818181818201</v>
      </c>
      <c r="N1721" s="25" t="s">
        <v>55</v>
      </c>
      <c r="O1721" s="25" t="s">
        <v>28</v>
      </c>
      <c r="P1721" s="25" t="s">
        <v>32</v>
      </c>
    </row>
    <row r="1722" spans="1:16" x14ac:dyDescent="0.3">
      <c r="A1722" s="25">
        <v>1721</v>
      </c>
      <c r="B1722" s="26">
        <v>45612</v>
      </c>
      <c r="C1722" s="25" t="s">
        <v>68</v>
      </c>
      <c r="D1722" s="25" t="s">
        <v>22</v>
      </c>
      <c r="E1722" s="25" t="s">
        <v>90</v>
      </c>
      <c r="F1722" s="25">
        <v>2.5</v>
      </c>
      <c r="G1722" s="25" t="s">
        <v>91</v>
      </c>
      <c r="H1722" s="25">
        <v>280</v>
      </c>
      <c r="I1722" s="25">
        <v>240</v>
      </c>
      <c r="J1722" s="25">
        <v>700</v>
      </c>
      <c r="K1722" s="25">
        <v>600</v>
      </c>
      <c r="L1722" s="25">
        <v>100</v>
      </c>
      <c r="M1722" s="27">
        <v>16.6666666666667</v>
      </c>
      <c r="N1722" s="25" t="s">
        <v>55</v>
      </c>
      <c r="O1722" s="25" t="s">
        <v>28</v>
      </c>
      <c r="P1722" s="25" t="s">
        <v>32</v>
      </c>
    </row>
    <row r="1723" spans="1:16" x14ac:dyDescent="0.3">
      <c r="A1723" s="25">
        <v>1722</v>
      </c>
      <c r="B1723" s="26">
        <v>45612</v>
      </c>
      <c r="C1723" s="25" t="s">
        <v>68</v>
      </c>
      <c r="D1723" s="25" t="s">
        <v>22</v>
      </c>
      <c r="E1723" s="25" t="s">
        <v>101</v>
      </c>
      <c r="F1723" s="25">
        <v>5</v>
      </c>
      <c r="G1723" s="25" t="s">
        <v>102</v>
      </c>
      <c r="H1723" s="25">
        <v>6</v>
      </c>
      <c r="I1723" s="25">
        <v>4</v>
      </c>
      <c r="J1723" s="25">
        <v>30</v>
      </c>
      <c r="K1723" s="25">
        <v>20</v>
      </c>
      <c r="L1723" s="25">
        <v>10</v>
      </c>
      <c r="M1723" s="27">
        <v>50</v>
      </c>
      <c r="N1723" s="25" t="s">
        <v>55</v>
      </c>
      <c r="O1723" s="25" t="s">
        <v>28</v>
      </c>
      <c r="P1723" s="25" t="s">
        <v>32</v>
      </c>
    </row>
    <row r="1724" spans="1:16" x14ac:dyDescent="0.3">
      <c r="A1724" s="25">
        <v>1723</v>
      </c>
      <c r="B1724" s="26">
        <v>45612</v>
      </c>
      <c r="C1724" s="25" t="s">
        <v>68</v>
      </c>
      <c r="D1724" s="25" t="s">
        <v>22</v>
      </c>
      <c r="E1724" s="25" t="s">
        <v>92</v>
      </c>
      <c r="F1724" s="25">
        <v>2</v>
      </c>
      <c r="G1724" s="25" t="s">
        <v>91</v>
      </c>
      <c r="H1724" s="25">
        <v>260</v>
      </c>
      <c r="I1724" s="25">
        <v>220</v>
      </c>
      <c r="J1724" s="25">
        <v>520</v>
      </c>
      <c r="K1724" s="25">
        <v>440</v>
      </c>
      <c r="L1724" s="25">
        <v>80</v>
      </c>
      <c r="M1724" s="27">
        <v>18.181818181818201</v>
      </c>
      <c r="N1724" s="25" t="s">
        <v>55</v>
      </c>
      <c r="O1724" s="25" t="s">
        <v>28</v>
      </c>
      <c r="P1724" s="25" t="s">
        <v>32</v>
      </c>
    </row>
    <row r="1725" spans="1:16" x14ac:dyDescent="0.3">
      <c r="A1725" s="25">
        <v>1724</v>
      </c>
      <c r="B1725" s="26">
        <v>45612</v>
      </c>
      <c r="C1725" s="25" t="s">
        <v>68</v>
      </c>
      <c r="D1725" s="25" t="s">
        <v>22</v>
      </c>
      <c r="E1725" s="25" t="s">
        <v>103</v>
      </c>
      <c r="F1725" s="25">
        <v>2</v>
      </c>
      <c r="G1725" s="25" t="s">
        <v>102</v>
      </c>
      <c r="H1725" s="25">
        <v>30</v>
      </c>
      <c r="I1725" s="25">
        <v>20</v>
      </c>
      <c r="J1725" s="25">
        <v>60</v>
      </c>
      <c r="K1725" s="25">
        <v>40</v>
      </c>
      <c r="L1725" s="25">
        <v>20</v>
      </c>
      <c r="M1725" s="27">
        <v>50</v>
      </c>
      <c r="N1725" s="25" t="s">
        <v>55</v>
      </c>
      <c r="O1725" s="25" t="s">
        <v>28</v>
      </c>
      <c r="P1725" s="25" t="s">
        <v>32</v>
      </c>
    </row>
    <row r="1726" spans="1:16" x14ac:dyDescent="0.3">
      <c r="A1726" s="25">
        <v>1725</v>
      </c>
      <c r="B1726" s="26">
        <v>45612</v>
      </c>
      <c r="C1726" s="25" t="s">
        <v>68</v>
      </c>
      <c r="D1726" s="25" t="s">
        <v>21</v>
      </c>
      <c r="E1726" s="25" t="s">
        <v>88</v>
      </c>
      <c r="F1726" s="25">
        <v>3</v>
      </c>
      <c r="G1726" s="25" t="s">
        <v>89</v>
      </c>
      <c r="H1726" s="25">
        <v>130</v>
      </c>
      <c r="I1726" s="25">
        <v>100</v>
      </c>
      <c r="J1726" s="25">
        <v>390</v>
      </c>
      <c r="K1726" s="25">
        <v>300</v>
      </c>
      <c r="L1726" s="25">
        <v>90</v>
      </c>
      <c r="M1726" s="27">
        <v>30</v>
      </c>
      <c r="N1726" s="25" t="s">
        <v>55</v>
      </c>
      <c r="O1726" s="25" t="s">
        <v>27</v>
      </c>
      <c r="P1726" s="25" t="s">
        <v>32</v>
      </c>
    </row>
    <row r="1727" spans="1:16" x14ac:dyDescent="0.3">
      <c r="A1727" s="25">
        <v>1726</v>
      </c>
      <c r="B1727" s="26">
        <v>45612</v>
      </c>
      <c r="C1727" s="25" t="s">
        <v>68</v>
      </c>
      <c r="D1727" s="25" t="s">
        <v>22</v>
      </c>
      <c r="E1727" s="25" t="s">
        <v>92</v>
      </c>
      <c r="F1727" s="25">
        <v>0.5</v>
      </c>
      <c r="G1727" s="25" t="s">
        <v>91</v>
      </c>
      <c r="H1727" s="25">
        <v>260</v>
      </c>
      <c r="I1727" s="25">
        <v>220</v>
      </c>
      <c r="J1727" s="25">
        <v>130</v>
      </c>
      <c r="K1727" s="25">
        <v>110</v>
      </c>
      <c r="L1727" s="25">
        <v>20</v>
      </c>
      <c r="M1727" s="27">
        <v>18.181818181818201</v>
      </c>
      <c r="N1727" s="25" t="s">
        <v>55</v>
      </c>
      <c r="O1727" s="25" t="s">
        <v>28</v>
      </c>
      <c r="P1727" s="25" t="s">
        <v>32</v>
      </c>
    </row>
    <row r="1728" spans="1:16" x14ac:dyDescent="0.3">
      <c r="A1728" s="25">
        <v>1727</v>
      </c>
      <c r="B1728" s="26">
        <v>45613</v>
      </c>
      <c r="C1728" s="25" t="s">
        <v>68</v>
      </c>
      <c r="D1728" s="25" t="s">
        <v>22</v>
      </c>
      <c r="E1728" s="25" t="s">
        <v>92</v>
      </c>
      <c r="F1728" s="25">
        <v>0.25</v>
      </c>
      <c r="G1728" s="25" t="s">
        <v>91</v>
      </c>
      <c r="H1728" s="25">
        <v>260</v>
      </c>
      <c r="I1728" s="25">
        <v>220</v>
      </c>
      <c r="J1728" s="25">
        <v>65</v>
      </c>
      <c r="K1728" s="25">
        <v>55</v>
      </c>
      <c r="L1728" s="25">
        <v>10</v>
      </c>
      <c r="M1728" s="27">
        <v>18.181818181818201</v>
      </c>
      <c r="N1728" s="25" t="s">
        <v>55</v>
      </c>
      <c r="O1728" s="25" t="s">
        <v>28</v>
      </c>
      <c r="P1728" s="25" t="s">
        <v>32</v>
      </c>
    </row>
    <row r="1729" spans="1:16" x14ac:dyDescent="0.3">
      <c r="A1729" s="25">
        <v>1728</v>
      </c>
      <c r="B1729" s="26">
        <v>45613</v>
      </c>
      <c r="C1729" s="25" t="s">
        <v>68</v>
      </c>
      <c r="D1729" s="25" t="s">
        <v>22</v>
      </c>
      <c r="E1729" s="25" t="s">
        <v>103</v>
      </c>
      <c r="F1729" s="25">
        <v>2</v>
      </c>
      <c r="G1729" s="25" t="s">
        <v>102</v>
      </c>
      <c r="H1729" s="25">
        <v>30</v>
      </c>
      <c r="I1729" s="25">
        <v>20</v>
      </c>
      <c r="J1729" s="25">
        <v>60</v>
      </c>
      <c r="K1729" s="25">
        <v>40</v>
      </c>
      <c r="L1729" s="25">
        <v>20</v>
      </c>
      <c r="M1729" s="27">
        <v>50</v>
      </c>
      <c r="N1729" s="25" t="s">
        <v>55</v>
      </c>
      <c r="O1729" s="25" t="s">
        <v>28</v>
      </c>
      <c r="P1729" s="25" t="s">
        <v>32</v>
      </c>
    </row>
    <row r="1730" spans="1:16" x14ac:dyDescent="0.3">
      <c r="A1730" s="25">
        <v>1729</v>
      </c>
      <c r="B1730" s="26">
        <v>45613</v>
      </c>
      <c r="C1730" s="25" t="s">
        <v>68</v>
      </c>
      <c r="D1730" s="25" t="s">
        <v>22</v>
      </c>
      <c r="E1730" s="25" t="s">
        <v>101</v>
      </c>
      <c r="F1730" s="25">
        <v>5</v>
      </c>
      <c r="G1730" s="25" t="s">
        <v>102</v>
      </c>
      <c r="H1730" s="25">
        <v>6</v>
      </c>
      <c r="I1730" s="25">
        <v>4</v>
      </c>
      <c r="J1730" s="25">
        <v>30</v>
      </c>
      <c r="K1730" s="25">
        <v>20</v>
      </c>
      <c r="L1730" s="25">
        <v>10</v>
      </c>
      <c r="M1730" s="27">
        <v>50</v>
      </c>
      <c r="N1730" s="25" t="s">
        <v>55</v>
      </c>
      <c r="O1730" s="25" t="s">
        <v>28</v>
      </c>
      <c r="P1730" s="25" t="s">
        <v>32</v>
      </c>
    </row>
    <row r="1731" spans="1:16" x14ac:dyDescent="0.3">
      <c r="A1731" s="25">
        <v>1730</v>
      </c>
      <c r="B1731" s="26">
        <v>45613</v>
      </c>
      <c r="C1731" s="25" t="s">
        <v>68</v>
      </c>
      <c r="D1731" s="25" t="s">
        <v>21</v>
      </c>
      <c r="E1731" s="25" t="s">
        <v>88</v>
      </c>
      <c r="F1731" s="25">
        <v>2</v>
      </c>
      <c r="G1731" s="25" t="s">
        <v>89</v>
      </c>
      <c r="H1731" s="25">
        <v>130</v>
      </c>
      <c r="I1731" s="25">
        <v>100</v>
      </c>
      <c r="J1731" s="25">
        <v>260</v>
      </c>
      <c r="K1731" s="25">
        <v>200</v>
      </c>
      <c r="L1731" s="25">
        <v>60</v>
      </c>
      <c r="M1731" s="27">
        <v>30</v>
      </c>
      <c r="N1731" s="25" t="s">
        <v>55</v>
      </c>
      <c r="O1731" s="25" t="s">
        <v>27</v>
      </c>
      <c r="P1731" s="25" t="s">
        <v>32</v>
      </c>
    </row>
    <row r="1732" spans="1:16" x14ac:dyDescent="0.3">
      <c r="A1732" s="25">
        <v>1731</v>
      </c>
      <c r="B1732" s="26">
        <v>45613</v>
      </c>
      <c r="C1732" s="25" t="s">
        <v>68</v>
      </c>
      <c r="D1732" s="25" t="s">
        <v>21</v>
      </c>
      <c r="E1732" s="25" t="s">
        <v>88</v>
      </c>
      <c r="F1732" s="25">
        <v>5</v>
      </c>
      <c r="G1732" s="25" t="s">
        <v>89</v>
      </c>
      <c r="H1732" s="25">
        <v>130</v>
      </c>
      <c r="I1732" s="25">
        <v>100</v>
      </c>
      <c r="J1732" s="25">
        <v>650</v>
      </c>
      <c r="K1732" s="25">
        <v>500</v>
      </c>
      <c r="L1732" s="25">
        <v>150</v>
      </c>
      <c r="M1732" s="27">
        <v>30</v>
      </c>
      <c r="N1732" s="25" t="s">
        <v>55</v>
      </c>
      <c r="O1732" s="25" t="s">
        <v>27</v>
      </c>
      <c r="P1732" s="25" t="s">
        <v>32</v>
      </c>
    </row>
    <row r="1733" spans="1:16" x14ac:dyDescent="0.3">
      <c r="A1733" s="25">
        <v>1732</v>
      </c>
      <c r="B1733" s="26">
        <v>45613</v>
      </c>
      <c r="C1733" s="25" t="s">
        <v>68</v>
      </c>
      <c r="D1733" s="25" t="s">
        <v>22</v>
      </c>
      <c r="E1733" s="25" t="s">
        <v>92</v>
      </c>
      <c r="F1733" s="25">
        <v>1</v>
      </c>
      <c r="G1733" s="25" t="s">
        <v>91</v>
      </c>
      <c r="H1733" s="25">
        <v>260</v>
      </c>
      <c r="I1733" s="25">
        <v>220</v>
      </c>
      <c r="J1733" s="25">
        <v>260</v>
      </c>
      <c r="K1733" s="25">
        <v>220</v>
      </c>
      <c r="L1733" s="25">
        <v>40</v>
      </c>
      <c r="M1733" s="27">
        <v>18.181818181818201</v>
      </c>
      <c r="N1733" s="25" t="s">
        <v>55</v>
      </c>
      <c r="O1733" s="25" t="s">
        <v>28</v>
      </c>
      <c r="P1733" s="25" t="s">
        <v>32</v>
      </c>
    </row>
    <row r="1734" spans="1:16" x14ac:dyDescent="0.3">
      <c r="A1734" s="25">
        <v>1733</v>
      </c>
      <c r="B1734" s="26">
        <v>45613</v>
      </c>
      <c r="C1734" s="25" t="s">
        <v>68</v>
      </c>
      <c r="D1734" s="25" t="s">
        <v>21</v>
      </c>
      <c r="E1734" s="25" t="s">
        <v>88</v>
      </c>
      <c r="F1734" s="25">
        <v>2</v>
      </c>
      <c r="G1734" s="25" t="s">
        <v>89</v>
      </c>
      <c r="H1734" s="25">
        <v>130</v>
      </c>
      <c r="I1734" s="25">
        <v>100</v>
      </c>
      <c r="J1734" s="25">
        <v>260</v>
      </c>
      <c r="K1734" s="25">
        <v>200</v>
      </c>
      <c r="L1734" s="25">
        <v>60</v>
      </c>
      <c r="M1734" s="27">
        <v>30</v>
      </c>
      <c r="N1734" s="25" t="s">
        <v>55</v>
      </c>
      <c r="O1734" s="25" t="s">
        <v>27</v>
      </c>
      <c r="P1734" s="25" t="s">
        <v>32</v>
      </c>
    </row>
    <row r="1735" spans="1:16" x14ac:dyDescent="0.3">
      <c r="A1735" s="25">
        <v>1734</v>
      </c>
      <c r="B1735" s="26">
        <v>45613</v>
      </c>
      <c r="C1735" s="25" t="s">
        <v>68</v>
      </c>
      <c r="D1735" s="25" t="s">
        <v>22</v>
      </c>
      <c r="E1735" s="25" t="s">
        <v>96</v>
      </c>
      <c r="F1735" s="25">
        <v>1</v>
      </c>
      <c r="G1735" s="25" t="s">
        <v>97</v>
      </c>
      <c r="H1735" s="25">
        <v>300</v>
      </c>
      <c r="I1735" s="25">
        <v>265</v>
      </c>
      <c r="J1735" s="25">
        <v>300</v>
      </c>
      <c r="K1735" s="25">
        <v>265</v>
      </c>
      <c r="L1735" s="25">
        <v>35</v>
      </c>
      <c r="M1735" s="27">
        <v>13.207547169811299</v>
      </c>
      <c r="N1735" s="25" t="s">
        <v>55</v>
      </c>
      <c r="O1735" s="25" t="s">
        <v>28</v>
      </c>
      <c r="P1735" s="25" t="s">
        <v>32</v>
      </c>
    </row>
    <row r="1736" spans="1:16" x14ac:dyDescent="0.3">
      <c r="A1736" s="25">
        <v>1735</v>
      </c>
      <c r="B1736" s="26">
        <v>45613</v>
      </c>
      <c r="C1736" s="25" t="s">
        <v>68</v>
      </c>
      <c r="D1736" s="25" t="s">
        <v>22</v>
      </c>
      <c r="E1736" s="25" t="s">
        <v>90</v>
      </c>
      <c r="F1736" s="25">
        <v>2.5</v>
      </c>
      <c r="G1736" s="25" t="s">
        <v>91</v>
      </c>
      <c r="H1736" s="25">
        <v>280</v>
      </c>
      <c r="I1736" s="25">
        <v>240</v>
      </c>
      <c r="J1736" s="25">
        <v>700</v>
      </c>
      <c r="K1736" s="25">
        <v>600</v>
      </c>
      <c r="L1736" s="25">
        <v>100</v>
      </c>
      <c r="M1736" s="27">
        <v>16.6666666666667</v>
      </c>
      <c r="N1736" s="25" t="s">
        <v>55</v>
      </c>
      <c r="O1736" s="25" t="s">
        <v>28</v>
      </c>
      <c r="P1736" s="25" t="s">
        <v>32</v>
      </c>
    </row>
    <row r="1737" spans="1:16" x14ac:dyDescent="0.3">
      <c r="A1737" s="25">
        <v>1736</v>
      </c>
      <c r="B1737" s="26">
        <v>45614</v>
      </c>
      <c r="C1737" s="25" t="s">
        <v>68</v>
      </c>
      <c r="D1737" s="25" t="s">
        <v>22</v>
      </c>
      <c r="E1737" s="25" t="s">
        <v>92</v>
      </c>
      <c r="F1737" s="25">
        <v>1.25</v>
      </c>
      <c r="G1737" s="25" t="s">
        <v>91</v>
      </c>
      <c r="H1737" s="25">
        <v>260</v>
      </c>
      <c r="I1737" s="25">
        <v>220</v>
      </c>
      <c r="J1737" s="25">
        <v>325</v>
      </c>
      <c r="K1737" s="25">
        <v>275</v>
      </c>
      <c r="L1737" s="25">
        <v>50</v>
      </c>
      <c r="M1737" s="27">
        <v>18.181818181818201</v>
      </c>
      <c r="N1737" s="25" t="s">
        <v>55</v>
      </c>
      <c r="O1737" s="25" t="s">
        <v>28</v>
      </c>
      <c r="P1737" s="25" t="s">
        <v>33</v>
      </c>
    </row>
    <row r="1738" spans="1:16" x14ac:dyDescent="0.3">
      <c r="A1738" s="25">
        <v>1737</v>
      </c>
      <c r="B1738" s="26">
        <v>45614</v>
      </c>
      <c r="C1738" s="25" t="s">
        <v>68</v>
      </c>
      <c r="D1738" s="25" t="s">
        <v>22</v>
      </c>
      <c r="E1738" s="25" t="s">
        <v>101</v>
      </c>
      <c r="F1738" s="25">
        <v>12</v>
      </c>
      <c r="G1738" s="25" t="s">
        <v>102</v>
      </c>
      <c r="H1738" s="25">
        <v>6</v>
      </c>
      <c r="I1738" s="25">
        <v>4</v>
      </c>
      <c r="J1738" s="25">
        <v>72</v>
      </c>
      <c r="K1738" s="25">
        <v>48</v>
      </c>
      <c r="L1738" s="25">
        <v>24</v>
      </c>
      <c r="M1738" s="27">
        <v>50</v>
      </c>
      <c r="N1738" s="25" t="s">
        <v>55</v>
      </c>
      <c r="O1738" s="25" t="s">
        <v>28</v>
      </c>
      <c r="P1738" s="25" t="s">
        <v>33</v>
      </c>
    </row>
    <row r="1739" spans="1:16" x14ac:dyDescent="0.3">
      <c r="A1739" s="25">
        <v>1738</v>
      </c>
      <c r="B1739" s="26">
        <v>45614</v>
      </c>
      <c r="C1739" s="25" t="s">
        <v>68</v>
      </c>
      <c r="D1739" s="25" t="s">
        <v>22</v>
      </c>
      <c r="E1739" s="25" t="s">
        <v>103</v>
      </c>
      <c r="F1739" s="25">
        <v>2</v>
      </c>
      <c r="G1739" s="25" t="s">
        <v>102</v>
      </c>
      <c r="H1739" s="25">
        <v>30</v>
      </c>
      <c r="I1739" s="25">
        <v>20</v>
      </c>
      <c r="J1739" s="25">
        <v>60</v>
      </c>
      <c r="K1739" s="25">
        <v>40</v>
      </c>
      <c r="L1739" s="25">
        <v>20</v>
      </c>
      <c r="M1739" s="27">
        <v>50</v>
      </c>
      <c r="N1739" s="25" t="s">
        <v>55</v>
      </c>
      <c r="O1739" s="25" t="s">
        <v>28</v>
      </c>
      <c r="P1739" s="25" t="s">
        <v>32</v>
      </c>
    </row>
    <row r="1740" spans="1:16" x14ac:dyDescent="0.3">
      <c r="A1740" s="25">
        <v>1739</v>
      </c>
      <c r="B1740" s="26">
        <v>45614</v>
      </c>
      <c r="C1740" s="25" t="s">
        <v>68</v>
      </c>
      <c r="D1740" s="25" t="s">
        <v>22</v>
      </c>
      <c r="E1740" s="25" t="s">
        <v>92</v>
      </c>
      <c r="F1740" s="25">
        <v>0.5</v>
      </c>
      <c r="G1740" s="25" t="s">
        <v>91</v>
      </c>
      <c r="H1740" s="25">
        <v>260</v>
      </c>
      <c r="I1740" s="25">
        <v>220</v>
      </c>
      <c r="J1740" s="25">
        <v>130</v>
      </c>
      <c r="K1740" s="25">
        <v>110</v>
      </c>
      <c r="L1740" s="25">
        <v>20</v>
      </c>
      <c r="M1740" s="27">
        <v>18.181818181818201</v>
      </c>
      <c r="N1740" s="25" t="s">
        <v>55</v>
      </c>
      <c r="O1740" s="25" t="s">
        <v>28</v>
      </c>
      <c r="P1740" s="25" t="s">
        <v>32</v>
      </c>
    </row>
    <row r="1741" spans="1:16" x14ac:dyDescent="0.3">
      <c r="A1741" s="25">
        <v>1740</v>
      </c>
      <c r="B1741" s="26">
        <v>45614</v>
      </c>
      <c r="C1741" s="25" t="s">
        <v>68</v>
      </c>
      <c r="D1741" s="25" t="s">
        <v>22</v>
      </c>
      <c r="E1741" s="25" t="s">
        <v>96</v>
      </c>
      <c r="F1741" s="25">
        <v>1</v>
      </c>
      <c r="G1741" s="25" t="s">
        <v>97</v>
      </c>
      <c r="H1741" s="25">
        <v>300</v>
      </c>
      <c r="I1741" s="25">
        <v>265</v>
      </c>
      <c r="J1741" s="25">
        <v>300</v>
      </c>
      <c r="K1741" s="25">
        <v>265</v>
      </c>
      <c r="L1741" s="25">
        <v>35</v>
      </c>
      <c r="M1741" s="27">
        <v>13.207547169811299</v>
      </c>
      <c r="N1741" s="25" t="s">
        <v>55</v>
      </c>
      <c r="O1741" s="25" t="s">
        <v>28</v>
      </c>
      <c r="P1741" s="25" t="s">
        <v>32</v>
      </c>
    </row>
    <row r="1742" spans="1:16" x14ac:dyDescent="0.3">
      <c r="A1742" s="25">
        <v>1741</v>
      </c>
      <c r="B1742" s="26">
        <v>45614</v>
      </c>
      <c r="C1742" s="25" t="s">
        <v>68</v>
      </c>
      <c r="D1742" s="25" t="s">
        <v>21</v>
      </c>
      <c r="E1742" s="25" t="s">
        <v>88</v>
      </c>
      <c r="F1742" s="25">
        <v>2</v>
      </c>
      <c r="G1742" s="25" t="s">
        <v>89</v>
      </c>
      <c r="H1742" s="25">
        <v>130</v>
      </c>
      <c r="I1742" s="25">
        <v>100</v>
      </c>
      <c r="J1742" s="25">
        <v>260</v>
      </c>
      <c r="K1742" s="25">
        <v>200</v>
      </c>
      <c r="L1742" s="25">
        <v>60</v>
      </c>
      <c r="M1742" s="27">
        <v>30</v>
      </c>
      <c r="N1742" s="25" t="s">
        <v>55</v>
      </c>
      <c r="O1742" s="25" t="s">
        <v>27</v>
      </c>
      <c r="P1742" s="25" t="s">
        <v>32</v>
      </c>
    </row>
    <row r="1743" spans="1:16" x14ac:dyDescent="0.3">
      <c r="A1743" s="25">
        <v>1742</v>
      </c>
      <c r="B1743" s="26">
        <v>45614</v>
      </c>
      <c r="C1743" s="25" t="s">
        <v>68</v>
      </c>
      <c r="D1743" s="25" t="s">
        <v>22</v>
      </c>
      <c r="E1743" s="25" t="s">
        <v>96</v>
      </c>
      <c r="F1743" s="25">
        <v>1</v>
      </c>
      <c r="G1743" s="25" t="s">
        <v>97</v>
      </c>
      <c r="H1743" s="25">
        <v>300</v>
      </c>
      <c r="I1743" s="25">
        <v>265</v>
      </c>
      <c r="J1743" s="25">
        <v>300</v>
      </c>
      <c r="K1743" s="25">
        <v>265</v>
      </c>
      <c r="L1743" s="25">
        <v>35</v>
      </c>
      <c r="M1743" s="27">
        <v>13.207547169811299</v>
      </c>
      <c r="N1743" s="25" t="s">
        <v>55</v>
      </c>
      <c r="O1743" s="25" t="s">
        <v>28</v>
      </c>
      <c r="P1743" s="25" t="s">
        <v>32</v>
      </c>
    </row>
    <row r="1744" spans="1:16" x14ac:dyDescent="0.3">
      <c r="A1744" s="25">
        <v>1743</v>
      </c>
      <c r="B1744" s="26">
        <v>45615</v>
      </c>
      <c r="C1744" s="25" t="s">
        <v>68</v>
      </c>
      <c r="D1744" s="25" t="s">
        <v>22</v>
      </c>
      <c r="E1744" s="25" t="s">
        <v>92</v>
      </c>
      <c r="F1744" s="25">
        <v>0.25</v>
      </c>
      <c r="G1744" s="25" t="s">
        <v>91</v>
      </c>
      <c r="H1744" s="25">
        <v>260</v>
      </c>
      <c r="I1744" s="25">
        <v>220</v>
      </c>
      <c r="J1744" s="25">
        <v>65</v>
      </c>
      <c r="K1744" s="25">
        <v>55</v>
      </c>
      <c r="L1744" s="25">
        <v>10</v>
      </c>
      <c r="M1744" s="27">
        <v>18.181818181818201</v>
      </c>
      <c r="N1744" s="25" t="s">
        <v>55</v>
      </c>
      <c r="O1744" s="25" t="s">
        <v>28</v>
      </c>
      <c r="P1744" s="25" t="s">
        <v>32</v>
      </c>
    </row>
    <row r="1745" spans="1:16" x14ac:dyDescent="0.3">
      <c r="A1745" s="25">
        <v>1744</v>
      </c>
      <c r="B1745" s="26">
        <v>45615</v>
      </c>
      <c r="C1745" s="25" t="s">
        <v>68</v>
      </c>
      <c r="D1745" s="25" t="s">
        <v>22</v>
      </c>
      <c r="E1745" s="25" t="s">
        <v>90</v>
      </c>
      <c r="F1745" s="25">
        <v>0.5</v>
      </c>
      <c r="G1745" s="25" t="s">
        <v>91</v>
      </c>
      <c r="H1745" s="25">
        <v>280</v>
      </c>
      <c r="I1745" s="25">
        <v>240</v>
      </c>
      <c r="J1745" s="25">
        <v>140</v>
      </c>
      <c r="K1745" s="25">
        <v>120</v>
      </c>
      <c r="L1745" s="25">
        <v>20</v>
      </c>
      <c r="M1745" s="27">
        <v>16.6666666666667</v>
      </c>
      <c r="N1745" s="25" t="s">
        <v>55</v>
      </c>
      <c r="O1745" s="25" t="s">
        <v>28</v>
      </c>
      <c r="P1745" s="25" t="s">
        <v>32</v>
      </c>
    </row>
    <row r="1746" spans="1:16" x14ac:dyDescent="0.3">
      <c r="A1746" s="25">
        <v>1745</v>
      </c>
      <c r="B1746" s="26">
        <v>45615</v>
      </c>
      <c r="C1746" s="25" t="s">
        <v>68</v>
      </c>
      <c r="D1746" s="25" t="s">
        <v>22</v>
      </c>
      <c r="E1746" s="25" t="s">
        <v>96</v>
      </c>
      <c r="F1746" s="25">
        <v>1</v>
      </c>
      <c r="G1746" s="25" t="s">
        <v>97</v>
      </c>
      <c r="H1746" s="25">
        <v>300</v>
      </c>
      <c r="I1746" s="25">
        <v>265</v>
      </c>
      <c r="J1746" s="25">
        <v>300</v>
      </c>
      <c r="K1746" s="25">
        <v>265</v>
      </c>
      <c r="L1746" s="25">
        <v>35</v>
      </c>
      <c r="M1746" s="27">
        <v>13.207547169811299</v>
      </c>
      <c r="N1746" s="25" t="s">
        <v>55</v>
      </c>
      <c r="O1746" s="25" t="s">
        <v>28</v>
      </c>
      <c r="P1746" s="25" t="s">
        <v>32</v>
      </c>
    </row>
    <row r="1747" spans="1:16" x14ac:dyDescent="0.3">
      <c r="A1747" s="25">
        <v>1746</v>
      </c>
      <c r="B1747" s="26">
        <v>45615</v>
      </c>
      <c r="C1747" s="25" t="s">
        <v>68</v>
      </c>
      <c r="D1747" s="25" t="s">
        <v>22</v>
      </c>
      <c r="E1747" s="25" t="s">
        <v>92</v>
      </c>
      <c r="F1747" s="25">
        <v>1.5</v>
      </c>
      <c r="G1747" s="25" t="s">
        <v>91</v>
      </c>
      <c r="H1747" s="25">
        <v>260</v>
      </c>
      <c r="I1747" s="25">
        <v>220</v>
      </c>
      <c r="J1747" s="25">
        <v>390</v>
      </c>
      <c r="K1747" s="25">
        <v>330</v>
      </c>
      <c r="L1747" s="25">
        <v>60</v>
      </c>
      <c r="M1747" s="27">
        <v>18.181818181818201</v>
      </c>
      <c r="N1747" s="25" t="s">
        <v>55</v>
      </c>
      <c r="O1747" s="25" t="s">
        <v>28</v>
      </c>
      <c r="P1747" s="25" t="s">
        <v>32</v>
      </c>
    </row>
    <row r="1748" spans="1:16" x14ac:dyDescent="0.3">
      <c r="A1748" s="25">
        <v>1747</v>
      </c>
      <c r="B1748" s="26">
        <v>45615</v>
      </c>
      <c r="C1748" s="25" t="s">
        <v>68</v>
      </c>
      <c r="D1748" s="25" t="s">
        <v>22</v>
      </c>
      <c r="E1748" s="25" t="s">
        <v>103</v>
      </c>
      <c r="F1748" s="25">
        <v>1</v>
      </c>
      <c r="G1748" s="25" t="s">
        <v>102</v>
      </c>
      <c r="H1748" s="25">
        <v>30</v>
      </c>
      <c r="I1748" s="25">
        <v>20</v>
      </c>
      <c r="J1748" s="25">
        <v>30</v>
      </c>
      <c r="K1748" s="25">
        <v>20</v>
      </c>
      <c r="L1748" s="25">
        <v>10</v>
      </c>
      <c r="M1748" s="27">
        <v>50</v>
      </c>
      <c r="N1748" s="25" t="s">
        <v>55</v>
      </c>
      <c r="O1748" s="25" t="s">
        <v>28</v>
      </c>
      <c r="P1748" s="25" t="s">
        <v>32</v>
      </c>
    </row>
    <row r="1749" spans="1:16" x14ac:dyDescent="0.3">
      <c r="A1749" s="25">
        <v>1748</v>
      </c>
      <c r="B1749" s="26">
        <v>45615</v>
      </c>
      <c r="C1749" s="25" t="s">
        <v>68</v>
      </c>
      <c r="D1749" s="25" t="s">
        <v>22</v>
      </c>
      <c r="E1749" s="25" t="s">
        <v>101</v>
      </c>
      <c r="F1749" s="25">
        <v>5</v>
      </c>
      <c r="G1749" s="25" t="s">
        <v>102</v>
      </c>
      <c r="H1749" s="25">
        <v>6</v>
      </c>
      <c r="I1749" s="25">
        <v>4</v>
      </c>
      <c r="J1749" s="25">
        <v>30</v>
      </c>
      <c r="K1749" s="25">
        <v>20</v>
      </c>
      <c r="L1749" s="25">
        <v>10</v>
      </c>
      <c r="M1749" s="27">
        <v>50</v>
      </c>
      <c r="N1749" s="25" t="s">
        <v>55</v>
      </c>
      <c r="O1749" s="25" t="s">
        <v>28</v>
      </c>
      <c r="P1749" s="25" t="s">
        <v>32</v>
      </c>
    </row>
    <row r="1750" spans="1:16" x14ac:dyDescent="0.3">
      <c r="A1750" s="25">
        <v>1749</v>
      </c>
      <c r="B1750" s="26">
        <v>45615</v>
      </c>
      <c r="C1750" s="25" t="s">
        <v>68</v>
      </c>
      <c r="D1750" s="25" t="s">
        <v>21</v>
      </c>
      <c r="E1750" s="25" t="s">
        <v>88</v>
      </c>
      <c r="F1750" s="25">
        <v>1</v>
      </c>
      <c r="G1750" s="25" t="s">
        <v>89</v>
      </c>
      <c r="H1750" s="25">
        <v>130</v>
      </c>
      <c r="I1750" s="25">
        <v>100</v>
      </c>
      <c r="J1750" s="25">
        <v>130</v>
      </c>
      <c r="K1750" s="25">
        <v>100</v>
      </c>
      <c r="L1750" s="25">
        <v>30</v>
      </c>
      <c r="M1750" s="27">
        <v>30</v>
      </c>
      <c r="N1750" s="25" t="s">
        <v>55</v>
      </c>
      <c r="O1750" s="25" t="s">
        <v>27</v>
      </c>
      <c r="P1750" s="25" t="s">
        <v>32</v>
      </c>
    </row>
    <row r="1751" spans="1:16" x14ac:dyDescent="0.3">
      <c r="A1751" s="25">
        <v>1750</v>
      </c>
      <c r="B1751" s="26">
        <v>45617</v>
      </c>
      <c r="C1751" s="25" t="s">
        <v>68</v>
      </c>
      <c r="D1751" s="25" t="s">
        <v>22</v>
      </c>
      <c r="E1751" s="25" t="s">
        <v>92</v>
      </c>
      <c r="F1751" s="25">
        <v>1</v>
      </c>
      <c r="G1751" s="25" t="s">
        <v>91</v>
      </c>
      <c r="H1751" s="25">
        <v>260</v>
      </c>
      <c r="I1751" s="25">
        <v>220</v>
      </c>
      <c r="J1751" s="25">
        <v>260</v>
      </c>
      <c r="K1751" s="25">
        <v>220</v>
      </c>
      <c r="L1751" s="25">
        <v>40</v>
      </c>
      <c r="M1751" s="27">
        <v>18.181818181818201</v>
      </c>
      <c r="N1751" s="25" t="s">
        <v>55</v>
      </c>
      <c r="O1751" s="25" t="s">
        <v>28</v>
      </c>
      <c r="P1751" s="25" t="s">
        <v>32</v>
      </c>
    </row>
    <row r="1752" spans="1:16" x14ac:dyDescent="0.3">
      <c r="A1752" s="25">
        <v>1751</v>
      </c>
      <c r="B1752" s="26">
        <v>45617</v>
      </c>
      <c r="C1752" s="25" t="s">
        <v>68</v>
      </c>
      <c r="D1752" s="25" t="s">
        <v>22</v>
      </c>
      <c r="E1752" s="25" t="s">
        <v>96</v>
      </c>
      <c r="F1752" s="25">
        <v>1</v>
      </c>
      <c r="G1752" s="25" t="s">
        <v>97</v>
      </c>
      <c r="H1752" s="25">
        <v>300</v>
      </c>
      <c r="I1752" s="25">
        <v>265</v>
      </c>
      <c r="J1752" s="25">
        <v>300</v>
      </c>
      <c r="K1752" s="25">
        <v>265</v>
      </c>
      <c r="L1752" s="25">
        <v>35</v>
      </c>
      <c r="M1752" s="27">
        <v>13.207547169811299</v>
      </c>
      <c r="N1752" s="25" t="s">
        <v>55</v>
      </c>
      <c r="O1752" s="25" t="s">
        <v>28</v>
      </c>
      <c r="P1752" s="25" t="s">
        <v>32</v>
      </c>
    </row>
    <row r="1753" spans="1:16" x14ac:dyDescent="0.3">
      <c r="A1753" s="25">
        <v>1752</v>
      </c>
      <c r="B1753" s="26">
        <v>45617</v>
      </c>
      <c r="C1753" s="25" t="s">
        <v>68</v>
      </c>
      <c r="D1753" s="25" t="s">
        <v>22</v>
      </c>
      <c r="E1753" s="25" t="s">
        <v>90</v>
      </c>
      <c r="F1753" s="25">
        <v>1.25</v>
      </c>
      <c r="G1753" s="25" t="s">
        <v>91</v>
      </c>
      <c r="H1753" s="25">
        <v>280</v>
      </c>
      <c r="I1753" s="25">
        <v>240</v>
      </c>
      <c r="J1753" s="25">
        <v>350</v>
      </c>
      <c r="K1753" s="25">
        <v>300</v>
      </c>
      <c r="L1753" s="25">
        <v>50</v>
      </c>
      <c r="M1753" s="27">
        <v>16.6666666666667</v>
      </c>
      <c r="N1753" s="25" t="s">
        <v>55</v>
      </c>
      <c r="O1753" s="25" t="s">
        <v>28</v>
      </c>
      <c r="P1753" s="25" t="s">
        <v>32</v>
      </c>
    </row>
    <row r="1754" spans="1:16" x14ac:dyDescent="0.3">
      <c r="A1754" s="25">
        <v>1753</v>
      </c>
      <c r="B1754" s="26">
        <v>45617</v>
      </c>
      <c r="C1754" s="25" t="s">
        <v>68</v>
      </c>
      <c r="D1754" s="25" t="s">
        <v>22</v>
      </c>
      <c r="E1754" s="25" t="s">
        <v>92</v>
      </c>
      <c r="F1754" s="25">
        <v>1.5</v>
      </c>
      <c r="G1754" s="25" t="s">
        <v>91</v>
      </c>
      <c r="H1754" s="25">
        <v>260</v>
      </c>
      <c r="I1754" s="25">
        <v>220</v>
      </c>
      <c r="J1754" s="25">
        <v>390</v>
      </c>
      <c r="K1754" s="25">
        <v>330</v>
      </c>
      <c r="L1754" s="25">
        <v>60</v>
      </c>
      <c r="M1754" s="27">
        <v>18.181818181818201</v>
      </c>
      <c r="N1754" s="25" t="s">
        <v>55</v>
      </c>
      <c r="O1754" s="25" t="s">
        <v>28</v>
      </c>
      <c r="P1754" s="25" t="s">
        <v>32</v>
      </c>
    </row>
    <row r="1755" spans="1:16" x14ac:dyDescent="0.3">
      <c r="A1755" s="25">
        <v>1754</v>
      </c>
      <c r="B1755" s="26">
        <v>45617</v>
      </c>
      <c r="C1755" s="25" t="s">
        <v>68</v>
      </c>
      <c r="D1755" s="25" t="s">
        <v>22</v>
      </c>
      <c r="E1755" s="25" t="s">
        <v>96</v>
      </c>
      <c r="F1755" s="25">
        <v>1</v>
      </c>
      <c r="G1755" s="25" t="s">
        <v>97</v>
      </c>
      <c r="H1755" s="25">
        <v>300</v>
      </c>
      <c r="I1755" s="25">
        <v>265</v>
      </c>
      <c r="J1755" s="25">
        <v>300</v>
      </c>
      <c r="K1755" s="25">
        <v>265</v>
      </c>
      <c r="L1755" s="25">
        <v>35</v>
      </c>
      <c r="M1755" s="27">
        <v>13.207547169811299</v>
      </c>
      <c r="N1755" s="25" t="s">
        <v>55</v>
      </c>
      <c r="O1755" s="25" t="s">
        <v>28</v>
      </c>
      <c r="P1755" s="25" t="s">
        <v>32</v>
      </c>
    </row>
    <row r="1756" spans="1:16" x14ac:dyDescent="0.3">
      <c r="A1756" s="25">
        <v>1755</v>
      </c>
      <c r="B1756" s="26">
        <v>45618</v>
      </c>
      <c r="C1756" s="25" t="s">
        <v>68</v>
      </c>
      <c r="D1756" s="25" t="s">
        <v>21</v>
      </c>
      <c r="E1756" s="25" t="s">
        <v>88</v>
      </c>
      <c r="F1756" s="25">
        <v>2</v>
      </c>
      <c r="G1756" s="25" t="s">
        <v>89</v>
      </c>
      <c r="H1756" s="25">
        <v>130</v>
      </c>
      <c r="I1756" s="25">
        <v>100</v>
      </c>
      <c r="J1756" s="25">
        <v>260</v>
      </c>
      <c r="K1756" s="25">
        <v>200</v>
      </c>
      <c r="L1756" s="25">
        <v>60</v>
      </c>
      <c r="M1756" s="27">
        <v>30</v>
      </c>
      <c r="N1756" s="25" t="s">
        <v>55</v>
      </c>
      <c r="O1756" s="25" t="s">
        <v>27</v>
      </c>
      <c r="P1756" s="25" t="s">
        <v>32</v>
      </c>
    </row>
    <row r="1757" spans="1:16" x14ac:dyDescent="0.3">
      <c r="A1757" s="25">
        <v>1756</v>
      </c>
      <c r="B1757" s="26">
        <v>45618</v>
      </c>
      <c r="C1757" s="25" t="s">
        <v>68</v>
      </c>
      <c r="D1757" s="25" t="s">
        <v>22</v>
      </c>
      <c r="E1757" s="25" t="s">
        <v>92</v>
      </c>
      <c r="F1757" s="25">
        <v>1.25</v>
      </c>
      <c r="G1757" s="25" t="s">
        <v>91</v>
      </c>
      <c r="H1757" s="25">
        <v>260</v>
      </c>
      <c r="I1757" s="25">
        <v>220</v>
      </c>
      <c r="J1757" s="25">
        <v>325</v>
      </c>
      <c r="K1757" s="25">
        <v>275</v>
      </c>
      <c r="L1757" s="25">
        <v>50</v>
      </c>
      <c r="M1757" s="27">
        <v>18.181818181818201</v>
      </c>
      <c r="N1757" s="25" t="s">
        <v>55</v>
      </c>
      <c r="O1757" s="25" t="s">
        <v>28</v>
      </c>
      <c r="P1757" s="25" t="s">
        <v>32</v>
      </c>
    </row>
    <row r="1758" spans="1:16" x14ac:dyDescent="0.3">
      <c r="A1758" s="25">
        <v>1757</v>
      </c>
      <c r="B1758" s="26">
        <v>45618</v>
      </c>
      <c r="C1758" s="25" t="s">
        <v>68</v>
      </c>
      <c r="D1758" s="25" t="s">
        <v>22</v>
      </c>
      <c r="E1758" s="25" t="s">
        <v>96</v>
      </c>
      <c r="F1758" s="25">
        <v>1</v>
      </c>
      <c r="G1758" s="25" t="s">
        <v>97</v>
      </c>
      <c r="H1758" s="25">
        <v>300</v>
      </c>
      <c r="I1758" s="25">
        <v>265</v>
      </c>
      <c r="J1758" s="25">
        <v>300</v>
      </c>
      <c r="K1758" s="25">
        <v>265</v>
      </c>
      <c r="L1758" s="25">
        <v>35</v>
      </c>
      <c r="M1758" s="27">
        <v>13.207547169811299</v>
      </c>
      <c r="N1758" s="25" t="s">
        <v>55</v>
      </c>
      <c r="O1758" s="25" t="s">
        <v>28</v>
      </c>
      <c r="P1758" s="25" t="s">
        <v>32</v>
      </c>
    </row>
    <row r="1759" spans="1:16" x14ac:dyDescent="0.3">
      <c r="A1759" s="25">
        <v>1758</v>
      </c>
      <c r="B1759" s="26">
        <v>45618</v>
      </c>
      <c r="C1759" s="25" t="s">
        <v>68</v>
      </c>
      <c r="D1759" s="25" t="s">
        <v>22</v>
      </c>
      <c r="E1759" s="25" t="s">
        <v>101</v>
      </c>
      <c r="F1759" s="25">
        <v>6</v>
      </c>
      <c r="G1759" s="25" t="s">
        <v>102</v>
      </c>
      <c r="H1759" s="25">
        <v>6</v>
      </c>
      <c r="I1759" s="25">
        <v>4</v>
      </c>
      <c r="J1759" s="25">
        <v>36</v>
      </c>
      <c r="K1759" s="25">
        <v>24</v>
      </c>
      <c r="L1759" s="25">
        <v>12</v>
      </c>
      <c r="M1759" s="27">
        <v>50</v>
      </c>
      <c r="N1759" s="25" t="s">
        <v>55</v>
      </c>
      <c r="O1759" s="25" t="s">
        <v>28</v>
      </c>
      <c r="P1759" s="25" t="s">
        <v>32</v>
      </c>
    </row>
    <row r="1760" spans="1:16" x14ac:dyDescent="0.3">
      <c r="A1760" s="25">
        <v>1759</v>
      </c>
      <c r="B1760" s="26">
        <v>45618</v>
      </c>
      <c r="C1760" s="25" t="s">
        <v>68</v>
      </c>
      <c r="D1760" s="25" t="s">
        <v>21</v>
      </c>
      <c r="E1760" s="25" t="s">
        <v>88</v>
      </c>
      <c r="F1760" s="25">
        <v>3</v>
      </c>
      <c r="G1760" s="25" t="s">
        <v>89</v>
      </c>
      <c r="H1760" s="25">
        <v>130</v>
      </c>
      <c r="I1760" s="25">
        <v>100</v>
      </c>
      <c r="J1760" s="25">
        <v>390</v>
      </c>
      <c r="K1760" s="25">
        <v>300</v>
      </c>
      <c r="L1760" s="25">
        <v>90</v>
      </c>
      <c r="M1760" s="27">
        <v>30</v>
      </c>
      <c r="N1760" s="25" t="s">
        <v>55</v>
      </c>
      <c r="O1760" s="25" t="s">
        <v>27</v>
      </c>
      <c r="P1760" s="25" t="s">
        <v>32</v>
      </c>
    </row>
    <row r="1761" spans="1:16" x14ac:dyDescent="0.3">
      <c r="A1761" s="25">
        <v>1760</v>
      </c>
      <c r="B1761" s="26">
        <v>45618</v>
      </c>
      <c r="C1761" s="25" t="s">
        <v>68</v>
      </c>
      <c r="D1761" s="25" t="s">
        <v>21</v>
      </c>
      <c r="E1761" s="25" t="s">
        <v>94</v>
      </c>
      <c r="F1761" s="25">
        <v>12</v>
      </c>
      <c r="G1761" s="25" t="s">
        <v>89</v>
      </c>
      <c r="H1761" s="25">
        <v>30</v>
      </c>
      <c r="I1761" s="25">
        <v>26</v>
      </c>
      <c r="J1761" s="25">
        <v>360</v>
      </c>
      <c r="K1761" s="25">
        <v>312</v>
      </c>
      <c r="L1761" s="25">
        <v>48</v>
      </c>
      <c r="M1761" s="27">
        <v>15.384615384615399</v>
      </c>
      <c r="N1761" s="25" t="s">
        <v>55</v>
      </c>
      <c r="O1761" s="25" t="s">
        <v>27</v>
      </c>
      <c r="P1761" s="25" t="s">
        <v>32</v>
      </c>
    </row>
    <row r="1762" spans="1:16" x14ac:dyDescent="0.3">
      <c r="A1762" s="25">
        <v>1761</v>
      </c>
      <c r="B1762" s="26">
        <v>45618</v>
      </c>
      <c r="C1762" s="25" t="s">
        <v>68</v>
      </c>
      <c r="D1762" s="25" t="s">
        <v>22</v>
      </c>
      <c r="E1762" s="25" t="s">
        <v>96</v>
      </c>
      <c r="F1762" s="25">
        <v>1</v>
      </c>
      <c r="G1762" s="25" t="s">
        <v>97</v>
      </c>
      <c r="H1762" s="25">
        <v>300</v>
      </c>
      <c r="I1762" s="25">
        <v>265</v>
      </c>
      <c r="J1762" s="25">
        <v>300</v>
      </c>
      <c r="K1762" s="25">
        <v>265</v>
      </c>
      <c r="L1762" s="25">
        <v>35</v>
      </c>
      <c r="M1762" s="27">
        <v>13.207547169811299</v>
      </c>
      <c r="N1762" s="25" t="s">
        <v>55</v>
      </c>
      <c r="O1762" s="25" t="s">
        <v>28</v>
      </c>
      <c r="P1762" s="25" t="s">
        <v>32</v>
      </c>
    </row>
    <row r="1763" spans="1:16" x14ac:dyDescent="0.3">
      <c r="A1763" s="25">
        <v>1762</v>
      </c>
      <c r="B1763" s="26">
        <v>45619</v>
      </c>
      <c r="C1763" s="25" t="s">
        <v>68</v>
      </c>
      <c r="D1763" s="25" t="s">
        <v>22</v>
      </c>
      <c r="E1763" s="25" t="s">
        <v>101</v>
      </c>
      <c r="F1763" s="25">
        <v>5</v>
      </c>
      <c r="G1763" s="25" t="s">
        <v>102</v>
      </c>
      <c r="H1763" s="25">
        <v>6</v>
      </c>
      <c r="I1763" s="25">
        <v>4</v>
      </c>
      <c r="J1763" s="25">
        <v>30</v>
      </c>
      <c r="K1763" s="25">
        <v>20</v>
      </c>
      <c r="L1763" s="25">
        <v>10</v>
      </c>
      <c r="M1763" s="27">
        <v>50</v>
      </c>
      <c r="N1763" s="25" t="s">
        <v>55</v>
      </c>
      <c r="O1763" s="25" t="s">
        <v>28</v>
      </c>
      <c r="P1763" s="25" t="s">
        <v>32</v>
      </c>
    </row>
    <row r="1764" spans="1:16" x14ac:dyDescent="0.3">
      <c r="A1764" s="25">
        <v>1763</v>
      </c>
      <c r="B1764" s="26">
        <v>45619</v>
      </c>
      <c r="C1764" s="25" t="s">
        <v>68</v>
      </c>
      <c r="D1764" s="25" t="s">
        <v>22</v>
      </c>
      <c r="E1764" s="25" t="s">
        <v>103</v>
      </c>
      <c r="F1764" s="25">
        <v>1</v>
      </c>
      <c r="G1764" s="25" t="s">
        <v>102</v>
      </c>
      <c r="H1764" s="25">
        <v>30</v>
      </c>
      <c r="I1764" s="25">
        <v>20</v>
      </c>
      <c r="J1764" s="25">
        <v>30</v>
      </c>
      <c r="K1764" s="25">
        <v>20</v>
      </c>
      <c r="L1764" s="25">
        <v>10</v>
      </c>
      <c r="M1764" s="27">
        <v>50</v>
      </c>
      <c r="N1764" s="25" t="s">
        <v>55</v>
      </c>
      <c r="O1764" s="25" t="s">
        <v>28</v>
      </c>
      <c r="P1764" s="25" t="s">
        <v>32</v>
      </c>
    </row>
    <row r="1765" spans="1:16" x14ac:dyDescent="0.3">
      <c r="A1765" s="25">
        <v>1764</v>
      </c>
      <c r="B1765" s="26">
        <v>45619</v>
      </c>
      <c r="C1765" s="25" t="s">
        <v>68</v>
      </c>
      <c r="D1765" s="25" t="s">
        <v>22</v>
      </c>
      <c r="E1765" s="25" t="s">
        <v>92</v>
      </c>
      <c r="F1765" s="25">
        <v>0.25</v>
      </c>
      <c r="G1765" s="25" t="s">
        <v>91</v>
      </c>
      <c r="H1765" s="25">
        <v>260</v>
      </c>
      <c r="I1765" s="25">
        <v>220</v>
      </c>
      <c r="J1765" s="25">
        <v>65</v>
      </c>
      <c r="K1765" s="25">
        <v>55</v>
      </c>
      <c r="L1765" s="25">
        <v>10</v>
      </c>
      <c r="M1765" s="27">
        <v>18.181818181818201</v>
      </c>
      <c r="N1765" s="25" t="s">
        <v>55</v>
      </c>
      <c r="O1765" s="25" t="s">
        <v>28</v>
      </c>
      <c r="P1765" s="25" t="s">
        <v>32</v>
      </c>
    </row>
    <row r="1766" spans="1:16" x14ac:dyDescent="0.3">
      <c r="A1766" s="25">
        <v>1765</v>
      </c>
      <c r="B1766" s="26">
        <v>45619</v>
      </c>
      <c r="C1766" s="25" t="s">
        <v>68</v>
      </c>
      <c r="D1766" s="25" t="s">
        <v>22</v>
      </c>
      <c r="E1766" s="25" t="s">
        <v>90</v>
      </c>
      <c r="F1766" s="25">
        <v>0.5</v>
      </c>
      <c r="G1766" s="25" t="s">
        <v>91</v>
      </c>
      <c r="H1766" s="25">
        <v>280</v>
      </c>
      <c r="I1766" s="25">
        <v>240</v>
      </c>
      <c r="J1766" s="25">
        <v>140</v>
      </c>
      <c r="K1766" s="25">
        <v>120</v>
      </c>
      <c r="L1766" s="25">
        <v>20</v>
      </c>
      <c r="M1766" s="27">
        <v>16.6666666666667</v>
      </c>
      <c r="N1766" s="25" t="s">
        <v>55</v>
      </c>
      <c r="O1766" s="25" t="s">
        <v>28</v>
      </c>
      <c r="P1766" s="25" t="s">
        <v>32</v>
      </c>
    </row>
    <row r="1767" spans="1:16" x14ac:dyDescent="0.3">
      <c r="A1767" s="25">
        <v>1766</v>
      </c>
      <c r="B1767" s="26">
        <v>45619</v>
      </c>
      <c r="C1767" s="25" t="s">
        <v>68</v>
      </c>
      <c r="D1767" s="25" t="s">
        <v>22</v>
      </c>
      <c r="E1767" s="25" t="s">
        <v>90</v>
      </c>
      <c r="F1767" s="25">
        <v>2</v>
      </c>
      <c r="G1767" s="25" t="s">
        <v>91</v>
      </c>
      <c r="H1767" s="25">
        <v>280</v>
      </c>
      <c r="I1767" s="25">
        <v>240</v>
      </c>
      <c r="J1767" s="25">
        <v>560</v>
      </c>
      <c r="K1767" s="25">
        <v>480</v>
      </c>
      <c r="L1767" s="25">
        <v>80</v>
      </c>
      <c r="M1767" s="27">
        <v>16.6666666666667</v>
      </c>
      <c r="N1767" s="25" t="s">
        <v>55</v>
      </c>
      <c r="O1767" s="25" t="s">
        <v>28</v>
      </c>
      <c r="P1767" s="25" t="s">
        <v>32</v>
      </c>
    </row>
    <row r="1768" spans="1:16" x14ac:dyDescent="0.3">
      <c r="A1768" s="25">
        <v>1767</v>
      </c>
      <c r="B1768" s="26">
        <v>45620</v>
      </c>
      <c r="C1768" s="25" t="s">
        <v>68</v>
      </c>
      <c r="D1768" s="25" t="s">
        <v>22</v>
      </c>
      <c r="E1768" s="25" t="s">
        <v>103</v>
      </c>
      <c r="F1768" s="25">
        <v>1</v>
      </c>
      <c r="G1768" s="25" t="s">
        <v>102</v>
      </c>
      <c r="H1768" s="25">
        <v>30</v>
      </c>
      <c r="I1768" s="25">
        <v>20</v>
      </c>
      <c r="J1768" s="25">
        <v>30</v>
      </c>
      <c r="K1768" s="25">
        <v>20</v>
      </c>
      <c r="L1768" s="25">
        <v>10</v>
      </c>
      <c r="M1768" s="27">
        <v>50</v>
      </c>
      <c r="N1768" s="25" t="s">
        <v>55</v>
      </c>
      <c r="O1768" s="25" t="s">
        <v>28</v>
      </c>
      <c r="P1768" s="25" t="s">
        <v>32</v>
      </c>
    </row>
    <row r="1769" spans="1:16" x14ac:dyDescent="0.3">
      <c r="A1769" s="25">
        <v>1768</v>
      </c>
      <c r="B1769" s="26">
        <v>45620</v>
      </c>
      <c r="C1769" s="25" t="s">
        <v>68</v>
      </c>
      <c r="D1769" s="25" t="s">
        <v>22</v>
      </c>
      <c r="E1769" s="25" t="s">
        <v>90</v>
      </c>
      <c r="F1769" s="25">
        <v>2</v>
      </c>
      <c r="G1769" s="25" t="s">
        <v>91</v>
      </c>
      <c r="H1769" s="25">
        <v>280</v>
      </c>
      <c r="I1769" s="25">
        <v>240</v>
      </c>
      <c r="J1769" s="25">
        <v>560</v>
      </c>
      <c r="K1769" s="25">
        <v>480</v>
      </c>
      <c r="L1769" s="25">
        <v>80</v>
      </c>
      <c r="M1769" s="27">
        <v>16.6666666666667</v>
      </c>
      <c r="N1769" s="25" t="s">
        <v>55</v>
      </c>
      <c r="O1769" s="25" t="s">
        <v>28</v>
      </c>
      <c r="P1769" s="25" t="s">
        <v>32</v>
      </c>
    </row>
    <row r="1770" spans="1:16" x14ac:dyDescent="0.3">
      <c r="A1770" s="25">
        <v>1769</v>
      </c>
      <c r="B1770" s="26">
        <v>45620</v>
      </c>
      <c r="C1770" s="25" t="s">
        <v>68</v>
      </c>
      <c r="D1770" s="25" t="s">
        <v>22</v>
      </c>
      <c r="E1770" s="25" t="s">
        <v>101</v>
      </c>
      <c r="F1770" s="25">
        <v>6</v>
      </c>
      <c r="G1770" s="25" t="s">
        <v>102</v>
      </c>
      <c r="H1770" s="25">
        <v>6</v>
      </c>
      <c r="I1770" s="25">
        <v>4</v>
      </c>
      <c r="J1770" s="25">
        <v>36</v>
      </c>
      <c r="K1770" s="25">
        <v>24</v>
      </c>
      <c r="L1770" s="25">
        <v>12</v>
      </c>
      <c r="M1770" s="27">
        <v>50</v>
      </c>
      <c r="N1770" s="25" t="s">
        <v>55</v>
      </c>
      <c r="O1770" s="25" t="s">
        <v>28</v>
      </c>
      <c r="P1770" s="25" t="s">
        <v>32</v>
      </c>
    </row>
    <row r="1771" spans="1:16" x14ac:dyDescent="0.3">
      <c r="A1771" s="25">
        <v>1770</v>
      </c>
      <c r="B1771" s="26">
        <v>45620</v>
      </c>
      <c r="C1771" s="25" t="s">
        <v>68</v>
      </c>
      <c r="D1771" s="25" t="s">
        <v>22</v>
      </c>
      <c r="E1771" s="25" t="s">
        <v>103</v>
      </c>
      <c r="F1771" s="25">
        <v>1</v>
      </c>
      <c r="G1771" s="25" t="s">
        <v>102</v>
      </c>
      <c r="H1771" s="25">
        <v>30</v>
      </c>
      <c r="I1771" s="25">
        <v>20</v>
      </c>
      <c r="J1771" s="25">
        <v>30</v>
      </c>
      <c r="K1771" s="25">
        <v>20</v>
      </c>
      <c r="L1771" s="25">
        <v>10</v>
      </c>
      <c r="M1771" s="27">
        <v>50</v>
      </c>
      <c r="N1771" s="25" t="s">
        <v>55</v>
      </c>
      <c r="O1771" s="25" t="s">
        <v>28</v>
      </c>
      <c r="P1771" s="25" t="s">
        <v>32</v>
      </c>
    </row>
    <row r="1772" spans="1:16" x14ac:dyDescent="0.3">
      <c r="A1772" s="25">
        <v>1771</v>
      </c>
      <c r="B1772" s="26">
        <v>45620</v>
      </c>
      <c r="C1772" s="25" t="s">
        <v>68</v>
      </c>
      <c r="D1772" s="25" t="s">
        <v>22</v>
      </c>
      <c r="E1772" s="25" t="s">
        <v>92</v>
      </c>
      <c r="F1772" s="25">
        <v>2.5</v>
      </c>
      <c r="G1772" s="25" t="s">
        <v>91</v>
      </c>
      <c r="H1772" s="25">
        <v>260</v>
      </c>
      <c r="I1772" s="25">
        <v>220</v>
      </c>
      <c r="J1772" s="25">
        <v>650</v>
      </c>
      <c r="K1772" s="25">
        <v>550</v>
      </c>
      <c r="L1772" s="25">
        <v>100</v>
      </c>
      <c r="M1772" s="27">
        <v>18.181818181818201</v>
      </c>
      <c r="N1772" s="25" t="s">
        <v>55</v>
      </c>
      <c r="O1772" s="25" t="s">
        <v>28</v>
      </c>
      <c r="P1772" s="25" t="s">
        <v>32</v>
      </c>
    </row>
    <row r="1773" spans="1:16" x14ac:dyDescent="0.3">
      <c r="A1773" s="25">
        <v>1772</v>
      </c>
      <c r="B1773" s="26">
        <v>45620</v>
      </c>
      <c r="C1773" s="25" t="s">
        <v>68</v>
      </c>
      <c r="D1773" s="25" t="s">
        <v>22</v>
      </c>
      <c r="E1773" s="25" t="s">
        <v>90</v>
      </c>
      <c r="F1773" s="25">
        <v>2</v>
      </c>
      <c r="G1773" s="25" t="s">
        <v>91</v>
      </c>
      <c r="H1773" s="25">
        <v>280</v>
      </c>
      <c r="I1773" s="25">
        <v>240</v>
      </c>
      <c r="J1773" s="25">
        <v>560</v>
      </c>
      <c r="K1773" s="25">
        <v>480</v>
      </c>
      <c r="L1773" s="25">
        <v>80</v>
      </c>
      <c r="M1773" s="27">
        <v>16.6666666666667</v>
      </c>
      <c r="N1773" s="25" t="s">
        <v>55</v>
      </c>
      <c r="O1773" s="25" t="s">
        <v>28</v>
      </c>
      <c r="P1773" s="25" t="s">
        <v>32</v>
      </c>
    </row>
    <row r="1774" spans="1:16" x14ac:dyDescent="0.3">
      <c r="A1774" s="25">
        <v>1773</v>
      </c>
      <c r="B1774" s="26">
        <v>45620</v>
      </c>
      <c r="C1774" s="25" t="s">
        <v>68</v>
      </c>
      <c r="D1774" s="25" t="s">
        <v>22</v>
      </c>
      <c r="E1774" s="25" t="s">
        <v>96</v>
      </c>
      <c r="F1774" s="25">
        <v>1</v>
      </c>
      <c r="G1774" s="25" t="s">
        <v>97</v>
      </c>
      <c r="H1774" s="25">
        <v>300</v>
      </c>
      <c r="I1774" s="25">
        <v>265</v>
      </c>
      <c r="J1774" s="25">
        <v>300</v>
      </c>
      <c r="K1774" s="25">
        <v>265</v>
      </c>
      <c r="L1774" s="25">
        <v>35</v>
      </c>
      <c r="M1774" s="27">
        <v>13.207547169811299</v>
      </c>
      <c r="N1774" s="25" t="s">
        <v>55</v>
      </c>
      <c r="O1774" s="25" t="s">
        <v>28</v>
      </c>
      <c r="P1774" s="25" t="s">
        <v>32</v>
      </c>
    </row>
    <row r="1775" spans="1:16" x14ac:dyDescent="0.3">
      <c r="A1775" s="25">
        <v>1774</v>
      </c>
      <c r="B1775" s="26">
        <v>45620</v>
      </c>
      <c r="C1775" s="25" t="s">
        <v>68</v>
      </c>
      <c r="D1775" s="25" t="s">
        <v>22</v>
      </c>
      <c r="E1775" s="25" t="s">
        <v>101</v>
      </c>
      <c r="F1775" s="25">
        <v>10</v>
      </c>
      <c r="G1775" s="25" t="s">
        <v>102</v>
      </c>
      <c r="H1775" s="25">
        <v>6</v>
      </c>
      <c r="I1775" s="25">
        <v>4</v>
      </c>
      <c r="J1775" s="25">
        <v>60</v>
      </c>
      <c r="K1775" s="25">
        <v>40</v>
      </c>
      <c r="L1775" s="25">
        <v>20</v>
      </c>
      <c r="M1775" s="27">
        <v>50</v>
      </c>
      <c r="N1775" s="25" t="s">
        <v>55</v>
      </c>
      <c r="O1775" s="25" t="s">
        <v>28</v>
      </c>
      <c r="P1775" s="25" t="s">
        <v>32</v>
      </c>
    </row>
    <row r="1776" spans="1:16" x14ac:dyDescent="0.3">
      <c r="A1776" s="25">
        <v>1775</v>
      </c>
      <c r="B1776" s="26">
        <v>45620</v>
      </c>
      <c r="C1776" s="25" t="s">
        <v>68</v>
      </c>
      <c r="D1776" s="25" t="s">
        <v>22</v>
      </c>
      <c r="E1776" s="25" t="s">
        <v>103</v>
      </c>
      <c r="F1776" s="25">
        <v>1</v>
      </c>
      <c r="G1776" s="25" t="s">
        <v>102</v>
      </c>
      <c r="H1776" s="25">
        <v>30</v>
      </c>
      <c r="I1776" s="25">
        <v>20</v>
      </c>
      <c r="J1776" s="25">
        <v>30</v>
      </c>
      <c r="K1776" s="25">
        <v>20</v>
      </c>
      <c r="L1776" s="25">
        <v>10</v>
      </c>
      <c r="M1776" s="27">
        <v>50</v>
      </c>
      <c r="N1776" s="25" t="s">
        <v>55</v>
      </c>
      <c r="O1776" s="25" t="s">
        <v>28</v>
      </c>
      <c r="P1776" s="25" t="s">
        <v>32</v>
      </c>
    </row>
    <row r="1777" spans="1:16" x14ac:dyDescent="0.3">
      <c r="A1777" s="25">
        <v>1776</v>
      </c>
      <c r="B1777" s="26">
        <v>45620</v>
      </c>
      <c r="C1777" s="25" t="s">
        <v>68</v>
      </c>
      <c r="D1777" s="25" t="s">
        <v>22</v>
      </c>
      <c r="E1777" s="25" t="s">
        <v>92</v>
      </c>
      <c r="F1777" s="25">
        <v>1.25</v>
      </c>
      <c r="G1777" s="25" t="s">
        <v>91</v>
      </c>
      <c r="H1777" s="25">
        <v>260</v>
      </c>
      <c r="I1777" s="25">
        <v>220</v>
      </c>
      <c r="J1777" s="25">
        <v>325</v>
      </c>
      <c r="K1777" s="25">
        <v>275</v>
      </c>
      <c r="L1777" s="25">
        <v>50</v>
      </c>
      <c r="M1777" s="27">
        <v>18.181818181818201</v>
      </c>
      <c r="N1777" s="25" t="s">
        <v>55</v>
      </c>
      <c r="O1777" s="25" t="s">
        <v>28</v>
      </c>
      <c r="P1777" s="25" t="s">
        <v>32</v>
      </c>
    </row>
    <row r="1778" spans="1:16" x14ac:dyDescent="0.3">
      <c r="A1778" s="25">
        <v>1777</v>
      </c>
      <c r="B1778" s="26">
        <v>45620</v>
      </c>
      <c r="C1778" s="25" t="s">
        <v>68</v>
      </c>
      <c r="D1778" s="25" t="s">
        <v>22</v>
      </c>
      <c r="E1778" s="25" t="s">
        <v>90</v>
      </c>
      <c r="F1778" s="25">
        <v>1</v>
      </c>
      <c r="G1778" s="25" t="s">
        <v>91</v>
      </c>
      <c r="H1778" s="25">
        <v>280</v>
      </c>
      <c r="I1778" s="25">
        <v>240</v>
      </c>
      <c r="J1778" s="25">
        <v>280</v>
      </c>
      <c r="K1778" s="25">
        <v>240</v>
      </c>
      <c r="L1778" s="25">
        <v>40</v>
      </c>
      <c r="M1778" s="27">
        <v>16.6666666666667</v>
      </c>
      <c r="N1778" s="25" t="s">
        <v>55</v>
      </c>
      <c r="O1778" s="25" t="s">
        <v>28</v>
      </c>
      <c r="P1778" s="25" t="s">
        <v>32</v>
      </c>
    </row>
    <row r="1779" spans="1:16" x14ac:dyDescent="0.3">
      <c r="A1779" s="25">
        <v>1778</v>
      </c>
      <c r="B1779" s="26">
        <v>45621</v>
      </c>
      <c r="C1779" s="25" t="s">
        <v>68</v>
      </c>
      <c r="D1779" s="25" t="s">
        <v>21</v>
      </c>
      <c r="E1779" s="25" t="s">
        <v>88</v>
      </c>
      <c r="F1779" s="25">
        <v>5</v>
      </c>
      <c r="G1779" s="25" t="s">
        <v>89</v>
      </c>
      <c r="H1779" s="25">
        <v>130</v>
      </c>
      <c r="I1779" s="25">
        <v>100</v>
      </c>
      <c r="J1779" s="25">
        <v>650</v>
      </c>
      <c r="K1779" s="25">
        <v>500</v>
      </c>
      <c r="L1779" s="25">
        <v>150</v>
      </c>
      <c r="M1779" s="27">
        <v>30</v>
      </c>
      <c r="N1779" s="25" t="s">
        <v>55</v>
      </c>
      <c r="O1779" s="25" t="s">
        <v>27</v>
      </c>
      <c r="P1779" s="25" t="s">
        <v>32</v>
      </c>
    </row>
    <row r="1780" spans="1:16" x14ac:dyDescent="0.3">
      <c r="A1780" s="25">
        <v>1779</v>
      </c>
      <c r="B1780" s="26">
        <v>45621</v>
      </c>
      <c r="C1780" s="25" t="s">
        <v>68</v>
      </c>
      <c r="D1780" s="25" t="s">
        <v>21</v>
      </c>
      <c r="E1780" s="25" t="s">
        <v>94</v>
      </c>
      <c r="F1780" s="25">
        <v>12</v>
      </c>
      <c r="G1780" s="25" t="s">
        <v>89</v>
      </c>
      <c r="H1780" s="25">
        <v>30</v>
      </c>
      <c r="I1780" s="25">
        <v>26</v>
      </c>
      <c r="J1780" s="25">
        <v>360</v>
      </c>
      <c r="K1780" s="25">
        <v>312</v>
      </c>
      <c r="L1780" s="25">
        <v>48</v>
      </c>
      <c r="M1780" s="27">
        <v>15.384615384615399</v>
      </c>
      <c r="N1780" s="25" t="s">
        <v>55</v>
      </c>
      <c r="O1780" s="25" t="s">
        <v>27</v>
      </c>
      <c r="P1780" s="25" t="s">
        <v>32</v>
      </c>
    </row>
    <row r="1781" spans="1:16" x14ac:dyDescent="0.3">
      <c r="A1781" s="25">
        <v>1780</v>
      </c>
      <c r="B1781" s="26">
        <v>45621</v>
      </c>
      <c r="C1781" s="25" t="s">
        <v>68</v>
      </c>
      <c r="D1781" s="25" t="s">
        <v>22</v>
      </c>
      <c r="E1781" s="25" t="s">
        <v>92</v>
      </c>
      <c r="F1781" s="25">
        <v>1.5</v>
      </c>
      <c r="G1781" s="25" t="s">
        <v>91</v>
      </c>
      <c r="H1781" s="25">
        <v>260</v>
      </c>
      <c r="I1781" s="25">
        <v>220</v>
      </c>
      <c r="J1781" s="25">
        <v>390</v>
      </c>
      <c r="K1781" s="25">
        <v>330</v>
      </c>
      <c r="L1781" s="25">
        <v>60</v>
      </c>
      <c r="M1781" s="27">
        <v>18.181818181818201</v>
      </c>
      <c r="N1781" s="25" t="s">
        <v>55</v>
      </c>
      <c r="O1781" s="25" t="s">
        <v>28</v>
      </c>
      <c r="P1781" s="25" t="s">
        <v>32</v>
      </c>
    </row>
    <row r="1782" spans="1:16" x14ac:dyDescent="0.3">
      <c r="A1782" s="25">
        <v>1781</v>
      </c>
      <c r="B1782" s="26">
        <v>45621</v>
      </c>
      <c r="C1782" s="25" t="s">
        <v>68</v>
      </c>
      <c r="D1782" s="25" t="s">
        <v>22</v>
      </c>
      <c r="E1782" s="25" t="s">
        <v>99</v>
      </c>
      <c r="F1782" s="25">
        <v>1</v>
      </c>
      <c r="G1782" s="25" t="s">
        <v>100</v>
      </c>
      <c r="H1782" s="25">
        <v>200</v>
      </c>
      <c r="I1782" s="25">
        <v>160</v>
      </c>
      <c r="J1782" s="25">
        <v>200</v>
      </c>
      <c r="K1782" s="25">
        <v>160</v>
      </c>
      <c r="L1782" s="25">
        <v>40</v>
      </c>
      <c r="M1782" s="27">
        <v>25</v>
      </c>
      <c r="N1782" s="25" t="s">
        <v>55</v>
      </c>
      <c r="O1782" s="25" t="s">
        <v>28</v>
      </c>
      <c r="P1782" s="25" t="s">
        <v>32</v>
      </c>
    </row>
    <row r="1783" spans="1:16" x14ac:dyDescent="0.3">
      <c r="A1783" s="25">
        <v>1782</v>
      </c>
      <c r="B1783" s="26">
        <v>45621</v>
      </c>
      <c r="C1783" s="25" t="s">
        <v>68</v>
      </c>
      <c r="D1783" s="25" t="s">
        <v>21</v>
      </c>
      <c r="E1783" s="25" t="s">
        <v>88</v>
      </c>
      <c r="F1783" s="25">
        <v>3</v>
      </c>
      <c r="G1783" s="25" t="s">
        <v>89</v>
      </c>
      <c r="H1783" s="25">
        <v>130</v>
      </c>
      <c r="I1783" s="25">
        <v>100</v>
      </c>
      <c r="J1783" s="25">
        <v>390</v>
      </c>
      <c r="K1783" s="25">
        <v>300</v>
      </c>
      <c r="L1783" s="25">
        <v>90</v>
      </c>
      <c r="M1783" s="27">
        <v>30</v>
      </c>
      <c r="N1783" s="25" t="s">
        <v>55</v>
      </c>
      <c r="O1783" s="25" t="s">
        <v>27</v>
      </c>
      <c r="P1783" s="25" t="s">
        <v>32</v>
      </c>
    </row>
    <row r="1784" spans="1:16" x14ac:dyDescent="0.3">
      <c r="A1784" s="25">
        <v>1783</v>
      </c>
      <c r="B1784" s="26">
        <v>45621</v>
      </c>
      <c r="C1784" s="25" t="s">
        <v>68</v>
      </c>
      <c r="D1784" s="25" t="s">
        <v>21</v>
      </c>
      <c r="E1784" s="25" t="s">
        <v>95</v>
      </c>
      <c r="F1784" s="25">
        <v>2</v>
      </c>
      <c r="G1784" s="25" t="s">
        <v>89</v>
      </c>
      <c r="H1784" s="25">
        <v>150</v>
      </c>
      <c r="I1784" s="25">
        <v>100</v>
      </c>
      <c r="J1784" s="25">
        <v>300</v>
      </c>
      <c r="K1784" s="25">
        <v>200</v>
      </c>
      <c r="L1784" s="25">
        <v>100</v>
      </c>
      <c r="M1784" s="27">
        <v>50</v>
      </c>
      <c r="N1784" s="25" t="s">
        <v>55</v>
      </c>
      <c r="O1784" s="25" t="s">
        <v>28</v>
      </c>
      <c r="P1784" s="25" t="s">
        <v>32</v>
      </c>
    </row>
    <row r="1785" spans="1:16" x14ac:dyDescent="0.3">
      <c r="A1785" s="25">
        <v>1784</v>
      </c>
      <c r="B1785" s="26">
        <v>45621</v>
      </c>
      <c r="C1785" s="25" t="s">
        <v>68</v>
      </c>
      <c r="D1785" s="25" t="s">
        <v>22</v>
      </c>
      <c r="E1785" s="25" t="s">
        <v>92</v>
      </c>
      <c r="F1785" s="25">
        <v>1</v>
      </c>
      <c r="G1785" s="25" t="s">
        <v>91</v>
      </c>
      <c r="H1785" s="25">
        <v>260</v>
      </c>
      <c r="I1785" s="25">
        <v>220</v>
      </c>
      <c r="J1785" s="25">
        <v>260</v>
      </c>
      <c r="K1785" s="25">
        <v>220</v>
      </c>
      <c r="L1785" s="25">
        <v>40</v>
      </c>
      <c r="M1785" s="27">
        <v>18.181818181818201</v>
      </c>
      <c r="N1785" s="25" t="s">
        <v>55</v>
      </c>
      <c r="O1785" s="25" t="s">
        <v>28</v>
      </c>
      <c r="P1785" s="25" t="s">
        <v>32</v>
      </c>
    </row>
    <row r="1786" spans="1:16" x14ac:dyDescent="0.3">
      <c r="A1786" s="25">
        <v>1785</v>
      </c>
      <c r="B1786" s="26">
        <v>45621</v>
      </c>
      <c r="C1786" s="25" t="s">
        <v>68</v>
      </c>
      <c r="D1786" s="25" t="s">
        <v>22</v>
      </c>
      <c r="E1786" s="25" t="s">
        <v>99</v>
      </c>
      <c r="F1786" s="25">
        <v>1</v>
      </c>
      <c r="G1786" s="25" t="s">
        <v>100</v>
      </c>
      <c r="H1786" s="25">
        <v>200</v>
      </c>
      <c r="I1786" s="25">
        <v>160</v>
      </c>
      <c r="J1786" s="25">
        <v>200</v>
      </c>
      <c r="K1786" s="25">
        <v>160</v>
      </c>
      <c r="L1786" s="25">
        <v>40</v>
      </c>
      <c r="M1786" s="27">
        <v>25</v>
      </c>
      <c r="N1786" s="25" t="s">
        <v>55</v>
      </c>
      <c r="O1786" s="25" t="s">
        <v>28</v>
      </c>
      <c r="P1786" s="25" t="s">
        <v>32</v>
      </c>
    </row>
    <row r="1787" spans="1:16" x14ac:dyDescent="0.3">
      <c r="A1787" s="25">
        <v>1786</v>
      </c>
      <c r="B1787" s="26">
        <v>45621</v>
      </c>
      <c r="C1787" s="25" t="s">
        <v>68</v>
      </c>
      <c r="D1787" s="25" t="s">
        <v>22</v>
      </c>
      <c r="E1787" s="25" t="s">
        <v>92</v>
      </c>
      <c r="F1787" s="25">
        <v>1</v>
      </c>
      <c r="G1787" s="25" t="s">
        <v>91</v>
      </c>
      <c r="H1787" s="25">
        <v>260</v>
      </c>
      <c r="I1787" s="25">
        <v>220</v>
      </c>
      <c r="J1787" s="25">
        <v>260</v>
      </c>
      <c r="K1787" s="25">
        <v>220</v>
      </c>
      <c r="L1787" s="25">
        <v>40</v>
      </c>
      <c r="M1787" s="27">
        <v>18.181818181818201</v>
      </c>
      <c r="N1787" s="25" t="s">
        <v>55</v>
      </c>
      <c r="O1787" s="25" t="s">
        <v>28</v>
      </c>
      <c r="P1787" s="25" t="s">
        <v>32</v>
      </c>
    </row>
    <row r="1788" spans="1:16" x14ac:dyDescent="0.3">
      <c r="A1788" s="25">
        <v>1787</v>
      </c>
      <c r="B1788" s="26">
        <v>45621</v>
      </c>
      <c r="C1788" s="25" t="s">
        <v>68</v>
      </c>
      <c r="D1788" s="25" t="s">
        <v>22</v>
      </c>
      <c r="E1788" s="25" t="s">
        <v>90</v>
      </c>
      <c r="F1788" s="25">
        <v>1</v>
      </c>
      <c r="G1788" s="25" t="s">
        <v>91</v>
      </c>
      <c r="H1788" s="25">
        <v>280</v>
      </c>
      <c r="I1788" s="25">
        <v>240</v>
      </c>
      <c r="J1788" s="25">
        <v>280</v>
      </c>
      <c r="K1788" s="25">
        <v>240</v>
      </c>
      <c r="L1788" s="25">
        <v>40</v>
      </c>
      <c r="M1788" s="27">
        <v>16.6666666666667</v>
      </c>
      <c r="N1788" s="25" t="s">
        <v>55</v>
      </c>
      <c r="O1788" s="25" t="s">
        <v>28</v>
      </c>
      <c r="P1788" s="25" t="s">
        <v>32</v>
      </c>
    </row>
    <row r="1789" spans="1:16" x14ac:dyDescent="0.3">
      <c r="A1789" s="25">
        <v>1788</v>
      </c>
      <c r="B1789" s="26">
        <v>45621</v>
      </c>
      <c r="C1789" s="25" t="s">
        <v>68</v>
      </c>
      <c r="D1789" s="25" t="s">
        <v>22</v>
      </c>
      <c r="E1789" s="25" t="s">
        <v>101</v>
      </c>
      <c r="F1789" s="25">
        <v>15</v>
      </c>
      <c r="G1789" s="25" t="s">
        <v>102</v>
      </c>
      <c r="H1789" s="25">
        <v>6</v>
      </c>
      <c r="I1789" s="25">
        <v>4</v>
      </c>
      <c r="J1789" s="25">
        <v>90</v>
      </c>
      <c r="K1789" s="25">
        <v>60</v>
      </c>
      <c r="L1789" s="25">
        <v>30</v>
      </c>
      <c r="M1789" s="27">
        <v>50</v>
      </c>
      <c r="N1789" s="25" t="s">
        <v>55</v>
      </c>
      <c r="O1789" s="25" t="s">
        <v>28</v>
      </c>
      <c r="P1789" s="25" t="s">
        <v>32</v>
      </c>
    </row>
    <row r="1790" spans="1:16" x14ac:dyDescent="0.3">
      <c r="A1790" s="25">
        <v>1789</v>
      </c>
      <c r="B1790" s="26">
        <v>45621</v>
      </c>
      <c r="C1790" s="25" t="s">
        <v>68</v>
      </c>
      <c r="D1790" s="25" t="s">
        <v>22</v>
      </c>
      <c r="E1790" s="25" t="s">
        <v>103</v>
      </c>
      <c r="F1790" s="25">
        <v>1</v>
      </c>
      <c r="G1790" s="25" t="s">
        <v>102</v>
      </c>
      <c r="H1790" s="25">
        <v>30</v>
      </c>
      <c r="I1790" s="25">
        <v>20</v>
      </c>
      <c r="J1790" s="25">
        <v>30</v>
      </c>
      <c r="K1790" s="25">
        <v>20</v>
      </c>
      <c r="L1790" s="25">
        <v>10</v>
      </c>
      <c r="M1790" s="27">
        <v>50</v>
      </c>
      <c r="N1790" s="25" t="s">
        <v>55</v>
      </c>
      <c r="O1790" s="25" t="s">
        <v>28</v>
      </c>
      <c r="P1790" s="25" t="s">
        <v>32</v>
      </c>
    </row>
    <row r="1791" spans="1:16" x14ac:dyDescent="0.3">
      <c r="A1791" s="25">
        <v>1790</v>
      </c>
      <c r="B1791" s="26">
        <v>45621</v>
      </c>
      <c r="C1791" s="25" t="s">
        <v>68</v>
      </c>
      <c r="D1791" s="25" t="s">
        <v>22</v>
      </c>
      <c r="E1791" s="25" t="s">
        <v>96</v>
      </c>
      <c r="F1791" s="25">
        <v>1</v>
      </c>
      <c r="G1791" s="25" t="s">
        <v>97</v>
      </c>
      <c r="H1791" s="25">
        <v>300</v>
      </c>
      <c r="I1791" s="25">
        <v>265</v>
      </c>
      <c r="J1791" s="25">
        <v>300</v>
      </c>
      <c r="K1791" s="25">
        <v>265</v>
      </c>
      <c r="L1791" s="25">
        <v>35</v>
      </c>
      <c r="M1791" s="27">
        <v>13.207547169811299</v>
      </c>
      <c r="N1791" s="25" t="s">
        <v>55</v>
      </c>
      <c r="O1791" s="25" t="s">
        <v>28</v>
      </c>
      <c r="P1791" s="25" t="s">
        <v>32</v>
      </c>
    </row>
    <row r="1792" spans="1:16" x14ac:dyDescent="0.3">
      <c r="A1792" s="25">
        <v>1791</v>
      </c>
      <c r="B1792" s="26">
        <v>45622</v>
      </c>
      <c r="C1792" s="25" t="s">
        <v>68</v>
      </c>
      <c r="D1792" s="25" t="s">
        <v>22</v>
      </c>
      <c r="E1792" s="25" t="s">
        <v>99</v>
      </c>
      <c r="F1792" s="25">
        <v>1.25</v>
      </c>
      <c r="G1792" s="25" t="s">
        <v>100</v>
      </c>
      <c r="H1792" s="25">
        <v>200</v>
      </c>
      <c r="I1792" s="25">
        <v>160</v>
      </c>
      <c r="J1792" s="25">
        <v>250</v>
      </c>
      <c r="K1792" s="25">
        <v>200</v>
      </c>
      <c r="L1792" s="25">
        <v>50</v>
      </c>
      <c r="M1792" s="27">
        <v>25</v>
      </c>
      <c r="N1792" s="25" t="s">
        <v>55</v>
      </c>
      <c r="O1792" s="25" t="s">
        <v>28</v>
      </c>
      <c r="P1792" s="25" t="s">
        <v>32</v>
      </c>
    </row>
    <row r="1793" spans="1:16" x14ac:dyDescent="0.3">
      <c r="A1793" s="25">
        <v>1792</v>
      </c>
      <c r="B1793" s="26">
        <v>45622</v>
      </c>
      <c r="C1793" s="25" t="s">
        <v>68</v>
      </c>
      <c r="D1793" s="25" t="s">
        <v>22</v>
      </c>
      <c r="E1793" s="25" t="s">
        <v>90</v>
      </c>
      <c r="F1793" s="25">
        <v>2</v>
      </c>
      <c r="G1793" s="25" t="s">
        <v>91</v>
      </c>
      <c r="H1793" s="25">
        <v>280</v>
      </c>
      <c r="I1793" s="25">
        <v>240</v>
      </c>
      <c r="J1793" s="25">
        <v>560</v>
      </c>
      <c r="K1793" s="25">
        <v>480</v>
      </c>
      <c r="L1793" s="25">
        <v>80</v>
      </c>
      <c r="M1793" s="27">
        <v>16.6666666666667</v>
      </c>
      <c r="N1793" s="25" t="s">
        <v>55</v>
      </c>
      <c r="O1793" s="25" t="s">
        <v>28</v>
      </c>
      <c r="P1793" s="25" t="s">
        <v>32</v>
      </c>
    </row>
    <row r="1794" spans="1:16" x14ac:dyDescent="0.3">
      <c r="A1794" s="25">
        <v>1793</v>
      </c>
      <c r="B1794" s="26">
        <v>45622</v>
      </c>
      <c r="C1794" s="25" t="s">
        <v>68</v>
      </c>
      <c r="D1794" s="25" t="s">
        <v>22</v>
      </c>
      <c r="E1794" s="25" t="s">
        <v>101</v>
      </c>
      <c r="F1794" s="25">
        <v>5</v>
      </c>
      <c r="G1794" s="25" t="s">
        <v>102</v>
      </c>
      <c r="H1794" s="25">
        <v>6</v>
      </c>
      <c r="I1794" s="25">
        <v>4</v>
      </c>
      <c r="J1794" s="25">
        <v>30</v>
      </c>
      <c r="K1794" s="25">
        <v>20</v>
      </c>
      <c r="L1794" s="25">
        <v>10</v>
      </c>
      <c r="M1794" s="27">
        <v>50</v>
      </c>
      <c r="N1794" s="25" t="s">
        <v>55</v>
      </c>
      <c r="O1794" s="25" t="s">
        <v>28</v>
      </c>
      <c r="P1794" s="25" t="s">
        <v>32</v>
      </c>
    </row>
    <row r="1795" spans="1:16" x14ac:dyDescent="0.3">
      <c r="A1795" s="25">
        <v>1794</v>
      </c>
      <c r="B1795" s="26">
        <v>45622</v>
      </c>
      <c r="C1795" s="25" t="s">
        <v>68</v>
      </c>
      <c r="D1795" s="25" t="s">
        <v>22</v>
      </c>
      <c r="E1795" s="25" t="s">
        <v>92</v>
      </c>
      <c r="F1795" s="25">
        <v>2.5</v>
      </c>
      <c r="G1795" s="25" t="s">
        <v>91</v>
      </c>
      <c r="H1795" s="25">
        <v>260</v>
      </c>
      <c r="I1795" s="25">
        <v>220</v>
      </c>
      <c r="J1795" s="25">
        <v>650</v>
      </c>
      <c r="K1795" s="25">
        <v>550</v>
      </c>
      <c r="L1795" s="25">
        <v>100</v>
      </c>
      <c r="M1795" s="27">
        <v>18.181818181818201</v>
      </c>
      <c r="N1795" s="25" t="s">
        <v>55</v>
      </c>
      <c r="O1795" s="25" t="s">
        <v>28</v>
      </c>
      <c r="P1795" s="25" t="s">
        <v>32</v>
      </c>
    </row>
    <row r="1796" spans="1:16" x14ac:dyDescent="0.3">
      <c r="A1796" s="25">
        <v>1795</v>
      </c>
      <c r="B1796" s="26">
        <v>45622</v>
      </c>
      <c r="C1796" s="25" t="s">
        <v>68</v>
      </c>
      <c r="D1796" s="25" t="s">
        <v>22</v>
      </c>
      <c r="E1796" s="25" t="s">
        <v>103</v>
      </c>
      <c r="F1796" s="25">
        <v>2</v>
      </c>
      <c r="G1796" s="25" t="s">
        <v>102</v>
      </c>
      <c r="H1796" s="25">
        <v>30</v>
      </c>
      <c r="I1796" s="25">
        <v>20</v>
      </c>
      <c r="J1796" s="25">
        <v>60</v>
      </c>
      <c r="K1796" s="25">
        <v>40</v>
      </c>
      <c r="L1796" s="25">
        <v>20</v>
      </c>
      <c r="M1796" s="27">
        <v>50</v>
      </c>
      <c r="N1796" s="25" t="s">
        <v>55</v>
      </c>
      <c r="O1796" s="25" t="s">
        <v>28</v>
      </c>
      <c r="P1796" s="25" t="s">
        <v>32</v>
      </c>
    </row>
    <row r="1797" spans="1:16" x14ac:dyDescent="0.3">
      <c r="A1797" s="25">
        <v>1796</v>
      </c>
      <c r="B1797" s="26">
        <v>45622</v>
      </c>
      <c r="C1797" s="25" t="s">
        <v>68</v>
      </c>
      <c r="D1797" s="25" t="s">
        <v>21</v>
      </c>
      <c r="E1797" s="25" t="s">
        <v>88</v>
      </c>
      <c r="F1797" s="25">
        <v>5</v>
      </c>
      <c r="G1797" s="25" t="s">
        <v>89</v>
      </c>
      <c r="H1797" s="25">
        <v>130</v>
      </c>
      <c r="I1797" s="25">
        <v>100</v>
      </c>
      <c r="J1797" s="25">
        <v>650</v>
      </c>
      <c r="K1797" s="25">
        <v>500</v>
      </c>
      <c r="L1797" s="25">
        <v>150</v>
      </c>
      <c r="M1797" s="27">
        <v>30</v>
      </c>
      <c r="N1797" s="25" t="s">
        <v>55</v>
      </c>
      <c r="O1797" s="25" t="s">
        <v>27</v>
      </c>
      <c r="P1797" s="25" t="s">
        <v>32</v>
      </c>
    </row>
    <row r="1798" spans="1:16" x14ac:dyDescent="0.3">
      <c r="A1798" s="25">
        <v>1797</v>
      </c>
      <c r="B1798" s="26">
        <v>45622</v>
      </c>
      <c r="C1798" s="25" t="s">
        <v>68</v>
      </c>
      <c r="D1798" s="25" t="s">
        <v>21</v>
      </c>
      <c r="E1798" s="25" t="s">
        <v>98</v>
      </c>
      <c r="F1798" s="25">
        <v>2</v>
      </c>
      <c r="G1798" s="25" t="s">
        <v>89</v>
      </c>
      <c r="H1798" s="25">
        <v>95</v>
      </c>
      <c r="I1798" s="25">
        <v>55</v>
      </c>
      <c r="J1798" s="25">
        <v>190</v>
      </c>
      <c r="K1798" s="25">
        <v>110</v>
      </c>
      <c r="L1798" s="25">
        <v>80</v>
      </c>
      <c r="M1798" s="27">
        <v>72.727272727272705</v>
      </c>
      <c r="N1798" s="25" t="s">
        <v>55</v>
      </c>
      <c r="O1798" s="25" t="s">
        <v>27</v>
      </c>
      <c r="P1798" s="25" t="s">
        <v>32</v>
      </c>
    </row>
    <row r="1799" spans="1:16" x14ac:dyDescent="0.3">
      <c r="A1799" s="25">
        <v>1798</v>
      </c>
      <c r="B1799" s="26">
        <v>45622</v>
      </c>
      <c r="C1799" s="25" t="s">
        <v>68</v>
      </c>
      <c r="D1799" s="25" t="s">
        <v>21</v>
      </c>
      <c r="E1799" s="25" t="s">
        <v>88</v>
      </c>
      <c r="F1799" s="25">
        <v>3</v>
      </c>
      <c r="G1799" s="25" t="s">
        <v>89</v>
      </c>
      <c r="H1799" s="25">
        <v>130</v>
      </c>
      <c r="I1799" s="25">
        <v>100</v>
      </c>
      <c r="J1799" s="25">
        <v>390</v>
      </c>
      <c r="K1799" s="25">
        <v>300</v>
      </c>
      <c r="L1799" s="25">
        <v>90</v>
      </c>
      <c r="M1799" s="27">
        <v>30</v>
      </c>
      <c r="N1799" s="25" t="s">
        <v>55</v>
      </c>
      <c r="O1799" s="25" t="s">
        <v>27</v>
      </c>
      <c r="P1799" s="25" t="s">
        <v>32</v>
      </c>
    </row>
    <row r="1800" spans="1:16" x14ac:dyDescent="0.3">
      <c r="A1800" s="25">
        <v>1799</v>
      </c>
      <c r="B1800" s="26">
        <v>45622</v>
      </c>
      <c r="C1800" s="25" t="s">
        <v>68</v>
      </c>
      <c r="D1800" s="25" t="s">
        <v>21</v>
      </c>
      <c r="E1800" s="25" t="s">
        <v>95</v>
      </c>
      <c r="F1800" s="25">
        <v>2</v>
      </c>
      <c r="G1800" s="25" t="s">
        <v>89</v>
      </c>
      <c r="H1800" s="25">
        <v>150</v>
      </c>
      <c r="I1800" s="25">
        <v>100</v>
      </c>
      <c r="J1800" s="25">
        <v>300</v>
      </c>
      <c r="K1800" s="25">
        <v>200</v>
      </c>
      <c r="L1800" s="25">
        <v>100</v>
      </c>
      <c r="M1800" s="27">
        <v>50</v>
      </c>
      <c r="N1800" s="25" t="s">
        <v>55</v>
      </c>
      <c r="O1800" s="25" t="s">
        <v>28</v>
      </c>
      <c r="P1800" s="25" t="s">
        <v>32</v>
      </c>
    </row>
    <row r="1801" spans="1:16" x14ac:dyDescent="0.3">
      <c r="A1801" s="25">
        <v>1800</v>
      </c>
      <c r="B1801" s="26">
        <v>45622</v>
      </c>
      <c r="C1801" s="25" t="s">
        <v>68</v>
      </c>
      <c r="D1801" s="25" t="s">
        <v>22</v>
      </c>
      <c r="E1801" s="25" t="s">
        <v>92</v>
      </c>
      <c r="F1801" s="25">
        <v>1</v>
      </c>
      <c r="G1801" s="25" t="s">
        <v>91</v>
      </c>
      <c r="H1801" s="25">
        <v>260</v>
      </c>
      <c r="I1801" s="25">
        <v>220</v>
      </c>
      <c r="J1801" s="25">
        <v>260</v>
      </c>
      <c r="K1801" s="25">
        <v>220</v>
      </c>
      <c r="L1801" s="25">
        <v>40</v>
      </c>
      <c r="M1801" s="27">
        <v>18.181818181818201</v>
      </c>
      <c r="N1801" s="25" t="s">
        <v>55</v>
      </c>
      <c r="O1801" s="25" t="s">
        <v>28</v>
      </c>
      <c r="P1801" s="25" t="s">
        <v>32</v>
      </c>
    </row>
    <row r="1802" spans="1:16" x14ac:dyDescent="0.3">
      <c r="A1802" s="25">
        <v>1801</v>
      </c>
      <c r="B1802" s="26">
        <v>45622</v>
      </c>
      <c r="C1802" s="25" t="s">
        <v>68</v>
      </c>
      <c r="D1802" s="25" t="s">
        <v>22</v>
      </c>
      <c r="E1802" s="25" t="s">
        <v>90</v>
      </c>
      <c r="F1802" s="25">
        <v>1.25</v>
      </c>
      <c r="G1802" s="25" t="s">
        <v>91</v>
      </c>
      <c r="H1802" s="25">
        <v>280</v>
      </c>
      <c r="I1802" s="25">
        <v>240</v>
      </c>
      <c r="J1802" s="25">
        <v>350</v>
      </c>
      <c r="K1802" s="25">
        <v>300</v>
      </c>
      <c r="L1802" s="25">
        <v>50</v>
      </c>
      <c r="M1802" s="27">
        <v>16.6666666666667</v>
      </c>
      <c r="N1802" s="25" t="s">
        <v>55</v>
      </c>
      <c r="O1802" s="25" t="s">
        <v>28</v>
      </c>
      <c r="P1802" s="25" t="s">
        <v>32</v>
      </c>
    </row>
    <row r="1803" spans="1:16" x14ac:dyDescent="0.3">
      <c r="A1803" s="25">
        <v>1802</v>
      </c>
      <c r="B1803" s="26">
        <v>45622</v>
      </c>
      <c r="C1803" s="25" t="s">
        <v>68</v>
      </c>
      <c r="D1803" s="25" t="s">
        <v>22</v>
      </c>
      <c r="E1803" s="25" t="s">
        <v>101</v>
      </c>
      <c r="F1803" s="25">
        <v>6</v>
      </c>
      <c r="G1803" s="25" t="s">
        <v>102</v>
      </c>
      <c r="H1803" s="25">
        <v>6</v>
      </c>
      <c r="I1803" s="25">
        <v>4</v>
      </c>
      <c r="J1803" s="25">
        <v>36</v>
      </c>
      <c r="K1803" s="25">
        <v>24</v>
      </c>
      <c r="L1803" s="25">
        <v>12</v>
      </c>
      <c r="M1803" s="27">
        <v>50</v>
      </c>
      <c r="N1803" s="25" t="s">
        <v>55</v>
      </c>
      <c r="O1803" s="25" t="s">
        <v>28</v>
      </c>
      <c r="P1803" s="25" t="s">
        <v>32</v>
      </c>
    </row>
    <row r="1804" spans="1:16" x14ac:dyDescent="0.3">
      <c r="A1804" s="25">
        <v>1803</v>
      </c>
      <c r="B1804" s="26">
        <v>45622</v>
      </c>
      <c r="C1804" s="25" t="s">
        <v>68</v>
      </c>
      <c r="D1804" s="25" t="s">
        <v>22</v>
      </c>
      <c r="E1804" s="25" t="s">
        <v>96</v>
      </c>
      <c r="F1804" s="25">
        <v>1</v>
      </c>
      <c r="G1804" s="25" t="s">
        <v>97</v>
      </c>
      <c r="H1804" s="25">
        <v>300</v>
      </c>
      <c r="I1804" s="25">
        <v>265</v>
      </c>
      <c r="J1804" s="25">
        <v>300</v>
      </c>
      <c r="K1804" s="25">
        <v>265</v>
      </c>
      <c r="L1804" s="25">
        <v>35</v>
      </c>
      <c r="M1804" s="27">
        <v>13.207547169811299</v>
      </c>
      <c r="N1804" s="25" t="s">
        <v>55</v>
      </c>
      <c r="O1804" s="25" t="s">
        <v>28</v>
      </c>
      <c r="P1804" s="25" t="s">
        <v>32</v>
      </c>
    </row>
    <row r="1805" spans="1:16" x14ac:dyDescent="0.3">
      <c r="A1805" s="25">
        <v>1804</v>
      </c>
      <c r="B1805" s="26">
        <v>45622</v>
      </c>
      <c r="C1805" s="25" t="s">
        <v>68</v>
      </c>
      <c r="D1805" s="25" t="s">
        <v>22</v>
      </c>
      <c r="E1805" s="25" t="s">
        <v>92</v>
      </c>
      <c r="F1805" s="25">
        <v>1.25</v>
      </c>
      <c r="G1805" s="25" t="s">
        <v>91</v>
      </c>
      <c r="H1805" s="25">
        <v>260</v>
      </c>
      <c r="I1805" s="25">
        <v>220</v>
      </c>
      <c r="J1805" s="25">
        <v>325</v>
      </c>
      <c r="K1805" s="25">
        <v>275</v>
      </c>
      <c r="L1805" s="25">
        <v>50</v>
      </c>
      <c r="M1805" s="27">
        <v>18.181818181818201</v>
      </c>
      <c r="N1805" s="25" t="s">
        <v>55</v>
      </c>
      <c r="O1805" s="25" t="s">
        <v>28</v>
      </c>
      <c r="P1805" s="25" t="s">
        <v>32</v>
      </c>
    </row>
    <row r="1806" spans="1:16" x14ac:dyDescent="0.3">
      <c r="A1806" s="25">
        <v>1805</v>
      </c>
      <c r="B1806" s="26">
        <v>45622</v>
      </c>
      <c r="C1806" s="25" t="s">
        <v>68</v>
      </c>
      <c r="D1806" s="25" t="s">
        <v>22</v>
      </c>
      <c r="E1806" s="25" t="s">
        <v>101</v>
      </c>
      <c r="F1806" s="25">
        <v>6</v>
      </c>
      <c r="G1806" s="25" t="s">
        <v>102</v>
      </c>
      <c r="H1806" s="25">
        <v>6</v>
      </c>
      <c r="I1806" s="25">
        <v>4</v>
      </c>
      <c r="J1806" s="25">
        <v>36</v>
      </c>
      <c r="K1806" s="25">
        <v>24</v>
      </c>
      <c r="L1806" s="25">
        <v>12</v>
      </c>
      <c r="M1806" s="27">
        <v>50</v>
      </c>
      <c r="N1806" s="25" t="s">
        <v>55</v>
      </c>
      <c r="O1806" s="25" t="s">
        <v>28</v>
      </c>
      <c r="P1806" s="25" t="s">
        <v>32</v>
      </c>
    </row>
    <row r="1807" spans="1:16" x14ac:dyDescent="0.3">
      <c r="A1807" s="25">
        <v>1806</v>
      </c>
      <c r="B1807" s="26">
        <v>45624</v>
      </c>
      <c r="C1807" s="25" t="s">
        <v>68</v>
      </c>
      <c r="D1807" s="25" t="s">
        <v>22</v>
      </c>
      <c r="E1807" s="25" t="s">
        <v>92</v>
      </c>
      <c r="F1807" s="25">
        <v>2.5</v>
      </c>
      <c r="G1807" s="25" t="s">
        <v>91</v>
      </c>
      <c r="H1807" s="25">
        <v>260</v>
      </c>
      <c r="I1807" s="25">
        <v>220</v>
      </c>
      <c r="J1807" s="25">
        <v>650</v>
      </c>
      <c r="K1807" s="25">
        <v>550</v>
      </c>
      <c r="L1807" s="25">
        <v>100</v>
      </c>
      <c r="M1807" s="27">
        <v>18.181818181818201</v>
      </c>
      <c r="N1807" s="25" t="s">
        <v>55</v>
      </c>
      <c r="O1807" s="25" t="s">
        <v>28</v>
      </c>
      <c r="P1807" s="25" t="s">
        <v>32</v>
      </c>
    </row>
    <row r="1808" spans="1:16" x14ac:dyDescent="0.3">
      <c r="A1808" s="25">
        <v>1807</v>
      </c>
      <c r="B1808" s="26">
        <v>45624</v>
      </c>
      <c r="C1808" s="25" t="s">
        <v>68</v>
      </c>
      <c r="D1808" s="25" t="s">
        <v>22</v>
      </c>
      <c r="E1808" s="25" t="s">
        <v>90</v>
      </c>
      <c r="F1808" s="25">
        <v>2</v>
      </c>
      <c r="G1808" s="25" t="s">
        <v>91</v>
      </c>
      <c r="H1808" s="25">
        <v>280</v>
      </c>
      <c r="I1808" s="25">
        <v>240</v>
      </c>
      <c r="J1808" s="25">
        <v>560</v>
      </c>
      <c r="K1808" s="25">
        <v>480</v>
      </c>
      <c r="L1808" s="25">
        <v>80</v>
      </c>
      <c r="M1808" s="27">
        <v>16.6666666666667</v>
      </c>
      <c r="N1808" s="25" t="s">
        <v>55</v>
      </c>
      <c r="O1808" s="25" t="s">
        <v>28</v>
      </c>
      <c r="P1808" s="25" t="s">
        <v>32</v>
      </c>
    </row>
    <row r="1809" spans="1:16" x14ac:dyDescent="0.3">
      <c r="A1809" s="25">
        <v>1808</v>
      </c>
      <c r="B1809" s="26">
        <v>45624</v>
      </c>
      <c r="C1809" s="25" t="s">
        <v>68</v>
      </c>
      <c r="D1809" s="25" t="s">
        <v>22</v>
      </c>
      <c r="E1809" s="25" t="s">
        <v>99</v>
      </c>
      <c r="F1809" s="25">
        <v>1</v>
      </c>
      <c r="G1809" s="25" t="s">
        <v>100</v>
      </c>
      <c r="H1809" s="25">
        <v>200</v>
      </c>
      <c r="I1809" s="25">
        <v>160</v>
      </c>
      <c r="J1809" s="25">
        <v>200</v>
      </c>
      <c r="K1809" s="25">
        <v>160</v>
      </c>
      <c r="L1809" s="25">
        <v>40</v>
      </c>
      <c r="M1809" s="27">
        <v>25</v>
      </c>
      <c r="N1809" s="25" t="s">
        <v>55</v>
      </c>
      <c r="O1809" s="25" t="s">
        <v>28</v>
      </c>
      <c r="P1809" s="25" t="s">
        <v>32</v>
      </c>
    </row>
    <row r="1810" spans="1:16" x14ac:dyDescent="0.3">
      <c r="A1810" s="25">
        <v>1809</v>
      </c>
      <c r="B1810" s="26">
        <v>45624</v>
      </c>
      <c r="C1810" s="25" t="s">
        <v>68</v>
      </c>
      <c r="D1810" s="25" t="s">
        <v>22</v>
      </c>
      <c r="E1810" s="25" t="s">
        <v>99</v>
      </c>
      <c r="F1810" s="25">
        <v>1.5</v>
      </c>
      <c r="G1810" s="25" t="s">
        <v>100</v>
      </c>
      <c r="H1810" s="25">
        <v>200</v>
      </c>
      <c r="I1810" s="25">
        <v>160</v>
      </c>
      <c r="J1810" s="25">
        <v>300</v>
      </c>
      <c r="K1810" s="25">
        <v>240</v>
      </c>
      <c r="L1810" s="25">
        <v>60</v>
      </c>
      <c r="M1810" s="27">
        <v>25</v>
      </c>
      <c r="N1810" s="25" t="s">
        <v>55</v>
      </c>
      <c r="O1810" s="25" t="s">
        <v>28</v>
      </c>
      <c r="P1810" s="25" t="s">
        <v>32</v>
      </c>
    </row>
    <row r="1811" spans="1:16" x14ac:dyDescent="0.3">
      <c r="A1811" s="25">
        <v>1810</v>
      </c>
      <c r="B1811" s="26">
        <v>45624</v>
      </c>
      <c r="C1811" s="25" t="s">
        <v>68</v>
      </c>
      <c r="D1811" s="25" t="s">
        <v>22</v>
      </c>
      <c r="E1811" s="25" t="s">
        <v>96</v>
      </c>
      <c r="F1811" s="25">
        <v>1</v>
      </c>
      <c r="G1811" s="25" t="s">
        <v>97</v>
      </c>
      <c r="H1811" s="25">
        <v>300</v>
      </c>
      <c r="I1811" s="25">
        <v>265</v>
      </c>
      <c r="J1811" s="25">
        <v>300</v>
      </c>
      <c r="K1811" s="25">
        <v>265</v>
      </c>
      <c r="L1811" s="25">
        <v>35</v>
      </c>
      <c r="M1811" s="27">
        <v>13.207547169811299</v>
      </c>
      <c r="N1811" s="25" t="s">
        <v>55</v>
      </c>
      <c r="O1811" s="25" t="s">
        <v>28</v>
      </c>
      <c r="P1811" s="25" t="s">
        <v>32</v>
      </c>
    </row>
    <row r="1812" spans="1:16" x14ac:dyDescent="0.3">
      <c r="A1812" s="25">
        <v>1811</v>
      </c>
      <c r="B1812" s="26">
        <v>45624</v>
      </c>
      <c r="C1812" s="25" t="s">
        <v>68</v>
      </c>
      <c r="D1812" s="25" t="s">
        <v>22</v>
      </c>
      <c r="E1812" s="25" t="s">
        <v>101</v>
      </c>
      <c r="F1812" s="25">
        <v>6</v>
      </c>
      <c r="G1812" s="25" t="s">
        <v>102</v>
      </c>
      <c r="H1812" s="25">
        <v>6</v>
      </c>
      <c r="I1812" s="25">
        <v>4</v>
      </c>
      <c r="J1812" s="25">
        <v>36</v>
      </c>
      <c r="K1812" s="25">
        <v>24</v>
      </c>
      <c r="L1812" s="25">
        <v>12</v>
      </c>
      <c r="M1812" s="27">
        <v>50</v>
      </c>
      <c r="N1812" s="25" t="s">
        <v>55</v>
      </c>
      <c r="O1812" s="25" t="s">
        <v>28</v>
      </c>
      <c r="P1812" s="25" t="s">
        <v>32</v>
      </c>
    </row>
    <row r="1813" spans="1:16" x14ac:dyDescent="0.3">
      <c r="A1813" s="25">
        <v>1812</v>
      </c>
      <c r="B1813" s="26">
        <v>45624</v>
      </c>
      <c r="C1813" s="25" t="s">
        <v>68</v>
      </c>
      <c r="D1813" s="25" t="s">
        <v>22</v>
      </c>
      <c r="E1813" s="25" t="s">
        <v>103</v>
      </c>
      <c r="F1813" s="25">
        <v>1</v>
      </c>
      <c r="G1813" s="25" t="s">
        <v>102</v>
      </c>
      <c r="H1813" s="25">
        <v>30</v>
      </c>
      <c r="I1813" s="25">
        <v>20</v>
      </c>
      <c r="J1813" s="25">
        <v>30</v>
      </c>
      <c r="K1813" s="25">
        <v>20</v>
      </c>
      <c r="L1813" s="25">
        <v>10</v>
      </c>
      <c r="M1813" s="27">
        <v>50</v>
      </c>
      <c r="N1813" s="25" t="s">
        <v>55</v>
      </c>
      <c r="O1813" s="25" t="s">
        <v>28</v>
      </c>
      <c r="P1813" s="25" t="s">
        <v>32</v>
      </c>
    </row>
    <row r="1814" spans="1:16" x14ac:dyDescent="0.3">
      <c r="A1814" s="25">
        <v>1813</v>
      </c>
      <c r="B1814" s="26">
        <v>45624</v>
      </c>
      <c r="C1814" s="25" t="s">
        <v>68</v>
      </c>
      <c r="D1814" s="25" t="s">
        <v>22</v>
      </c>
      <c r="E1814" s="25" t="s">
        <v>92</v>
      </c>
      <c r="F1814" s="25">
        <v>1.5</v>
      </c>
      <c r="G1814" s="25" t="s">
        <v>91</v>
      </c>
      <c r="H1814" s="25">
        <v>260</v>
      </c>
      <c r="I1814" s="25">
        <v>220</v>
      </c>
      <c r="J1814" s="25">
        <v>390</v>
      </c>
      <c r="K1814" s="25">
        <v>330</v>
      </c>
      <c r="L1814" s="25">
        <v>60</v>
      </c>
      <c r="M1814" s="27">
        <v>18.181818181818201</v>
      </c>
      <c r="N1814" s="25" t="s">
        <v>55</v>
      </c>
      <c r="O1814" s="25" t="s">
        <v>28</v>
      </c>
      <c r="P1814" s="25" t="s">
        <v>32</v>
      </c>
    </row>
    <row r="1815" spans="1:16" x14ac:dyDescent="0.3">
      <c r="A1815" s="25">
        <v>1814</v>
      </c>
      <c r="B1815" s="26">
        <v>45625</v>
      </c>
      <c r="C1815" s="25" t="s">
        <v>68</v>
      </c>
      <c r="D1815" s="25" t="s">
        <v>22</v>
      </c>
      <c r="E1815" s="25" t="s">
        <v>90</v>
      </c>
      <c r="F1815" s="25">
        <v>1.25</v>
      </c>
      <c r="G1815" s="25" t="s">
        <v>91</v>
      </c>
      <c r="H1815" s="25">
        <v>280</v>
      </c>
      <c r="I1815" s="25">
        <v>240</v>
      </c>
      <c r="J1815" s="25">
        <v>350</v>
      </c>
      <c r="K1815" s="25">
        <v>300</v>
      </c>
      <c r="L1815" s="25">
        <v>50</v>
      </c>
      <c r="M1815" s="27">
        <v>16.6666666666667</v>
      </c>
      <c r="N1815" s="25" t="s">
        <v>55</v>
      </c>
      <c r="O1815" s="25" t="s">
        <v>28</v>
      </c>
      <c r="P1815" s="25" t="s">
        <v>32</v>
      </c>
    </row>
    <row r="1816" spans="1:16" x14ac:dyDescent="0.3">
      <c r="A1816" s="25">
        <v>1815</v>
      </c>
      <c r="B1816" s="26">
        <v>45625</v>
      </c>
      <c r="C1816" s="25" t="s">
        <v>68</v>
      </c>
      <c r="D1816" s="25" t="s">
        <v>22</v>
      </c>
      <c r="E1816" s="25" t="s">
        <v>90</v>
      </c>
      <c r="F1816" s="25">
        <v>2</v>
      </c>
      <c r="G1816" s="25" t="s">
        <v>91</v>
      </c>
      <c r="H1816" s="25">
        <v>280</v>
      </c>
      <c r="I1816" s="25">
        <v>240</v>
      </c>
      <c r="J1816" s="25">
        <v>560</v>
      </c>
      <c r="K1816" s="25">
        <v>480</v>
      </c>
      <c r="L1816" s="25">
        <v>80</v>
      </c>
      <c r="M1816" s="27">
        <v>16.6666666666667</v>
      </c>
      <c r="N1816" s="25" t="s">
        <v>55</v>
      </c>
      <c r="O1816" s="25" t="s">
        <v>28</v>
      </c>
      <c r="P1816" s="25" t="s">
        <v>32</v>
      </c>
    </row>
    <row r="1817" spans="1:16" x14ac:dyDescent="0.3">
      <c r="A1817" s="25">
        <v>1816</v>
      </c>
      <c r="B1817" s="26">
        <v>45625</v>
      </c>
      <c r="C1817" s="25" t="s">
        <v>68</v>
      </c>
      <c r="D1817" s="25" t="s">
        <v>22</v>
      </c>
      <c r="E1817" s="25" t="s">
        <v>101</v>
      </c>
      <c r="F1817" s="25">
        <v>7</v>
      </c>
      <c r="G1817" s="25" t="s">
        <v>102</v>
      </c>
      <c r="H1817" s="25">
        <v>6</v>
      </c>
      <c r="I1817" s="25">
        <v>4</v>
      </c>
      <c r="J1817" s="25">
        <v>42</v>
      </c>
      <c r="K1817" s="25">
        <v>28</v>
      </c>
      <c r="L1817" s="25">
        <v>14</v>
      </c>
      <c r="M1817" s="27">
        <v>50</v>
      </c>
      <c r="N1817" s="25" t="s">
        <v>55</v>
      </c>
      <c r="O1817" s="25" t="s">
        <v>28</v>
      </c>
      <c r="P1817" s="25" t="s">
        <v>32</v>
      </c>
    </row>
    <row r="1818" spans="1:16" x14ac:dyDescent="0.3">
      <c r="A1818" s="25">
        <v>1817</v>
      </c>
      <c r="B1818" s="26">
        <v>45625</v>
      </c>
      <c r="C1818" s="25" t="s">
        <v>68</v>
      </c>
      <c r="D1818" s="25" t="s">
        <v>22</v>
      </c>
      <c r="E1818" s="25" t="s">
        <v>99</v>
      </c>
      <c r="F1818" s="25">
        <v>2</v>
      </c>
      <c r="G1818" s="25" t="s">
        <v>100</v>
      </c>
      <c r="H1818" s="25">
        <v>200</v>
      </c>
      <c r="I1818" s="25">
        <v>160</v>
      </c>
      <c r="J1818" s="25">
        <v>400</v>
      </c>
      <c r="K1818" s="25">
        <v>320</v>
      </c>
      <c r="L1818" s="25">
        <v>80</v>
      </c>
      <c r="M1818" s="27">
        <v>25</v>
      </c>
      <c r="N1818" s="25" t="s">
        <v>55</v>
      </c>
      <c r="O1818" s="25" t="s">
        <v>28</v>
      </c>
      <c r="P1818" s="25" t="s">
        <v>32</v>
      </c>
    </row>
    <row r="1819" spans="1:16" x14ac:dyDescent="0.3">
      <c r="A1819" s="25">
        <v>1818</v>
      </c>
      <c r="B1819" s="26">
        <v>45626</v>
      </c>
      <c r="C1819" s="25" t="s">
        <v>68</v>
      </c>
      <c r="D1819" s="25" t="s">
        <v>22</v>
      </c>
      <c r="E1819" s="25" t="s">
        <v>92</v>
      </c>
      <c r="F1819" s="25">
        <v>0.25</v>
      </c>
      <c r="G1819" s="25" t="s">
        <v>91</v>
      </c>
      <c r="H1819" s="25">
        <v>260</v>
      </c>
      <c r="I1819" s="25">
        <v>220</v>
      </c>
      <c r="J1819" s="25">
        <v>65</v>
      </c>
      <c r="K1819" s="25">
        <v>55</v>
      </c>
      <c r="L1819" s="25">
        <v>10</v>
      </c>
      <c r="M1819" s="27">
        <v>18.181818181818201</v>
      </c>
      <c r="N1819" s="25" t="s">
        <v>55</v>
      </c>
      <c r="O1819" s="25" t="s">
        <v>28</v>
      </c>
      <c r="P1819" s="25" t="s">
        <v>32</v>
      </c>
    </row>
    <row r="1820" spans="1:16" x14ac:dyDescent="0.3">
      <c r="A1820" s="25">
        <v>1819</v>
      </c>
      <c r="B1820" s="26">
        <v>45626</v>
      </c>
      <c r="C1820" s="25" t="s">
        <v>68</v>
      </c>
      <c r="D1820" s="25" t="s">
        <v>22</v>
      </c>
      <c r="E1820" s="25" t="s">
        <v>90</v>
      </c>
      <c r="F1820" s="25">
        <v>0.5</v>
      </c>
      <c r="G1820" s="25" t="s">
        <v>91</v>
      </c>
      <c r="H1820" s="25">
        <v>280</v>
      </c>
      <c r="I1820" s="25">
        <v>240</v>
      </c>
      <c r="J1820" s="25">
        <v>140</v>
      </c>
      <c r="K1820" s="25">
        <v>120</v>
      </c>
      <c r="L1820" s="25">
        <v>20</v>
      </c>
      <c r="M1820" s="27">
        <v>16.6666666666667</v>
      </c>
      <c r="N1820" s="25" t="s">
        <v>55</v>
      </c>
      <c r="O1820" s="25" t="s">
        <v>28</v>
      </c>
      <c r="P1820" s="25" t="s">
        <v>32</v>
      </c>
    </row>
    <row r="1821" spans="1:16" x14ac:dyDescent="0.3">
      <c r="A1821" s="25">
        <v>1820</v>
      </c>
      <c r="B1821" s="26">
        <v>45626</v>
      </c>
      <c r="C1821" s="25" t="s">
        <v>68</v>
      </c>
      <c r="D1821" s="25" t="s">
        <v>22</v>
      </c>
      <c r="E1821" s="25" t="s">
        <v>96</v>
      </c>
      <c r="F1821" s="25">
        <v>0.5</v>
      </c>
      <c r="G1821" s="25" t="s">
        <v>97</v>
      </c>
      <c r="H1821" s="25">
        <v>300</v>
      </c>
      <c r="I1821" s="25">
        <v>265</v>
      </c>
      <c r="J1821" s="25">
        <v>150</v>
      </c>
      <c r="K1821" s="25">
        <v>132.5</v>
      </c>
      <c r="L1821" s="25">
        <v>17.5</v>
      </c>
      <c r="M1821" s="27">
        <v>13.207547169811299</v>
      </c>
      <c r="N1821" s="25" t="s">
        <v>55</v>
      </c>
      <c r="O1821" s="25" t="s">
        <v>28</v>
      </c>
      <c r="P1821" s="25" t="s">
        <v>32</v>
      </c>
    </row>
    <row r="1822" spans="1:16" x14ac:dyDescent="0.3">
      <c r="A1822" s="25">
        <v>1821</v>
      </c>
      <c r="B1822" s="26">
        <v>45626</v>
      </c>
      <c r="C1822" s="25" t="s">
        <v>68</v>
      </c>
      <c r="D1822" s="25" t="s">
        <v>22</v>
      </c>
      <c r="E1822" s="25" t="s">
        <v>99</v>
      </c>
      <c r="F1822" s="25">
        <v>2</v>
      </c>
      <c r="G1822" s="25" t="s">
        <v>100</v>
      </c>
      <c r="H1822" s="25">
        <v>200</v>
      </c>
      <c r="I1822" s="25">
        <v>160</v>
      </c>
      <c r="J1822" s="25">
        <v>400</v>
      </c>
      <c r="K1822" s="25">
        <v>320</v>
      </c>
      <c r="L1822" s="25">
        <v>80</v>
      </c>
      <c r="M1822" s="27">
        <v>25</v>
      </c>
      <c r="N1822" s="25" t="s">
        <v>55</v>
      </c>
      <c r="O1822" s="25" t="s">
        <v>28</v>
      </c>
      <c r="P1822" s="25" t="s">
        <v>32</v>
      </c>
    </row>
    <row r="1823" spans="1:16" x14ac:dyDescent="0.3">
      <c r="A1823" s="25">
        <v>1822</v>
      </c>
      <c r="B1823" s="26">
        <v>45626</v>
      </c>
      <c r="C1823" s="25" t="s">
        <v>68</v>
      </c>
      <c r="D1823" s="25" t="s">
        <v>22</v>
      </c>
      <c r="E1823" s="25" t="s">
        <v>92</v>
      </c>
      <c r="F1823" s="25">
        <v>1.5</v>
      </c>
      <c r="G1823" s="25" t="s">
        <v>91</v>
      </c>
      <c r="H1823" s="25">
        <v>260</v>
      </c>
      <c r="I1823" s="25">
        <v>220</v>
      </c>
      <c r="J1823" s="25">
        <v>390</v>
      </c>
      <c r="K1823" s="25">
        <v>330</v>
      </c>
      <c r="L1823" s="25">
        <v>60</v>
      </c>
      <c r="M1823" s="27">
        <v>18.181818181818201</v>
      </c>
      <c r="N1823" s="25" t="s">
        <v>55</v>
      </c>
      <c r="O1823" s="25" t="s">
        <v>28</v>
      </c>
      <c r="P1823" s="25" t="s">
        <v>32</v>
      </c>
    </row>
    <row r="1824" spans="1:16" x14ac:dyDescent="0.3">
      <c r="A1824" s="25">
        <v>1823</v>
      </c>
      <c r="B1824" s="26">
        <v>45626</v>
      </c>
      <c r="C1824" s="25" t="s">
        <v>68</v>
      </c>
      <c r="D1824" s="25" t="s">
        <v>21</v>
      </c>
      <c r="E1824" s="25" t="s">
        <v>88</v>
      </c>
      <c r="F1824" s="25">
        <v>3</v>
      </c>
      <c r="G1824" s="25" t="s">
        <v>89</v>
      </c>
      <c r="H1824" s="25">
        <v>130</v>
      </c>
      <c r="I1824" s="25">
        <v>100</v>
      </c>
      <c r="J1824" s="25">
        <v>390</v>
      </c>
      <c r="K1824" s="25">
        <v>300</v>
      </c>
      <c r="L1824" s="25">
        <v>90</v>
      </c>
      <c r="M1824" s="27">
        <v>30</v>
      </c>
      <c r="N1824" s="25" t="s">
        <v>55</v>
      </c>
      <c r="O1824" s="25" t="s">
        <v>27</v>
      </c>
      <c r="P1824" s="25" t="s">
        <v>32</v>
      </c>
    </row>
    <row r="1825" spans="1:16" x14ac:dyDescent="0.3">
      <c r="A1825" s="25">
        <v>1824</v>
      </c>
      <c r="B1825" s="26">
        <v>45626</v>
      </c>
      <c r="C1825" s="25" t="s">
        <v>68</v>
      </c>
      <c r="D1825" s="25" t="s">
        <v>21</v>
      </c>
      <c r="E1825" s="25" t="s">
        <v>95</v>
      </c>
      <c r="F1825" s="25">
        <v>2</v>
      </c>
      <c r="G1825" s="25" t="s">
        <v>89</v>
      </c>
      <c r="H1825" s="25">
        <v>150</v>
      </c>
      <c r="I1825" s="25">
        <v>100</v>
      </c>
      <c r="J1825" s="25">
        <v>300</v>
      </c>
      <c r="K1825" s="25">
        <v>200</v>
      </c>
      <c r="L1825" s="25">
        <v>100</v>
      </c>
      <c r="M1825" s="27">
        <v>50</v>
      </c>
      <c r="N1825" s="25" t="s">
        <v>55</v>
      </c>
      <c r="O1825" s="25" t="s">
        <v>28</v>
      </c>
      <c r="P1825" s="25" t="s">
        <v>32</v>
      </c>
    </row>
    <row r="1826" spans="1:16" x14ac:dyDescent="0.3">
      <c r="A1826" s="25">
        <v>1825</v>
      </c>
      <c r="B1826" s="26">
        <v>45626</v>
      </c>
      <c r="C1826" s="25" t="s">
        <v>68</v>
      </c>
      <c r="D1826" s="25" t="s">
        <v>21</v>
      </c>
      <c r="E1826" s="25" t="s">
        <v>94</v>
      </c>
      <c r="F1826" s="25">
        <v>10</v>
      </c>
      <c r="G1826" s="25" t="s">
        <v>89</v>
      </c>
      <c r="H1826" s="25">
        <v>30</v>
      </c>
      <c r="I1826" s="25">
        <v>26</v>
      </c>
      <c r="J1826" s="25">
        <v>300</v>
      </c>
      <c r="K1826" s="25">
        <v>260</v>
      </c>
      <c r="L1826" s="25">
        <v>40</v>
      </c>
      <c r="M1826" s="27">
        <v>15.384615384615399</v>
      </c>
      <c r="N1826" s="25" t="s">
        <v>55</v>
      </c>
      <c r="O1826" s="25" t="s">
        <v>27</v>
      </c>
      <c r="P1826" s="25" t="s">
        <v>32</v>
      </c>
    </row>
    <row r="1827" spans="1:16" x14ac:dyDescent="0.3">
      <c r="A1827" s="25">
        <v>1826</v>
      </c>
      <c r="B1827" s="26">
        <v>45626</v>
      </c>
      <c r="C1827" s="25" t="s">
        <v>68</v>
      </c>
      <c r="D1827" s="25" t="s">
        <v>21</v>
      </c>
      <c r="E1827" s="25" t="s">
        <v>88</v>
      </c>
      <c r="F1827" s="25">
        <v>2</v>
      </c>
      <c r="G1827" s="25" t="s">
        <v>89</v>
      </c>
      <c r="H1827" s="25">
        <v>130</v>
      </c>
      <c r="I1827" s="25">
        <v>100</v>
      </c>
      <c r="J1827" s="25">
        <v>260</v>
      </c>
      <c r="K1827" s="25">
        <v>200</v>
      </c>
      <c r="L1827" s="25">
        <v>60</v>
      </c>
      <c r="M1827" s="27">
        <v>30</v>
      </c>
      <c r="N1827" s="25" t="s">
        <v>55</v>
      </c>
      <c r="O1827" s="25" t="s">
        <v>27</v>
      </c>
      <c r="P1827" s="25" t="s">
        <v>32</v>
      </c>
    </row>
    <row r="1828" spans="1:16" x14ac:dyDescent="0.3">
      <c r="A1828" s="25">
        <v>1827</v>
      </c>
      <c r="B1828" s="26">
        <v>45627</v>
      </c>
      <c r="C1828" s="25" t="s">
        <v>69</v>
      </c>
      <c r="D1828" s="25" t="s">
        <v>22</v>
      </c>
      <c r="E1828" s="25" t="s">
        <v>92</v>
      </c>
      <c r="F1828" s="25">
        <v>1</v>
      </c>
      <c r="G1828" s="25" t="s">
        <v>91</v>
      </c>
      <c r="H1828" s="25">
        <v>260</v>
      </c>
      <c r="I1828" s="25">
        <v>220</v>
      </c>
      <c r="J1828" s="25">
        <v>260</v>
      </c>
      <c r="K1828" s="25">
        <v>220</v>
      </c>
      <c r="L1828" s="25">
        <v>40</v>
      </c>
      <c r="M1828" s="27">
        <v>18.181818181818201</v>
      </c>
      <c r="N1828" s="25" t="s">
        <v>55</v>
      </c>
      <c r="O1828" s="25" t="s">
        <v>28</v>
      </c>
      <c r="P1828" s="25" t="s">
        <v>32</v>
      </c>
    </row>
    <row r="1829" spans="1:16" x14ac:dyDescent="0.3">
      <c r="A1829" s="25">
        <v>1828</v>
      </c>
      <c r="B1829" s="26">
        <v>45627</v>
      </c>
      <c r="C1829" s="25" t="s">
        <v>69</v>
      </c>
      <c r="D1829" s="25" t="s">
        <v>22</v>
      </c>
      <c r="E1829" s="25" t="s">
        <v>90</v>
      </c>
      <c r="F1829" s="25">
        <v>1.5</v>
      </c>
      <c r="G1829" s="25" t="s">
        <v>91</v>
      </c>
      <c r="H1829" s="25">
        <v>280</v>
      </c>
      <c r="I1829" s="25">
        <v>240</v>
      </c>
      <c r="J1829" s="25">
        <v>420</v>
      </c>
      <c r="K1829" s="25">
        <v>360</v>
      </c>
      <c r="L1829" s="25">
        <v>60</v>
      </c>
      <c r="M1829" s="27">
        <v>16.6666666666667</v>
      </c>
      <c r="N1829" s="25" t="s">
        <v>55</v>
      </c>
      <c r="O1829" s="25" t="s">
        <v>28</v>
      </c>
      <c r="P1829" s="25" t="s">
        <v>32</v>
      </c>
    </row>
    <row r="1830" spans="1:16" x14ac:dyDescent="0.3">
      <c r="A1830" s="25">
        <v>1829</v>
      </c>
      <c r="B1830" s="26">
        <v>45627</v>
      </c>
      <c r="C1830" s="25" t="s">
        <v>69</v>
      </c>
      <c r="D1830" s="25" t="s">
        <v>22</v>
      </c>
      <c r="E1830" s="25" t="s">
        <v>90</v>
      </c>
      <c r="F1830" s="25">
        <v>0.25</v>
      </c>
      <c r="G1830" s="25" t="s">
        <v>91</v>
      </c>
      <c r="H1830" s="25">
        <v>280</v>
      </c>
      <c r="I1830" s="25">
        <v>240</v>
      </c>
      <c r="J1830" s="25">
        <v>70</v>
      </c>
      <c r="K1830" s="25">
        <v>60</v>
      </c>
      <c r="L1830" s="25">
        <v>10</v>
      </c>
      <c r="M1830" s="27">
        <v>16.6666666666667</v>
      </c>
      <c r="N1830" s="25" t="s">
        <v>55</v>
      </c>
      <c r="O1830" s="25" t="s">
        <v>28</v>
      </c>
      <c r="P1830" s="25" t="s">
        <v>32</v>
      </c>
    </row>
    <row r="1831" spans="1:16" x14ac:dyDescent="0.3">
      <c r="A1831" s="25">
        <v>1830</v>
      </c>
      <c r="B1831" s="26">
        <v>45627</v>
      </c>
      <c r="C1831" s="25" t="s">
        <v>69</v>
      </c>
      <c r="D1831" s="25" t="s">
        <v>22</v>
      </c>
      <c r="E1831" s="25" t="s">
        <v>101</v>
      </c>
      <c r="F1831" s="25">
        <v>6</v>
      </c>
      <c r="G1831" s="25" t="s">
        <v>102</v>
      </c>
      <c r="H1831" s="25">
        <v>6</v>
      </c>
      <c r="I1831" s="25">
        <v>4</v>
      </c>
      <c r="J1831" s="25">
        <v>36</v>
      </c>
      <c r="K1831" s="25">
        <v>24</v>
      </c>
      <c r="L1831" s="25">
        <v>12</v>
      </c>
      <c r="M1831" s="27">
        <v>50</v>
      </c>
      <c r="N1831" s="25" t="s">
        <v>55</v>
      </c>
      <c r="O1831" s="25" t="s">
        <v>28</v>
      </c>
      <c r="P1831" s="25" t="s">
        <v>32</v>
      </c>
    </row>
    <row r="1832" spans="1:16" x14ac:dyDescent="0.3">
      <c r="A1832" s="25">
        <v>1831</v>
      </c>
      <c r="B1832" s="26">
        <v>45627</v>
      </c>
      <c r="C1832" s="25" t="s">
        <v>69</v>
      </c>
      <c r="D1832" s="25" t="s">
        <v>22</v>
      </c>
      <c r="E1832" s="25" t="s">
        <v>103</v>
      </c>
      <c r="F1832" s="25">
        <v>1</v>
      </c>
      <c r="G1832" s="25" t="s">
        <v>102</v>
      </c>
      <c r="H1832" s="25">
        <v>30</v>
      </c>
      <c r="I1832" s="25">
        <v>20</v>
      </c>
      <c r="J1832" s="25">
        <v>30</v>
      </c>
      <c r="K1832" s="25">
        <v>20</v>
      </c>
      <c r="L1832" s="25">
        <v>10</v>
      </c>
      <c r="M1832" s="27">
        <v>50</v>
      </c>
      <c r="N1832" s="25" t="s">
        <v>55</v>
      </c>
      <c r="O1832" s="25" t="s">
        <v>28</v>
      </c>
      <c r="P1832" s="25" t="s">
        <v>32</v>
      </c>
    </row>
    <row r="1833" spans="1:16" x14ac:dyDescent="0.3">
      <c r="A1833" s="25">
        <v>1832</v>
      </c>
      <c r="B1833" s="26">
        <v>45627</v>
      </c>
      <c r="C1833" s="25" t="s">
        <v>69</v>
      </c>
      <c r="D1833" s="25" t="s">
        <v>22</v>
      </c>
      <c r="E1833" s="25" t="s">
        <v>92</v>
      </c>
      <c r="F1833" s="25">
        <v>1.5</v>
      </c>
      <c r="G1833" s="25" t="s">
        <v>91</v>
      </c>
      <c r="H1833" s="25">
        <v>260</v>
      </c>
      <c r="I1833" s="25">
        <v>220</v>
      </c>
      <c r="J1833" s="25">
        <v>390</v>
      </c>
      <c r="K1833" s="25">
        <v>330</v>
      </c>
      <c r="L1833" s="25">
        <v>60</v>
      </c>
      <c r="M1833" s="27">
        <v>18.181818181818201</v>
      </c>
      <c r="N1833" s="25" t="s">
        <v>55</v>
      </c>
      <c r="O1833" s="25" t="s">
        <v>28</v>
      </c>
      <c r="P1833" s="25" t="s">
        <v>32</v>
      </c>
    </row>
    <row r="1834" spans="1:16" x14ac:dyDescent="0.3">
      <c r="A1834" s="25">
        <v>1833</v>
      </c>
      <c r="B1834" s="26">
        <v>45627</v>
      </c>
      <c r="C1834" s="25" t="s">
        <v>69</v>
      </c>
      <c r="D1834" s="25" t="s">
        <v>22</v>
      </c>
      <c r="E1834" s="25" t="s">
        <v>92</v>
      </c>
      <c r="F1834" s="25">
        <v>1</v>
      </c>
      <c r="G1834" s="25" t="s">
        <v>91</v>
      </c>
      <c r="H1834" s="25">
        <v>260</v>
      </c>
      <c r="I1834" s="25">
        <v>220</v>
      </c>
      <c r="J1834" s="25">
        <v>260</v>
      </c>
      <c r="K1834" s="25">
        <v>220</v>
      </c>
      <c r="L1834" s="25">
        <v>40</v>
      </c>
      <c r="M1834" s="27">
        <v>18.181818181818201</v>
      </c>
      <c r="N1834" s="25" t="s">
        <v>55</v>
      </c>
      <c r="O1834" s="25" t="s">
        <v>28</v>
      </c>
      <c r="P1834" s="25" t="s">
        <v>32</v>
      </c>
    </row>
    <row r="1835" spans="1:16" x14ac:dyDescent="0.3">
      <c r="A1835" s="25">
        <v>1834</v>
      </c>
      <c r="B1835" s="26">
        <v>45627</v>
      </c>
      <c r="C1835" s="25" t="s">
        <v>69</v>
      </c>
      <c r="D1835" s="25" t="s">
        <v>22</v>
      </c>
      <c r="E1835" s="25" t="s">
        <v>90</v>
      </c>
      <c r="F1835" s="25">
        <v>1</v>
      </c>
      <c r="G1835" s="25" t="s">
        <v>91</v>
      </c>
      <c r="H1835" s="25">
        <v>280</v>
      </c>
      <c r="I1835" s="25">
        <v>240</v>
      </c>
      <c r="J1835" s="25">
        <v>280</v>
      </c>
      <c r="K1835" s="25">
        <v>240</v>
      </c>
      <c r="L1835" s="25">
        <v>40</v>
      </c>
      <c r="M1835" s="27">
        <v>16.6666666666667</v>
      </c>
      <c r="N1835" s="25" t="s">
        <v>55</v>
      </c>
      <c r="O1835" s="25" t="s">
        <v>28</v>
      </c>
      <c r="P1835" s="25" t="s">
        <v>32</v>
      </c>
    </row>
    <row r="1836" spans="1:16" x14ac:dyDescent="0.3">
      <c r="A1836" s="25">
        <v>1835</v>
      </c>
      <c r="B1836" s="26">
        <v>45628</v>
      </c>
      <c r="C1836" s="25" t="s">
        <v>69</v>
      </c>
      <c r="D1836" s="25" t="s">
        <v>22</v>
      </c>
      <c r="E1836" s="25" t="s">
        <v>101</v>
      </c>
      <c r="F1836" s="25">
        <v>6</v>
      </c>
      <c r="G1836" s="25" t="s">
        <v>102</v>
      </c>
      <c r="H1836" s="25">
        <v>6</v>
      </c>
      <c r="I1836" s="25">
        <v>4</v>
      </c>
      <c r="J1836" s="25">
        <v>36</v>
      </c>
      <c r="K1836" s="25">
        <v>24</v>
      </c>
      <c r="L1836" s="25">
        <v>12</v>
      </c>
      <c r="M1836" s="27">
        <v>50</v>
      </c>
      <c r="N1836" s="25" t="s">
        <v>55</v>
      </c>
      <c r="O1836" s="25" t="s">
        <v>28</v>
      </c>
      <c r="P1836" s="25" t="s">
        <v>32</v>
      </c>
    </row>
    <row r="1837" spans="1:16" x14ac:dyDescent="0.3">
      <c r="A1837" s="25">
        <v>1836</v>
      </c>
      <c r="B1837" s="26">
        <v>45628</v>
      </c>
      <c r="C1837" s="25" t="s">
        <v>69</v>
      </c>
      <c r="D1837" s="25" t="s">
        <v>22</v>
      </c>
      <c r="E1837" s="25" t="s">
        <v>96</v>
      </c>
      <c r="F1837" s="25">
        <v>1.5</v>
      </c>
      <c r="G1837" s="25" t="s">
        <v>97</v>
      </c>
      <c r="H1837" s="25">
        <v>300</v>
      </c>
      <c r="I1837" s="25">
        <v>265</v>
      </c>
      <c r="J1837" s="25">
        <v>450</v>
      </c>
      <c r="K1837" s="25">
        <v>397.5</v>
      </c>
      <c r="L1837" s="25">
        <v>52.5</v>
      </c>
      <c r="M1837" s="27">
        <v>13.207547169811299</v>
      </c>
      <c r="N1837" s="25" t="s">
        <v>55</v>
      </c>
      <c r="O1837" s="25" t="s">
        <v>28</v>
      </c>
      <c r="P1837" s="25" t="s">
        <v>32</v>
      </c>
    </row>
    <row r="1838" spans="1:16" x14ac:dyDescent="0.3">
      <c r="A1838" s="25">
        <v>1837</v>
      </c>
      <c r="B1838" s="26">
        <v>45628</v>
      </c>
      <c r="C1838" s="25" t="s">
        <v>69</v>
      </c>
      <c r="D1838" s="25" t="s">
        <v>22</v>
      </c>
      <c r="E1838" s="25" t="s">
        <v>99</v>
      </c>
      <c r="F1838" s="25">
        <v>1</v>
      </c>
      <c r="G1838" s="25" t="s">
        <v>100</v>
      </c>
      <c r="H1838" s="25">
        <v>200</v>
      </c>
      <c r="I1838" s="25">
        <v>160</v>
      </c>
      <c r="J1838" s="25">
        <v>200</v>
      </c>
      <c r="K1838" s="25">
        <v>160</v>
      </c>
      <c r="L1838" s="25">
        <v>40</v>
      </c>
      <c r="M1838" s="27">
        <v>25</v>
      </c>
      <c r="N1838" s="25" t="s">
        <v>55</v>
      </c>
      <c r="O1838" s="25" t="s">
        <v>28</v>
      </c>
      <c r="P1838" s="25" t="s">
        <v>32</v>
      </c>
    </row>
    <row r="1839" spans="1:16" x14ac:dyDescent="0.3">
      <c r="A1839" s="25">
        <v>1838</v>
      </c>
      <c r="B1839" s="26">
        <v>45628</v>
      </c>
      <c r="C1839" s="25" t="s">
        <v>69</v>
      </c>
      <c r="D1839" s="25" t="s">
        <v>22</v>
      </c>
      <c r="E1839" s="25" t="s">
        <v>99</v>
      </c>
      <c r="F1839" s="25">
        <v>1</v>
      </c>
      <c r="G1839" s="25" t="s">
        <v>100</v>
      </c>
      <c r="H1839" s="25">
        <v>200</v>
      </c>
      <c r="I1839" s="25">
        <v>160</v>
      </c>
      <c r="J1839" s="25">
        <v>200</v>
      </c>
      <c r="K1839" s="25">
        <v>160</v>
      </c>
      <c r="L1839" s="25">
        <v>40</v>
      </c>
      <c r="M1839" s="27">
        <v>25</v>
      </c>
      <c r="N1839" s="25" t="s">
        <v>55</v>
      </c>
      <c r="O1839" s="25" t="s">
        <v>28</v>
      </c>
      <c r="P1839" s="25" t="s">
        <v>32</v>
      </c>
    </row>
    <row r="1840" spans="1:16" x14ac:dyDescent="0.3">
      <c r="A1840" s="25">
        <v>1839</v>
      </c>
      <c r="B1840" s="26">
        <v>45628</v>
      </c>
      <c r="C1840" s="25" t="s">
        <v>69</v>
      </c>
      <c r="D1840" s="25" t="s">
        <v>21</v>
      </c>
      <c r="E1840" s="25" t="s">
        <v>88</v>
      </c>
      <c r="F1840" s="25">
        <v>3</v>
      </c>
      <c r="G1840" s="25" t="s">
        <v>89</v>
      </c>
      <c r="H1840" s="25">
        <v>130</v>
      </c>
      <c r="I1840" s="25">
        <v>100</v>
      </c>
      <c r="J1840" s="25">
        <v>390</v>
      </c>
      <c r="K1840" s="25">
        <v>300</v>
      </c>
      <c r="L1840" s="25">
        <v>90</v>
      </c>
      <c r="M1840" s="27">
        <v>30</v>
      </c>
      <c r="N1840" s="25" t="s">
        <v>55</v>
      </c>
      <c r="O1840" s="25" t="s">
        <v>27</v>
      </c>
      <c r="P1840" s="25" t="s">
        <v>32</v>
      </c>
    </row>
    <row r="1841" spans="1:16" x14ac:dyDescent="0.3">
      <c r="A1841" s="25">
        <v>1840</v>
      </c>
      <c r="B1841" s="26">
        <v>45628</v>
      </c>
      <c r="C1841" s="25" t="s">
        <v>69</v>
      </c>
      <c r="D1841" s="25" t="s">
        <v>21</v>
      </c>
      <c r="E1841" s="25" t="s">
        <v>94</v>
      </c>
      <c r="F1841" s="25">
        <v>10</v>
      </c>
      <c r="G1841" s="25" t="s">
        <v>89</v>
      </c>
      <c r="H1841" s="25">
        <v>30</v>
      </c>
      <c r="I1841" s="25">
        <v>26</v>
      </c>
      <c r="J1841" s="25">
        <v>300</v>
      </c>
      <c r="K1841" s="25">
        <v>260</v>
      </c>
      <c r="L1841" s="25">
        <v>40</v>
      </c>
      <c r="M1841" s="27">
        <v>15.384615384615399</v>
      </c>
      <c r="N1841" s="25" t="s">
        <v>55</v>
      </c>
      <c r="O1841" s="25" t="s">
        <v>27</v>
      </c>
      <c r="P1841" s="25" t="s">
        <v>32</v>
      </c>
    </row>
    <row r="1842" spans="1:16" x14ac:dyDescent="0.3">
      <c r="A1842" s="25">
        <v>1841</v>
      </c>
      <c r="B1842" s="26">
        <v>45628</v>
      </c>
      <c r="C1842" s="25" t="s">
        <v>69</v>
      </c>
      <c r="D1842" s="25" t="s">
        <v>21</v>
      </c>
      <c r="E1842" s="25" t="s">
        <v>88</v>
      </c>
      <c r="F1842" s="25">
        <v>2</v>
      </c>
      <c r="G1842" s="25" t="s">
        <v>89</v>
      </c>
      <c r="H1842" s="25">
        <v>130</v>
      </c>
      <c r="I1842" s="25">
        <v>100</v>
      </c>
      <c r="J1842" s="25">
        <v>260</v>
      </c>
      <c r="K1842" s="25">
        <v>200</v>
      </c>
      <c r="L1842" s="25">
        <v>60</v>
      </c>
      <c r="M1842" s="27">
        <v>30</v>
      </c>
      <c r="N1842" s="25" t="s">
        <v>55</v>
      </c>
      <c r="O1842" s="25" t="s">
        <v>27</v>
      </c>
      <c r="P1842" s="25" t="s">
        <v>32</v>
      </c>
    </row>
    <row r="1843" spans="1:16" x14ac:dyDescent="0.3">
      <c r="A1843" s="25">
        <v>1842</v>
      </c>
      <c r="B1843" s="26">
        <v>45628</v>
      </c>
      <c r="C1843" s="25" t="s">
        <v>69</v>
      </c>
      <c r="D1843" s="25" t="s">
        <v>22</v>
      </c>
      <c r="E1843" s="25" t="s">
        <v>92</v>
      </c>
      <c r="F1843" s="25">
        <v>1</v>
      </c>
      <c r="G1843" s="25" t="s">
        <v>91</v>
      </c>
      <c r="H1843" s="25">
        <v>260</v>
      </c>
      <c r="I1843" s="25">
        <v>220</v>
      </c>
      <c r="J1843" s="25">
        <v>260</v>
      </c>
      <c r="K1843" s="25">
        <v>220</v>
      </c>
      <c r="L1843" s="25">
        <v>40</v>
      </c>
      <c r="M1843" s="27">
        <v>18.181818181818201</v>
      </c>
      <c r="N1843" s="25" t="s">
        <v>55</v>
      </c>
      <c r="O1843" s="25" t="s">
        <v>28</v>
      </c>
      <c r="P1843" s="25" t="s">
        <v>32</v>
      </c>
    </row>
    <row r="1844" spans="1:16" x14ac:dyDescent="0.3">
      <c r="A1844" s="25">
        <v>1843</v>
      </c>
      <c r="B1844" s="26">
        <v>45628</v>
      </c>
      <c r="C1844" s="25" t="s">
        <v>69</v>
      </c>
      <c r="D1844" s="25" t="s">
        <v>22</v>
      </c>
      <c r="E1844" s="25" t="s">
        <v>90</v>
      </c>
      <c r="F1844" s="25">
        <v>1.5</v>
      </c>
      <c r="G1844" s="25" t="s">
        <v>91</v>
      </c>
      <c r="H1844" s="25">
        <v>280</v>
      </c>
      <c r="I1844" s="25">
        <v>240</v>
      </c>
      <c r="J1844" s="25">
        <v>420</v>
      </c>
      <c r="K1844" s="25">
        <v>360</v>
      </c>
      <c r="L1844" s="25">
        <v>60</v>
      </c>
      <c r="M1844" s="27">
        <v>16.6666666666667</v>
      </c>
      <c r="N1844" s="25" t="s">
        <v>55</v>
      </c>
      <c r="O1844" s="25" t="s">
        <v>28</v>
      </c>
      <c r="P1844" s="25" t="s">
        <v>32</v>
      </c>
    </row>
    <row r="1845" spans="1:16" x14ac:dyDescent="0.3">
      <c r="A1845" s="25">
        <v>1844</v>
      </c>
      <c r="B1845" s="26">
        <v>45628</v>
      </c>
      <c r="C1845" s="25" t="s">
        <v>69</v>
      </c>
      <c r="D1845" s="25" t="s">
        <v>21</v>
      </c>
      <c r="E1845" s="25" t="s">
        <v>88</v>
      </c>
      <c r="F1845" s="25">
        <v>2</v>
      </c>
      <c r="G1845" s="25" t="s">
        <v>89</v>
      </c>
      <c r="H1845" s="25">
        <v>130</v>
      </c>
      <c r="I1845" s="25">
        <v>100</v>
      </c>
      <c r="J1845" s="25">
        <v>260</v>
      </c>
      <c r="K1845" s="25">
        <v>200</v>
      </c>
      <c r="L1845" s="25">
        <v>60</v>
      </c>
      <c r="M1845" s="27">
        <v>30</v>
      </c>
      <c r="N1845" s="25" t="s">
        <v>55</v>
      </c>
      <c r="O1845" s="25" t="s">
        <v>27</v>
      </c>
      <c r="P1845" s="25" t="s">
        <v>32</v>
      </c>
    </row>
    <row r="1846" spans="1:16" x14ac:dyDescent="0.3">
      <c r="A1846" s="25">
        <v>1845</v>
      </c>
      <c r="B1846" s="26">
        <v>45628</v>
      </c>
      <c r="C1846" s="25" t="s">
        <v>69</v>
      </c>
      <c r="D1846" s="25" t="s">
        <v>21</v>
      </c>
      <c r="E1846" s="25" t="s">
        <v>95</v>
      </c>
      <c r="F1846" s="25">
        <v>4</v>
      </c>
      <c r="G1846" s="25" t="s">
        <v>89</v>
      </c>
      <c r="H1846" s="25">
        <v>150</v>
      </c>
      <c r="I1846" s="25">
        <v>100</v>
      </c>
      <c r="J1846" s="25">
        <v>600</v>
      </c>
      <c r="K1846" s="25">
        <v>400</v>
      </c>
      <c r="L1846" s="25">
        <v>200</v>
      </c>
      <c r="M1846" s="27">
        <v>50</v>
      </c>
      <c r="N1846" s="25" t="s">
        <v>55</v>
      </c>
      <c r="O1846" s="25" t="s">
        <v>28</v>
      </c>
      <c r="P1846" s="25" t="s">
        <v>32</v>
      </c>
    </row>
    <row r="1847" spans="1:16" x14ac:dyDescent="0.3">
      <c r="A1847" s="25">
        <v>1846</v>
      </c>
      <c r="B1847" s="26">
        <v>45628</v>
      </c>
      <c r="C1847" s="25" t="s">
        <v>69</v>
      </c>
      <c r="D1847" s="25" t="s">
        <v>22</v>
      </c>
      <c r="E1847" s="25" t="s">
        <v>96</v>
      </c>
      <c r="F1847" s="25">
        <v>1</v>
      </c>
      <c r="G1847" s="25" t="s">
        <v>97</v>
      </c>
      <c r="H1847" s="25">
        <v>300</v>
      </c>
      <c r="I1847" s="25">
        <v>265</v>
      </c>
      <c r="J1847" s="25">
        <v>300</v>
      </c>
      <c r="K1847" s="25">
        <v>265</v>
      </c>
      <c r="L1847" s="25">
        <v>35</v>
      </c>
      <c r="M1847" s="27">
        <v>13.207547169811299</v>
      </c>
      <c r="N1847" s="25" t="s">
        <v>55</v>
      </c>
      <c r="O1847" s="25" t="s">
        <v>28</v>
      </c>
      <c r="P1847" s="25" t="s">
        <v>32</v>
      </c>
    </row>
    <row r="1848" spans="1:16" x14ac:dyDescent="0.3">
      <c r="A1848" s="25">
        <v>1847</v>
      </c>
      <c r="B1848" s="26">
        <v>45629</v>
      </c>
      <c r="C1848" s="25" t="s">
        <v>69</v>
      </c>
      <c r="D1848" s="25" t="s">
        <v>22</v>
      </c>
      <c r="E1848" s="25" t="s">
        <v>99</v>
      </c>
      <c r="F1848" s="25">
        <v>1</v>
      </c>
      <c r="G1848" s="25" t="s">
        <v>100</v>
      </c>
      <c r="H1848" s="25">
        <v>200</v>
      </c>
      <c r="I1848" s="25">
        <v>160</v>
      </c>
      <c r="J1848" s="25">
        <v>200</v>
      </c>
      <c r="K1848" s="25">
        <v>160</v>
      </c>
      <c r="L1848" s="25">
        <v>40</v>
      </c>
      <c r="M1848" s="27">
        <v>25</v>
      </c>
      <c r="N1848" s="25" t="s">
        <v>55</v>
      </c>
      <c r="O1848" s="25" t="s">
        <v>28</v>
      </c>
      <c r="P1848" s="25" t="s">
        <v>32</v>
      </c>
    </row>
    <row r="1849" spans="1:16" x14ac:dyDescent="0.3">
      <c r="A1849" s="25">
        <v>1848</v>
      </c>
      <c r="B1849" s="26">
        <v>45629</v>
      </c>
      <c r="C1849" s="25" t="s">
        <v>69</v>
      </c>
      <c r="D1849" s="25" t="s">
        <v>22</v>
      </c>
      <c r="E1849" s="25" t="s">
        <v>99</v>
      </c>
      <c r="F1849" s="25">
        <v>1</v>
      </c>
      <c r="G1849" s="25" t="s">
        <v>100</v>
      </c>
      <c r="H1849" s="25">
        <v>200</v>
      </c>
      <c r="I1849" s="25">
        <v>160</v>
      </c>
      <c r="J1849" s="25">
        <v>200</v>
      </c>
      <c r="K1849" s="25">
        <v>160</v>
      </c>
      <c r="L1849" s="25">
        <v>40</v>
      </c>
      <c r="M1849" s="27">
        <v>25</v>
      </c>
      <c r="N1849" s="25" t="s">
        <v>55</v>
      </c>
      <c r="O1849" s="25" t="s">
        <v>28</v>
      </c>
      <c r="P1849" s="25" t="s">
        <v>32</v>
      </c>
    </row>
    <row r="1850" spans="1:16" x14ac:dyDescent="0.3">
      <c r="A1850" s="25">
        <v>1849</v>
      </c>
      <c r="B1850" s="26">
        <v>45629</v>
      </c>
      <c r="C1850" s="25" t="s">
        <v>69</v>
      </c>
      <c r="D1850" s="25" t="s">
        <v>22</v>
      </c>
      <c r="E1850" s="25" t="s">
        <v>92</v>
      </c>
      <c r="F1850" s="25">
        <v>1</v>
      </c>
      <c r="G1850" s="25" t="s">
        <v>91</v>
      </c>
      <c r="H1850" s="25">
        <v>260</v>
      </c>
      <c r="I1850" s="25">
        <v>220</v>
      </c>
      <c r="J1850" s="25">
        <v>260</v>
      </c>
      <c r="K1850" s="25">
        <v>220</v>
      </c>
      <c r="L1850" s="25">
        <v>40</v>
      </c>
      <c r="M1850" s="27">
        <v>18.181818181818201</v>
      </c>
      <c r="N1850" s="25" t="s">
        <v>55</v>
      </c>
      <c r="O1850" s="25" t="s">
        <v>28</v>
      </c>
      <c r="P1850" s="25" t="s">
        <v>32</v>
      </c>
    </row>
    <row r="1851" spans="1:16" x14ac:dyDescent="0.3">
      <c r="A1851" s="25">
        <v>1850</v>
      </c>
      <c r="B1851" s="26">
        <v>45629</v>
      </c>
      <c r="C1851" s="25" t="s">
        <v>69</v>
      </c>
      <c r="D1851" s="25" t="s">
        <v>22</v>
      </c>
      <c r="E1851" s="25" t="s">
        <v>92</v>
      </c>
      <c r="F1851" s="25">
        <v>1.5</v>
      </c>
      <c r="G1851" s="25" t="s">
        <v>91</v>
      </c>
      <c r="H1851" s="25">
        <v>260</v>
      </c>
      <c r="I1851" s="25">
        <v>220</v>
      </c>
      <c r="J1851" s="25">
        <v>390</v>
      </c>
      <c r="K1851" s="25">
        <v>330</v>
      </c>
      <c r="L1851" s="25">
        <v>60</v>
      </c>
      <c r="M1851" s="27">
        <v>18.181818181818201</v>
      </c>
      <c r="N1851" s="25" t="s">
        <v>55</v>
      </c>
      <c r="O1851" s="25" t="s">
        <v>28</v>
      </c>
      <c r="P1851" s="25" t="s">
        <v>32</v>
      </c>
    </row>
    <row r="1852" spans="1:16" x14ac:dyDescent="0.3">
      <c r="A1852" s="25">
        <v>1851</v>
      </c>
      <c r="B1852" s="26">
        <v>45629</v>
      </c>
      <c r="C1852" s="25" t="s">
        <v>69</v>
      </c>
      <c r="D1852" s="25" t="s">
        <v>22</v>
      </c>
      <c r="E1852" s="25" t="s">
        <v>103</v>
      </c>
      <c r="F1852" s="25">
        <v>1</v>
      </c>
      <c r="G1852" s="25" t="s">
        <v>102</v>
      </c>
      <c r="H1852" s="25">
        <v>30</v>
      </c>
      <c r="I1852" s="25">
        <v>20</v>
      </c>
      <c r="J1852" s="25">
        <v>30</v>
      </c>
      <c r="K1852" s="25">
        <v>20</v>
      </c>
      <c r="L1852" s="25">
        <v>10</v>
      </c>
      <c r="M1852" s="27">
        <v>50</v>
      </c>
      <c r="N1852" s="25" t="s">
        <v>55</v>
      </c>
      <c r="O1852" s="25" t="s">
        <v>28</v>
      </c>
      <c r="P1852" s="25" t="s">
        <v>32</v>
      </c>
    </row>
    <row r="1853" spans="1:16" x14ac:dyDescent="0.3">
      <c r="A1853" s="25">
        <v>1852</v>
      </c>
      <c r="B1853" s="26">
        <v>45629</v>
      </c>
      <c r="C1853" s="25" t="s">
        <v>69</v>
      </c>
      <c r="D1853" s="25" t="s">
        <v>22</v>
      </c>
      <c r="E1853" s="25" t="s">
        <v>101</v>
      </c>
      <c r="F1853" s="25">
        <v>6</v>
      </c>
      <c r="G1853" s="25" t="s">
        <v>102</v>
      </c>
      <c r="H1853" s="25">
        <v>6</v>
      </c>
      <c r="I1853" s="25">
        <v>4</v>
      </c>
      <c r="J1853" s="25">
        <v>36</v>
      </c>
      <c r="K1853" s="25">
        <v>24</v>
      </c>
      <c r="L1853" s="25">
        <v>12</v>
      </c>
      <c r="M1853" s="27">
        <v>50</v>
      </c>
      <c r="N1853" s="25" t="s">
        <v>55</v>
      </c>
      <c r="O1853" s="25" t="s">
        <v>28</v>
      </c>
      <c r="P1853" s="25" t="s">
        <v>32</v>
      </c>
    </row>
    <row r="1854" spans="1:16" x14ac:dyDescent="0.3">
      <c r="A1854" s="25">
        <v>1853</v>
      </c>
      <c r="B1854" s="26">
        <v>45629</v>
      </c>
      <c r="C1854" s="25" t="s">
        <v>69</v>
      </c>
      <c r="D1854" s="25" t="s">
        <v>22</v>
      </c>
      <c r="E1854" s="25" t="s">
        <v>103</v>
      </c>
      <c r="F1854" s="25">
        <v>1</v>
      </c>
      <c r="G1854" s="25" t="s">
        <v>102</v>
      </c>
      <c r="H1854" s="25">
        <v>30</v>
      </c>
      <c r="I1854" s="25">
        <v>20</v>
      </c>
      <c r="J1854" s="25">
        <v>30</v>
      </c>
      <c r="K1854" s="25">
        <v>20</v>
      </c>
      <c r="L1854" s="25">
        <v>10</v>
      </c>
      <c r="M1854" s="27">
        <v>50</v>
      </c>
      <c r="N1854" s="25" t="s">
        <v>55</v>
      </c>
      <c r="O1854" s="25" t="s">
        <v>28</v>
      </c>
      <c r="P1854" s="25" t="s">
        <v>32</v>
      </c>
    </row>
    <row r="1855" spans="1:16" x14ac:dyDescent="0.3">
      <c r="A1855" s="25">
        <v>1854</v>
      </c>
      <c r="B1855" s="26">
        <v>45629</v>
      </c>
      <c r="C1855" s="25" t="s">
        <v>69</v>
      </c>
      <c r="D1855" s="25" t="s">
        <v>22</v>
      </c>
      <c r="E1855" s="25" t="s">
        <v>92</v>
      </c>
      <c r="F1855" s="25">
        <v>1.25</v>
      </c>
      <c r="G1855" s="25" t="s">
        <v>91</v>
      </c>
      <c r="H1855" s="25">
        <v>260</v>
      </c>
      <c r="I1855" s="25">
        <v>220</v>
      </c>
      <c r="J1855" s="25">
        <v>325</v>
      </c>
      <c r="K1855" s="25">
        <v>275</v>
      </c>
      <c r="L1855" s="25">
        <v>50</v>
      </c>
      <c r="M1855" s="27">
        <v>18.181818181818201</v>
      </c>
      <c r="N1855" s="25" t="s">
        <v>55</v>
      </c>
      <c r="O1855" s="25" t="s">
        <v>28</v>
      </c>
      <c r="P1855" s="25" t="s">
        <v>32</v>
      </c>
    </row>
    <row r="1856" spans="1:16" x14ac:dyDescent="0.3">
      <c r="A1856" s="25">
        <v>1855</v>
      </c>
      <c r="B1856" s="26">
        <v>45629</v>
      </c>
      <c r="C1856" s="25" t="s">
        <v>69</v>
      </c>
      <c r="D1856" s="25" t="s">
        <v>22</v>
      </c>
      <c r="E1856" s="25" t="s">
        <v>90</v>
      </c>
      <c r="F1856" s="25">
        <v>0.25</v>
      </c>
      <c r="G1856" s="25" t="s">
        <v>91</v>
      </c>
      <c r="H1856" s="25">
        <v>280</v>
      </c>
      <c r="I1856" s="25">
        <v>240</v>
      </c>
      <c r="J1856" s="25">
        <v>70</v>
      </c>
      <c r="K1856" s="25">
        <v>60</v>
      </c>
      <c r="L1856" s="25">
        <v>10</v>
      </c>
      <c r="M1856" s="27">
        <v>16.6666666666667</v>
      </c>
      <c r="N1856" s="25" t="s">
        <v>55</v>
      </c>
      <c r="O1856" s="25" t="s">
        <v>28</v>
      </c>
      <c r="P1856" s="25" t="s">
        <v>32</v>
      </c>
    </row>
    <row r="1857" spans="1:16" x14ac:dyDescent="0.3">
      <c r="A1857" s="25">
        <v>1856</v>
      </c>
      <c r="B1857" s="26">
        <v>45629</v>
      </c>
      <c r="C1857" s="25" t="s">
        <v>69</v>
      </c>
      <c r="D1857" s="25" t="s">
        <v>22</v>
      </c>
      <c r="E1857" s="25" t="s">
        <v>101</v>
      </c>
      <c r="F1857" s="25">
        <v>5</v>
      </c>
      <c r="G1857" s="25" t="s">
        <v>102</v>
      </c>
      <c r="H1857" s="25">
        <v>6</v>
      </c>
      <c r="I1857" s="25">
        <v>4</v>
      </c>
      <c r="J1857" s="25">
        <v>30</v>
      </c>
      <c r="K1857" s="25">
        <v>20</v>
      </c>
      <c r="L1857" s="25">
        <v>10</v>
      </c>
      <c r="M1857" s="27">
        <v>50</v>
      </c>
      <c r="N1857" s="25" t="s">
        <v>55</v>
      </c>
      <c r="O1857" s="25" t="s">
        <v>28</v>
      </c>
      <c r="P1857" s="25" t="s">
        <v>32</v>
      </c>
    </row>
    <row r="1858" spans="1:16" x14ac:dyDescent="0.3">
      <c r="A1858" s="25">
        <v>1857</v>
      </c>
      <c r="B1858" s="26">
        <v>45631</v>
      </c>
      <c r="C1858" s="25" t="s">
        <v>69</v>
      </c>
      <c r="D1858" s="25" t="s">
        <v>22</v>
      </c>
      <c r="E1858" s="25" t="s">
        <v>101</v>
      </c>
      <c r="F1858" s="25">
        <v>6</v>
      </c>
      <c r="G1858" s="25" t="s">
        <v>102</v>
      </c>
      <c r="H1858" s="25">
        <v>6</v>
      </c>
      <c r="I1858" s="25">
        <v>4</v>
      </c>
      <c r="J1858" s="25">
        <v>36</v>
      </c>
      <c r="K1858" s="25">
        <v>24</v>
      </c>
      <c r="L1858" s="25">
        <v>12</v>
      </c>
      <c r="M1858" s="27">
        <v>50</v>
      </c>
      <c r="N1858" s="25" t="s">
        <v>55</v>
      </c>
      <c r="O1858" s="25" t="s">
        <v>28</v>
      </c>
      <c r="P1858" s="25" t="s">
        <v>32</v>
      </c>
    </row>
    <row r="1859" spans="1:16" x14ac:dyDescent="0.3">
      <c r="A1859" s="25">
        <v>1858</v>
      </c>
      <c r="B1859" s="26">
        <v>45631</v>
      </c>
      <c r="C1859" s="25" t="s">
        <v>69</v>
      </c>
      <c r="D1859" s="25" t="s">
        <v>22</v>
      </c>
      <c r="E1859" s="25" t="s">
        <v>90</v>
      </c>
      <c r="F1859" s="25">
        <v>0.25</v>
      </c>
      <c r="G1859" s="25" t="s">
        <v>91</v>
      </c>
      <c r="H1859" s="25">
        <v>280</v>
      </c>
      <c r="I1859" s="25">
        <v>240</v>
      </c>
      <c r="J1859" s="25">
        <v>70</v>
      </c>
      <c r="K1859" s="25">
        <v>60</v>
      </c>
      <c r="L1859" s="25">
        <v>10</v>
      </c>
      <c r="M1859" s="27">
        <v>16.6666666666667</v>
      </c>
      <c r="N1859" s="25" t="s">
        <v>55</v>
      </c>
      <c r="O1859" s="25" t="s">
        <v>28</v>
      </c>
      <c r="P1859" s="25" t="s">
        <v>32</v>
      </c>
    </row>
    <row r="1860" spans="1:16" x14ac:dyDescent="0.3">
      <c r="A1860" s="25">
        <v>1859</v>
      </c>
      <c r="B1860" s="26">
        <v>45631</v>
      </c>
      <c r="C1860" s="25" t="s">
        <v>69</v>
      </c>
      <c r="D1860" s="25" t="s">
        <v>22</v>
      </c>
      <c r="E1860" s="25" t="s">
        <v>96</v>
      </c>
      <c r="F1860" s="25">
        <v>1</v>
      </c>
      <c r="G1860" s="25" t="s">
        <v>97</v>
      </c>
      <c r="H1860" s="25">
        <v>300</v>
      </c>
      <c r="I1860" s="25">
        <v>265</v>
      </c>
      <c r="J1860" s="25">
        <v>300</v>
      </c>
      <c r="K1860" s="25">
        <v>265</v>
      </c>
      <c r="L1860" s="25">
        <v>35</v>
      </c>
      <c r="M1860" s="27">
        <v>13.207547169811299</v>
      </c>
      <c r="N1860" s="25" t="s">
        <v>55</v>
      </c>
      <c r="O1860" s="25" t="s">
        <v>28</v>
      </c>
      <c r="P1860" s="25" t="s">
        <v>32</v>
      </c>
    </row>
    <row r="1861" spans="1:16" x14ac:dyDescent="0.3">
      <c r="A1861" s="25">
        <v>1860</v>
      </c>
      <c r="B1861" s="26">
        <v>45631</v>
      </c>
      <c r="C1861" s="25" t="s">
        <v>69</v>
      </c>
      <c r="D1861" s="25" t="s">
        <v>21</v>
      </c>
      <c r="E1861" s="25" t="s">
        <v>88</v>
      </c>
      <c r="F1861" s="25">
        <v>2</v>
      </c>
      <c r="G1861" s="25" t="s">
        <v>89</v>
      </c>
      <c r="H1861" s="25">
        <v>130</v>
      </c>
      <c r="I1861" s="25">
        <v>100</v>
      </c>
      <c r="J1861" s="25">
        <v>260</v>
      </c>
      <c r="K1861" s="25">
        <v>200</v>
      </c>
      <c r="L1861" s="25">
        <v>60</v>
      </c>
      <c r="M1861" s="27">
        <v>30</v>
      </c>
      <c r="N1861" s="25" t="s">
        <v>55</v>
      </c>
      <c r="O1861" s="25" t="s">
        <v>27</v>
      </c>
      <c r="P1861" s="25" t="s">
        <v>32</v>
      </c>
    </row>
    <row r="1862" spans="1:16" x14ac:dyDescent="0.3">
      <c r="A1862" s="25">
        <v>1861</v>
      </c>
      <c r="B1862" s="26">
        <v>45631</v>
      </c>
      <c r="C1862" s="25" t="s">
        <v>69</v>
      </c>
      <c r="D1862" s="25" t="s">
        <v>21</v>
      </c>
      <c r="E1862" s="25" t="s">
        <v>88</v>
      </c>
      <c r="F1862" s="25">
        <v>2</v>
      </c>
      <c r="G1862" s="25" t="s">
        <v>89</v>
      </c>
      <c r="H1862" s="25">
        <v>130</v>
      </c>
      <c r="I1862" s="25">
        <v>100</v>
      </c>
      <c r="J1862" s="25">
        <v>260</v>
      </c>
      <c r="K1862" s="25">
        <v>200</v>
      </c>
      <c r="L1862" s="25">
        <v>60</v>
      </c>
      <c r="M1862" s="27">
        <v>30</v>
      </c>
      <c r="N1862" s="25" t="s">
        <v>55</v>
      </c>
      <c r="O1862" s="25" t="s">
        <v>27</v>
      </c>
      <c r="P1862" s="25" t="s">
        <v>32</v>
      </c>
    </row>
    <row r="1863" spans="1:16" x14ac:dyDescent="0.3">
      <c r="A1863" s="25">
        <v>1862</v>
      </c>
      <c r="B1863" s="26">
        <v>45631</v>
      </c>
      <c r="C1863" s="25" t="s">
        <v>69</v>
      </c>
      <c r="D1863" s="25" t="s">
        <v>22</v>
      </c>
      <c r="E1863" s="25" t="s">
        <v>90</v>
      </c>
      <c r="F1863" s="25">
        <v>1.5</v>
      </c>
      <c r="G1863" s="25" t="s">
        <v>91</v>
      </c>
      <c r="H1863" s="25">
        <v>280</v>
      </c>
      <c r="I1863" s="25">
        <v>240</v>
      </c>
      <c r="J1863" s="25">
        <v>420</v>
      </c>
      <c r="K1863" s="25">
        <v>360</v>
      </c>
      <c r="L1863" s="25">
        <v>60</v>
      </c>
      <c r="M1863" s="27">
        <v>16.6666666666667</v>
      </c>
      <c r="N1863" s="25" t="s">
        <v>55</v>
      </c>
      <c r="O1863" s="25" t="s">
        <v>28</v>
      </c>
      <c r="P1863" s="25" t="s">
        <v>32</v>
      </c>
    </row>
    <row r="1864" spans="1:16" x14ac:dyDescent="0.3">
      <c r="A1864" s="25">
        <v>1863</v>
      </c>
      <c r="B1864" s="26">
        <v>45631</v>
      </c>
      <c r="C1864" s="25" t="s">
        <v>69</v>
      </c>
      <c r="D1864" s="25" t="s">
        <v>22</v>
      </c>
      <c r="E1864" s="25" t="s">
        <v>96</v>
      </c>
      <c r="F1864" s="25">
        <v>1</v>
      </c>
      <c r="G1864" s="25" t="s">
        <v>97</v>
      </c>
      <c r="H1864" s="25">
        <v>300</v>
      </c>
      <c r="I1864" s="25">
        <v>265</v>
      </c>
      <c r="J1864" s="25">
        <v>300</v>
      </c>
      <c r="K1864" s="25">
        <v>265</v>
      </c>
      <c r="L1864" s="25">
        <v>35</v>
      </c>
      <c r="M1864" s="27">
        <v>13.207547169811299</v>
      </c>
      <c r="N1864" s="25" t="s">
        <v>55</v>
      </c>
      <c r="O1864" s="25" t="s">
        <v>28</v>
      </c>
      <c r="P1864" s="25" t="s">
        <v>32</v>
      </c>
    </row>
    <row r="1865" spans="1:16" x14ac:dyDescent="0.3">
      <c r="A1865" s="25">
        <v>1864</v>
      </c>
      <c r="B1865" s="26">
        <v>45631</v>
      </c>
      <c r="C1865" s="25" t="s">
        <v>69</v>
      </c>
      <c r="D1865" s="25" t="s">
        <v>22</v>
      </c>
      <c r="E1865" s="25" t="s">
        <v>101</v>
      </c>
      <c r="F1865" s="25">
        <v>6</v>
      </c>
      <c r="G1865" s="25" t="s">
        <v>102</v>
      </c>
      <c r="H1865" s="25">
        <v>6</v>
      </c>
      <c r="I1865" s="25">
        <v>4</v>
      </c>
      <c r="J1865" s="25">
        <v>36</v>
      </c>
      <c r="K1865" s="25">
        <v>24</v>
      </c>
      <c r="L1865" s="25">
        <v>12</v>
      </c>
      <c r="M1865" s="27">
        <v>50</v>
      </c>
      <c r="N1865" s="25" t="s">
        <v>55</v>
      </c>
      <c r="O1865" s="25" t="s">
        <v>28</v>
      </c>
      <c r="P1865" s="25" t="s">
        <v>32</v>
      </c>
    </row>
    <row r="1866" spans="1:16" x14ac:dyDescent="0.3">
      <c r="A1866" s="25">
        <v>1865</v>
      </c>
      <c r="B1866" s="26">
        <v>45631</v>
      </c>
      <c r="C1866" s="25" t="s">
        <v>69</v>
      </c>
      <c r="D1866" s="25" t="s">
        <v>22</v>
      </c>
      <c r="E1866" s="25" t="s">
        <v>92</v>
      </c>
      <c r="F1866" s="25">
        <v>1.25</v>
      </c>
      <c r="G1866" s="25" t="s">
        <v>91</v>
      </c>
      <c r="H1866" s="25">
        <v>260</v>
      </c>
      <c r="I1866" s="25">
        <v>220</v>
      </c>
      <c r="J1866" s="25">
        <v>325</v>
      </c>
      <c r="K1866" s="25">
        <v>275</v>
      </c>
      <c r="L1866" s="25">
        <v>50</v>
      </c>
      <c r="M1866" s="27">
        <v>18.181818181818201</v>
      </c>
      <c r="N1866" s="25" t="s">
        <v>55</v>
      </c>
      <c r="O1866" s="25" t="s">
        <v>28</v>
      </c>
      <c r="P1866" s="25" t="s">
        <v>32</v>
      </c>
    </row>
    <row r="1867" spans="1:16" x14ac:dyDescent="0.3">
      <c r="A1867" s="25">
        <v>1866</v>
      </c>
      <c r="B1867" s="26">
        <v>45631</v>
      </c>
      <c r="C1867" s="25" t="s">
        <v>69</v>
      </c>
      <c r="D1867" s="25" t="s">
        <v>21</v>
      </c>
      <c r="E1867" s="25" t="s">
        <v>88</v>
      </c>
      <c r="F1867" s="25">
        <v>2</v>
      </c>
      <c r="G1867" s="25" t="s">
        <v>89</v>
      </c>
      <c r="H1867" s="25">
        <v>130</v>
      </c>
      <c r="I1867" s="25">
        <v>100</v>
      </c>
      <c r="J1867" s="25">
        <v>260</v>
      </c>
      <c r="K1867" s="25">
        <v>200</v>
      </c>
      <c r="L1867" s="25">
        <v>60</v>
      </c>
      <c r="M1867" s="27">
        <v>30</v>
      </c>
      <c r="N1867" s="25" t="s">
        <v>55</v>
      </c>
      <c r="O1867" s="25" t="s">
        <v>27</v>
      </c>
      <c r="P1867" s="25" t="s">
        <v>32</v>
      </c>
    </row>
    <row r="1868" spans="1:16" x14ac:dyDescent="0.3">
      <c r="A1868" s="25">
        <v>1867</v>
      </c>
      <c r="B1868" s="26">
        <v>45631</v>
      </c>
      <c r="C1868" s="25" t="s">
        <v>69</v>
      </c>
      <c r="D1868" s="25" t="s">
        <v>22</v>
      </c>
      <c r="E1868" s="25" t="s">
        <v>90</v>
      </c>
      <c r="F1868" s="25">
        <v>1.5</v>
      </c>
      <c r="G1868" s="25" t="s">
        <v>91</v>
      </c>
      <c r="H1868" s="25">
        <v>280</v>
      </c>
      <c r="I1868" s="25">
        <v>240</v>
      </c>
      <c r="J1868" s="25">
        <v>420</v>
      </c>
      <c r="K1868" s="25">
        <v>360</v>
      </c>
      <c r="L1868" s="25">
        <v>60</v>
      </c>
      <c r="M1868" s="27">
        <v>16.6666666666667</v>
      </c>
      <c r="N1868" s="25" t="s">
        <v>55</v>
      </c>
      <c r="O1868" s="25" t="s">
        <v>28</v>
      </c>
      <c r="P1868" s="25" t="s">
        <v>32</v>
      </c>
    </row>
    <row r="1869" spans="1:16" x14ac:dyDescent="0.3">
      <c r="A1869" s="25">
        <v>1868</v>
      </c>
      <c r="B1869" s="26">
        <v>45632</v>
      </c>
      <c r="C1869" s="25" t="s">
        <v>69</v>
      </c>
      <c r="D1869" s="25" t="s">
        <v>22</v>
      </c>
      <c r="E1869" s="25" t="s">
        <v>96</v>
      </c>
      <c r="F1869" s="25">
        <v>1</v>
      </c>
      <c r="G1869" s="25" t="s">
        <v>97</v>
      </c>
      <c r="H1869" s="25">
        <v>300</v>
      </c>
      <c r="I1869" s="25">
        <v>265</v>
      </c>
      <c r="J1869" s="25">
        <v>300</v>
      </c>
      <c r="K1869" s="25">
        <v>265</v>
      </c>
      <c r="L1869" s="25">
        <v>35</v>
      </c>
      <c r="M1869" s="27">
        <v>13.207547169811299</v>
      </c>
      <c r="N1869" s="25" t="s">
        <v>55</v>
      </c>
      <c r="O1869" s="25" t="s">
        <v>28</v>
      </c>
      <c r="P1869" s="25" t="s">
        <v>32</v>
      </c>
    </row>
    <row r="1870" spans="1:16" x14ac:dyDescent="0.3">
      <c r="A1870" s="25">
        <v>1869</v>
      </c>
      <c r="B1870" s="26">
        <v>45632</v>
      </c>
      <c r="C1870" s="25" t="s">
        <v>69</v>
      </c>
      <c r="D1870" s="25" t="s">
        <v>22</v>
      </c>
      <c r="E1870" s="25" t="s">
        <v>90</v>
      </c>
      <c r="F1870" s="25">
        <v>1</v>
      </c>
      <c r="G1870" s="25" t="s">
        <v>91</v>
      </c>
      <c r="H1870" s="25">
        <v>280</v>
      </c>
      <c r="I1870" s="25">
        <v>240</v>
      </c>
      <c r="J1870" s="25">
        <v>280</v>
      </c>
      <c r="K1870" s="25">
        <v>240</v>
      </c>
      <c r="L1870" s="25">
        <v>40</v>
      </c>
      <c r="M1870" s="27">
        <v>16.6666666666667</v>
      </c>
      <c r="N1870" s="25" t="s">
        <v>55</v>
      </c>
      <c r="O1870" s="25" t="s">
        <v>28</v>
      </c>
      <c r="P1870" s="25" t="s">
        <v>32</v>
      </c>
    </row>
    <row r="1871" spans="1:16" x14ac:dyDescent="0.3">
      <c r="A1871" s="25">
        <v>1870</v>
      </c>
      <c r="B1871" s="26">
        <v>45632</v>
      </c>
      <c r="C1871" s="25" t="s">
        <v>69</v>
      </c>
      <c r="D1871" s="25" t="s">
        <v>22</v>
      </c>
      <c r="E1871" s="25" t="s">
        <v>101</v>
      </c>
      <c r="F1871" s="25">
        <v>15</v>
      </c>
      <c r="G1871" s="25" t="s">
        <v>102</v>
      </c>
      <c r="H1871" s="25">
        <v>6</v>
      </c>
      <c r="I1871" s="25">
        <v>4</v>
      </c>
      <c r="J1871" s="25">
        <v>90</v>
      </c>
      <c r="K1871" s="25">
        <v>60</v>
      </c>
      <c r="L1871" s="25">
        <v>30</v>
      </c>
      <c r="M1871" s="27">
        <v>50</v>
      </c>
      <c r="N1871" s="25" t="s">
        <v>55</v>
      </c>
      <c r="O1871" s="25" t="s">
        <v>28</v>
      </c>
      <c r="P1871" s="25" t="s">
        <v>32</v>
      </c>
    </row>
    <row r="1872" spans="1:16" x14ac:dyDescent="0.3">
      <c r="A1872" s="25">
        <v>1871</v>
      </c>
      <c r="B1872" s="26">
        <v>45632</v>
      </c>
      <c r="C1872" s="25" t="s">
        <v>69</v>
      </c>
      <c r="D1872" s="25" t="s">
        <v>22</v>
      </c>
      <c r="E1872" s="25" t="s">
        <v>92</v>
      </c>
      <c r="F1872" s="25">
        <v>1</v>
      </c>
      <c r="G1872" s="25" t="s">
        <v>91</v>
      </c>
      <c r="H1872" s="25">
        <v>260</v>
      </c>
      <c r="I1872" s="25">
        <v>220</v>
      </c>
      <c r="J1872" s="25">
        <v>260</v>
      </c>
      <c r="K1872" s="25">
        <v>220</v>
      </c>
      <c r="L1872" s="25">
        <v>40</v>
      </c>
      <c r="M1872" s="27">
        <v>18.181818181818201</v>
      </c>
      <c r="N1872" s="25" t="s">
        <v>55</v>
      </c>
      <c r="O1872" s="25" t="s">
        <v>28</v>
      </c>
      <c r="P1872" s="25" t="s">
        <v>32</v>
      </c>
    </row>
    <row r="1873" spans="1:16" x14ac:dyDescent="0.3">
      <c r="A1873" s="25">
        <v>1872</v>
      </c>
      <c r="B1873" s="26">
        <v>45632</v>
      </c>
      <c r="C1873" s="25" t="s">
        <v>69</v>
      </c>
      <c r="D1873" s="25" t="s">
        <v>22</v>
      </c>
      <c r="E1873" s="25" t="s">
        <v>96</v>
      </c>
      <c r="F1873" s="25">
        <v>2.5</v>
      </c>
      <c r="G1873" s="25" t="s">
        <v>97</v>
      </c>
      <c r="H1873" s="25">
        <v>300</v>
      </c>
      <c r="I1873" s="25">
        <v>265</v>
      </c>
      <c r="J1873" s="25">
        <v>750</v>
      </c>
      <c r="K1873" s="25">
        <v>662.5</v>
      </c>
      <c r="L1873" s="25">
        <v>87.5</v>
      </c>
      <c r="M1873" s="27">
        <v>13.207547169811299</v>
      </c>
      <c r="N1873" s="25" t="s">
        <v>55</v>
      </c>
      <c r="O1873" s="25" t="s">
        <v>28</v>
      </c>
      <c r="P1873" s="25" t="s">
        <v>32</v>
      </c>
    </row>
    <row r="1874" spans="1:16" x14ac:dyDescent="0.3">
      <c r="A1874" s="25">
        <v>1873</v>
      </c>
      <c r="B1874" s="26">
        <v>45632</v>
      </c>
      <c r="C1874" s="25" t="s">
        <v>69</v>
      </c>
      <c r="D1874" s="25" t="s">
        <v>22</v>
      </c>
      <c r="E1874" s="25" t="s">
        <v>101</v>
      </c>
      <c r="F1874" s="25">
        <v>5</v>
      </c>
      <c r="G1874" s="25" t="s">
        <v>102</v>
      </c>
      <c r="H1874" s="25">
        <v>6</v>
      </c>
      <c r="I1874" s="25">
        <v>4</v>
      </c>
      <c r="J1874" s="25">
        <v>30</v>
      </c>
      <c r="K1874" s="25">
        <v>20</v>
      </c>
      <c r="L1874" s="25">
        <v>10</v>
      </c>
      <c r="M1874" s="27">
        <v>50</v>
      </c>
      <c r="N1874" s="25" t="s">
        <v>55</v>
      </c>
      <c r="O1874" s="25" t="s">
        <v>28</v>
      </c>
      <c r="P1874" s="25" t="s">
        <v>32</v>
      </c>
    </row>
    <row r="1875" spans="1:16" x14ac:dyDescent="0.3">
      <c r="A1875" s="25">
        <v>1874</v>
      </c>
      <c r="B1875" s="26">
        <v>45632</v>
      </c>
      <c r="C1875" s="25" t="s">
        <v>69</v>
      </c>
      <c r="D1875" s="25" t="s">
        <v>22</v>
      </c>
      <c r="E1875" s="25" t="s">
        <v>92</v>
      </c>
      <c r="F1875" s="25">
        <v>2</v>
      </c>
      <c r="G1875" s="25" t="s">
        <v>91</v>
      </c>
      <c r="H1875" s="25">
        <v>260</v>
      </c>
      <c r="I1875" s="25">
        <v>220</v>
      </c>
      <c r="J1875" s="25">
        <v>520</v>
      </c>
      <c r="K1875" s="25">
        <v>440</v>
      </c>
      <c r="L1875" s="25">
        <v>80</v>
      </c>
      <c r="M1875" s="27">
        <v>18.181818181818201</v>
      </c>
      <c r="N1875" s="25" t="s">
        <v>55</v>
      </c>
      <c r="O1875" s="25" t="s">
        <v>28</v>
      </c>
      <c r="P1875" s="25" t="s">
        <v>32</v>
      </c>
    </row>
    <row r="1876" spans="1:16" x14ac:dyDescent="0.3">
      <c r="A1876" s="25">
        <v>1875</v>
      </c>
      <c r="B1876" s="26">
        <v>45632</v>
      </c>
      <c r="C1876" s="25" t="s">
        <v>69</v>
      </c>
      <c r="D1876" s="25" t="s">
        <v>22</v>
      </c>
      <c r="E1876" s="25" t="s">
        <v>99</v>
      </c>
      <c r="F1876" s="25">
        <v>1</v>
      </c>
      <c r="G1876" s="25" t="s">
        <v>100</v>
      </c>
      <c r="H1876" s="25">
        <v>200</v>
      </c>
      <c r="I1876" s="25">
        <v>160</v>
      </c>
      <c r="J1876" s="25">
        <v>200</v>
      </c>
      <c r="K1876" s="25">
        <v>160</v>
      </c>
      <c r="L1876" s="25">
        <v>40</v>
      </c>
      <c r="M1876" s="27">
        <v>25</v>
      </c>
      <c r="N1876" s="25" t="s">
        <v>55</v>
      </c>
      <c r="O1876" s="25" t="s">
        <v>28</v>
      </c>
      <c r="P1876" s="25" t="s">
        <v>32</v>
      </c>
    </row>
    <row r="1877" spans="1:16" x14ac:dyDescent="0.3">
      <c r="A1877" s="25">
        <v>1876</v>
      </c>
      <c r="B1877" s="26">
        <v>45632</v>
      </c>
      <c r="C1877" s="25" t="s">
        <v>69</v>
      </c>
      <c r="D1877" s="25" t="s">
        <v>22</v>
      </c>
      <c r="E1877" s="25" t="s">
        <v>92</v>
      </c>
      <c r="F1877" s="25">
        <v>1.25</v>
      </c>
      <c r="G1877" s="25" t="s">
        <v>91</v>
      </c>
      <c r="H1877" s="25">
        <v>260</v>
      </c>
      <c r="I1877" s="25">
        <v>220</v>
      </c>
      <c r="J1877" s="25">
        <v>325</v>
      </c>
      <c r="K1877" s="25">
        <v>275</v>
      </c>
      <c r="L1877" s="25">
        <v>50</v>
      </c>
      <c r="M1877" s="27">
        <v>18.181818181818201</v>
      </c>
      <c r="N1877" s="25" t="s">
        <v>55</v>
      </c>
      <c r="O1877" s="25" t="s">
        <v>28</v>
      </c>
      <c r="P1877" s="25" t="s">
        <v>32</v>
      </c>
    </row>
    <row r="1878" spans="1:16" x14ac:dyDescent="0.3">
      <c r="A1878" s="25">
        <v>1877</v>
      </c>
      <c r="B1878" s="26">
        <v>45632</v>
      </c>
      <c r="C1878" s="25" t="s">
        <v>69</v>
      </c>
      <c r="D1878" s="25" t="s">
        <v>21</v>
      </c>
      <c r="E1878" s="25" t="s">
        <v>88</v>
      </c>
      <c r="F1878" s="25">
        <v>2</v>
      </c>
      <c r="G1878" s="25" t="s">
        <v>89</v>
      </c>
      <c r="H1878" s="25">
        <v>130</v>
      </c>
      <c r="I1878" s="25">
        <v>100</v>
      </c>
      <c r="J1878" s="25">
        <v>260</v>
      </c>
      <c r="K1878" s="25">
        <v>200</v>
      </c>
      <c r="L1878" s="25">
        <v>60</v>
      </c>
      <c r="M1878" s="27">
        <v>30</v>
      </c>
      <c r="N1878" s="25" t="s">
        <v>55</v>
      </c>
      <c r="O1878" s="25" t="s">
        <v>27</v>
      </c>
      <c r="P1878" s="25" t="s">
        <v>32</v>
      </c>
    </row>
    <row r="1879" spans="1:16" x14ac:dyDescent="0.3">
      <c r="A1879" s="25">
        <v>1878</v>
      </c>
      <c r="B1879" s="26">
        <v>45633</v>
      </c>
      <c r="C1879" s="25" t="s">
        <v>69</v>
      </c>
      <c r="D1879" s="25" t="s">
        <v>21</v>
      </c>
      <c r="E1879" s="25" t="s">
        <v>88</v>
      </c>
      <c r="F1879" s="25">
        <v>3</v>
      </c>
      <c r="G1879" s="25" t="s">
        <v>89</v>
      </c>
      <c r="H1879" s="25">
        <v>130</v>
      </c>
      <c r="I1879" s="25">
        <v>100</v>
      </c>
      <c r="J1879" s="25">
        <v>390</v>
      </c>
      <c r="K1879" s="25">
        <v>300</v>
      </c>
      <c r="L1879" s="25">
        <v>90</v>
      </c>
      <c r="M1879" s="27">
        <v>30</v>
      </c>
      <c r="N1879" s="25" t="s">
        <v>55</v>
      </c>
      <c r="O1879" s="25" t="s">
        <v>27</v>
      </c>
      <c r="P1879" s="25" t="s">
        <v>32</v>
      </c>
    </row>
    <row r="1880" spans="1:16" x14ac:dyDescent="0.3">
      <c r="A1880" s="25">
        <v>1879</v>
      </c>
      <c r="B1880" s="26">
        <v>45633</v>
      </c>
      <c r="C1880" s="25" t="s">
        <v>69</v>
      </c>
      <c r="D1880" s="25" t="s">
        <v>21</v>
      </c>
      <c r="E1880" s="25" t="s">
        <v>88</v>
      </c>
      <c r="F1880" s="25">
        <v>2</v>
      </c>
      <c r="G1880" s="25" t="s">
        <v>89</v>
      </c>
      <c r="H1880" s="25">
        <v>130</v>
      </c>
      <c r="I1880" s="25">
        <v>100</v>
      </c>
      <c r="J1880" s="25">
        <v>260</v>
      </c>
      <c r="K1880" s="25">
        <v>200</v>
      </c>
      <c r="L1880" s="25">
        <v>60</v>
      </c>
      <c r="M1880" s="27">
        <v>30</v>
      </c>
      <c r="N1880" s="25" t="s">
        <v>55</v>
      </c>
      <c r="O1880" s="25" t="s">
        <v>27</v>
      </c>
      <c r="P1880" s="25" t="s">
        <v>32</v>
      </c>
    </row>
    <row r="1881" spans="1:16" x14ac:dyDescent="0.3">
      <c r="A1881" s="25">
        <v>1880</v>
      </c>
      <c r="B1881" s="26">
        <v>45633</v>
      </c>
      <c r="C1881" s="25" t="s">
        <v>69</v>
      </c>
      <c r="D1881" s="25" t="s">
        <v>22</v>
      </c>
      <c r="E1881" s="25" t="s">
        <v>90</v>
      </c>
      <c r="F1881" s="25">
        <v>1</v>
      </c>
      <c r="G1881" s="25" t="s">
        <v>91</v>
      </c>
      <c r="H1881" s="25">
        <v>280</v>
      </c>
      <c r="I1881" s="25">
        <v>240</v>
      </c>
      <c r="J1881" s="25">
        <v>280</v>
      </c>
      <c r="K1881" s="25">
        <v>240</v>
      </c>
      <c r="L1881" s="25">
        <v>40</v>
      </c>
      <c r="M1881" s="27">
        <v>16.6666666666667</v>
      </c>
      <c r="N1881" s="25" t="s">
        <v>55</v>
      </c>
      <c r="O1881" s="25" t="s">
        <v>28</v>
      </c>
      <c r="P1881" s="25" t="s">
        <v>32</v>
      </c>
    </row>
    <row r="1882" spans="1:16" x14ac:dyDescent="0.3">
      <c r="A1882" s="25">
        <v>1881</v>
      </c>
      <c r="B1882" s="26">
        <v>45633</v>
      </c>
      <c r="C1882" s="25" t="s">
        <v>69</v>
      </c>
      <c r="D1882" s="25" t="s">
        <v>22</v>
      </c>
      <c r="E1882" s="25" t="s">
        <v>96</v>
      </c>
      <c r="F1882" s="25">
        <v>1</v>
      </c>
      <c r="G1882" s="25" t="s">
        <v>97</v>
      </c>
      <c r="H1882" s="25">
        <v>300</v>
      </c>
      <c r="I1882" s="25">
        <v>265</v>
      </c>
      <c r="J1882" s="25">
        <v>300</v>
      </c>
      <c r="K1882" s="25">
        <v>265</v>
      </c>
      <c r="L1882" s="25">
        <v>35</v>
      </c>
      <c r="M1882" s="27">
        <v>13.207547169811299</v>
      </c>
      <c r="N1882" s="25" t="s">
        <v>55</v>
      </c>
      <c r="O1882" s="25" t="s">
        <v>28</v>
      </c>
      <c r="P1882" s="25" t="s">
        <v>32</v>
      </c>
    </row>
    <row r="1883" spans="1:16" x14ac:dyDescent="0.3">
      <c r="A1883" s="25">
        <v>1882</v>
      </c>
      <c r="B1883" s="26">
        <v>45633</v>
      </c>
      <c r="C1883" s="25" t="s">
        <v>69</v>
      </c>
      <c r="D1883" s="25" t="s">
        <v>22</v>
      </c>
      <c r="E1883" s="25" t="s">
        <v>90</v>
      </c>
      <c r="F1883" s="25">
        <v>1.5</v>
      </c>
      <c r="G1883" s="25" t="s">
        <v>91</v>
      </c>
      <c r="H1883" s="25">
        <v>280</v>
      </c>
      <c r="I1883" s="25">
        <v>240</v>
      </c>
      <c r="J1883" s="25">
        <v>420</v>
      </c>
      <c r="K1883" s="25">
        <v>360</v>
      </c>
      <c r="L1883" s="25">
        <v>60</v>
      </c>
      <c r="M1883" s="27">
        <v>16.6666666666667</v>
      </c>
      <c r="N1883" s="25" t="s">
        <v>55</v>
      </c>
      <c r="O1883" s="25" t="s">
        <v>28</v>
      </c>
      <c r="P1883" s="25" t="s">
        <v>32</v>
      </c>
    </row>
    <row r="1884" spans="1:16" x14ac:dyDescent="0.3">
      <c r="A1884" s="25">
        <v>1883</v>
      </c>
      <c r="B1884" s="26">
        <v>45633</v>
      </c>
      <c r="C1884" s="25" t="s">
        <v>69</v>
      </c>
      <c r="D1884" s="25" t="s">
        <v>22</v>
      </c>
      <c r="E1884" s="25" t="s">
        <v>101</v>
      </c>
      <c r="F1884" s="25">
        <v>5</v>
      </c>
      <c r="G1884" s="25" t="s">
        <v>102</v>
      </c>
      <c r="H1884" s="25">
        <v>6</v>
      </c>
      <c r="I1884" s="25">
        <v>4</v>
      </c>
      <c r="J1884" s="25">
        <v>30</v>
      </c>
      <c r="K1884" s="25">
        <v>20</v>
      </c>
      <c r="L1884" s="25">
        <v>10</v>
      </c>
      <c r="M1884" s="27">
        <v>50</v>
      </c>
      <c r="N1884" s="25" t="s">
        <v>55</v>
      </c>
      <c r="O1884" s="25" t="s">
        <v>28</v>
      </c>
      <c r="P1884" s="25" t="s">
        <v>32</v>
      </c>
    </row>
    <row r="1885" spans="1:16" x14ac:dyDescent="0.3">
      <c r="A1885" s="25">
        <v>1884</v>
      </c>
      <c r="B1885" s="26">
        <v>45633</v>
      </c>
      <c r="C1885" s="25" t="s">
        <v>69</v>
      </c>
      <c r="D1885" s="25" t="s">
        <v>21</v>
      </c>
      <c r="E1885" s="25" t="s">
        <v>88</v>
      </c>
      <c r="F1885" s="25">
        <v>2</v>
      </c>
      <c r="G1885" s="25" t="s">
        <v>89</v>
      </c>
      <c r="H1885" s="25">
        <v>130</v>
      </c>
      <c r="I1885" s="25">
        <v>100</v>
      </c>
      <c r="J1885" s="25">
        <v>260</v>
      </c>
      <c r="K1885" s="25">
        <v>200</v>
      </c>
      <c r="L1885" s="25">
        <v>60</v>
      </c>
      <c r="M1885" s="27">
        <v>30</v>
      </c>
      <c r="N1885" s="25" t="s">
        <v>55</v>
      </c>
      <c r="O1885" s="25" t="s">
        <v>27</v>
      </c>
      <c r="P1885" s="25" t="s">
        <v>32</v>
      </c>
    </row>
    <row r="1886" spans="1:16" x14ac:dyDescent="0.3">
      <c r="A1886" s="25">
        <v>1885</v>
      </c>
      <c r="B1886" s="26">
        <v>45633</v>
      </c>
      <c r="C1886" s="25" t="s">
        <v>69</v>
      </c>
      <c r="D1886" s="25" t="s">
        <v>22</v>
      </c>
      <c r="E1886" s="25" t="s">
        <v>90</v>
      </c>
      <c r="F1886" s="25">
        <v>0.25</v>
      </c>
      <c r="G1886" s="25" t="s">
        <v>91</v>
      </c>
      <c r="H1886" s="25">
        <v>280</v>
      </c>
      <c r="I1886" s="25">
        <v>240</v>
      </c>
      <c r="J1886" s="25">
        <v>70</v>
      </c>
      <c r="K1886" s="25">
        <v>60</v>
      </c>
      <c r="L1886" s="25">
        <v>10</v>
      </c>
      <c r="M1886" s="27">
        <v>16.6666666666667</v>
      </c>
      <c r="N1886" s="25" t="s">
        <v>55</v>
      </c>
      <c r="O1886" s="25" t="s">
        <v>28</v>
      </c>
      <c r="P1886" s="25" t="s">
        <v>32</v>
      </c>
    </row>
    <row r="1887" spans="1:16" x14ac:dyDescent="0.3">
      <c r="A1887" s="25">
        <v>1886</v>
      </c>
      <c r="B1887" s="26">
        <v>45633</v>
      </c>
      <c r="C1887" s="25" t="s">
        <v>69</v>
      </c>
      <c r="D1887" s="25" t="s">
        <v>22</v>
      </c>
      <c r="E1887" s="25" t="s">
        <v>101</v>
      </c>
      <c r="F1887" s="25">
        <v>5</v>
      </c>
      <c r="G1887" s="25" t="s">
        <v>102</v>
      </c>
      <c r="H1887" s="25">
        <v>6</v>
      </c>
      <c r="I1887" s="25">
        <v>4</v>
      </c>
      <c r="J1887" s="25">
        <v>30</v>
      </c>
      <c r="K1887" s="25">
        <v>20</v>
      </c>
      <c r="L1887" s="25">
        <v>10</v>
      </c>
      <c r="M1887" s="27">
        <v>50</v>
      </c>
      <c r="N1887" s="25" t="s">
        <v>55</v>
      </c>
      <c r="O1887" s="25" t="s">
        <v>28</v>
      </c>
      <c r="P1887" s="25" t="s">
        <v>32</v>
      </c>
    </row>
    <row r="1888" spans="1:16" x14ac:dyDescent="0.3">
      <c r="A1888" s="25">
        <v>1887</v>
      </c>
      <c r="B1888" s="26">
        <v>45634</v>
      </c>
      <c r="C1888" s="25" t="s">
        <v>69</v>
      </c>
      <c r="D1888" s="25" t="s">
        <v>22</v>
      </c>
      <c r="E1888" s="25" t="s">
        <v>92</v>
      </c>
      <c r="F1888" s="25">
        <v>0.25</v>
      </c>
      <c r="G1888" s="25" t="s">
        <v>91</v>
      </c>
      <c r="H1888" s="25">
        <v>260</v>
      </c>
      <c r="I1888" s="25">
        <v>220</v>
      </c>
      <c r="J1888" s="25">
        <v>65</v>
      </c>
      <c r="K1888" s="25">
        <v>55</v>
      </c>
      <c r="L1888" s="25">
        <v>10</v>
      </c>
      <c r="M1888" s="27">
        <v>18.181818181818201</v>
      </c>
      <c r="N1888" s="25" t="s">
        <v>55</v>
      </c>
      <c r="O1888" s="25" t="s">
        <v>28</v>
      </c>
      <c r="P1888" s="25" t="s">
        <v>32</v>
      </c>
    </row>
    <row r="1889" spans="1:16" x14ac:dyDescent="0.3">
      <c r="A1889" s="25">
        <v>1888</v>
      </c>
      <c r="B1889" s="26">
        <v>45634</v>
      </c>
      <c r="C1889" s="25" t="s">
        <v>69</v>
      </c>
      <c r="D1889" s="25" t="s">
        <v>22</v>
      </c>
      <c r="E1889" s="25" t="s">
        <v>96</v>
      </c>
      <c r="F1889" s="25">
        <v>0.5</v>
      </c>
      <c r="G1889" s="25" t="s">
        <v>97</v>
      </c>
      <c r="H1889" s="25">
        <v>300</v>
      </c>
      <c r="I1889" s="25">
        <v>265</v>
      </c>
      <c r="J1889" s="25">
        <v>150</v>
      </c>
      <c r="K1889" s="25">
        <v>132.5</v>
      </c>
      <c r="L1889" s="25">
        <v>17.5</v>
      </c>
      <c r="M1889" s="27">
        <v>13.207547169811299</v>
      </c>
      <c r="N1889" s="25" t="s">
        <v>55</v>
      </c>
      <c r="O1889" s="25" t="s">
        <v>28</v>
      </c>
      <c r="P1889" s="25" t="s">
        <v>32</v>
      </c>
    </row>
    <row r="1890" spans="1:16" x14ac:dyDescent="0.3">
      <c r="A1890" s="25">
        <v>1889</v>
      </c>
      <c r="B1890" s="26">
        <v>45634</v>
      </c>
      <c r="C1890" s="25" t="s">
        <v>69</v>
      </c>
      <c r="D1890" s="25" t="s">
        <v>22</v>
      </c>
      <c r="E1890" s="25" t="s">
        <v>90</v>
      </c>
      <c r="F1890" s="25">
        <v>0.5</v>
      </c>
      <c r="G1890" s="25" t="s">
        <v>91</v>
      </c>
      <c r="H1890" s="25">
        <v>280</v>
      </c>
      <c r="I1890" s="25">
        <v>240</v>
      </c>
      <c r="J1890" s="25">
        <v>140</v>
      </c>
      <c r="K1890" s="25">
        <v>120</v>
      </c>
      <c r="L1890" s="25">
        <v>20</v>
      </c>
      <c r="M1890" s="27">
        <v>16.6666666666667</v>
      </c>
      <c r="N1890" s="25" t="s">
        <v>55</v>
      </c>
      <c r="O1890" s="25" t="s">
        <v>28</v>
      </c>
      <c r="P1890" s="25" t="s">
        <v>32</v>
      </c>
    </row>
    <row r="1891" spans="1:16" x14ac:dyDescent="0.3">
      <c r="A1891" s="25">
        <v>1890</v>
      </c>
      <c r="B1891" s="26">
        <v>45634</v>
      </c>
      <c r="C1891" s="25" t="s">
        <v>69</v>
      </c>
      <c r="D1891" s="25" t="s">
        <v>22</v>
      </c>
      <c r="E1891" s="25" t="s">
        <v>90</v>
      </c>
      <c r="F1891" s="25">
        <v>1</v>
      </c>
      <c r="G1891" s="25" t="s">
        <v>91</v>
      </c>
      <c r="H1891" s="25">
        <v>280</v>
      </c>
      <c r="I1891" s="25">
        <v>240</v>
      </c>
      <c r="J1891" s="25">
        <v>280</v>
      </c>
      <c r="K1891" s="25">
        <v>240</v>
      </c>
      <c r="L1891" s="25">
        <v>40</v>
      </c>
      <c r="M1891" s="27">
        <v>16.6666666666667</v>
      </c>
      <c r="N1891" s="25" t="s">
        <v>55</v>
      </c>
      <c r="O1891" s="25" t="s">
        <v>28</v>
      </c>
      <c r="P1891" s="25" t="s">
        <v>32</v>
      </c>
    </row>
    <row r="1892" spans="1:16" x14ac:dyDescent="0.3">
      <c r="A1892" s="25">
        <v>1891</v>
      </c>
      <c r="B1892" s="26">
        <v>45634</v>
      </c>
      <c r="C1892" s="25" t="s">
        <v>69</v>
      </c>
      <c r="D1892" s="25" t="s">
        <v>22</v>
      </c>
      <c r="E1892" s="25" t="s">
        <v>96</v>
      </c>
      <c r="F1892" s="25">
        <v>0.5</v>
      </c>
      <c r="G1892" s="25" t="s">
        <v>97</v>
      </c>
      <c r="H1892" s="25">
        <v>300</v>
      </c>
      <c r="I1892" s="25">
        <v>265</v>
      </c>
      <c r="J1892" s="25">
        <v>150</v>
      </c>
      <c r="K1892" s="25">
        <v>132.5</v>
      </c>
      <c r="L1892" s="25">
        <v>17.5</v>
      </c>
      <c r="M1892" s="27">
        <v>13.207547169811299</v>
      </c>
      <c r="N1892" s="25" t="s">
        <v>55</v>
      </c>
      <c r="O1892" s="25" t="s">
        <v>28</v>
      </c>
      <c r="P1892" s="25" t="s">
        <v>32</v>
      </c>
    </row>
    <row r="1893" spans="1:16" x14ac:dyDescent="0.3">
      <c r="A1893" s="25">
        <v>1892</v>
      </c>
      <c r="B1893" s="26">
        <v>45634</v>
      </c>
      <c r="C1893" s="25" t="s">
        <v>69</v>
      </c>
      <c r="D1893" s="25" t="s">
        <v>22</v>
      </c>
      <c r="E1893" s="25" t="s">
        <v>92</v>
      </c>
      <c r="F1893" s="25">
        <v>0.25</v>
      </c>
      <c r="G1893" s="25" t="s">
        <v>91</v>
      </c>
      <c r="H1893" s="25">
        <v>260</v>
      </c>
      <c r="I1893" s="25">
        <v>220</v>
      </c>
      <c r="J1893" s="25">
        <v>65</v>
      </c>
      <c r="K1893" s="25">
        <v>55</v>
      </c>
      <c r="L1893" s="25">
        <v>10</v>
      </c>
      <c r="M1893" s="27">
        <v>18.181818181818201</v>
      </c>
      <c r="N1893" s="25" t="s">
        <v>55</v>
      </c>
      <c r="O1893" s="25" t="s">
        <v>28</v>
      </c>
      <c r="P1893" s="25" t="s">
        <v>32</v>
      </c>
    </row>
    <row r="1894" spans="1:16" x14ac:dyDescent="0.3">
      <c r="A1894" s="25">
        <v>1893</v>
      </c>
      <c r="B1894" s="26">
        <v>45635</v>
      </c>
      <c r="C1894" s="25" t="s">
        <v>69</v>
      </c>
      <c r="D1894" s="25" t="s">
        <v>21</v>
      </c>
      <c r="E1894" s="25" t="s">
        <v>88</v>
      </c>
      <c r="F1894" s="25">
        <v>2</v>
      </c>
      <c r="G1894" s="25" t="s">
        <v>89</v>
      </c>
      <c r="H1894" s="25">
        <v>130</v>
      </c>
      <c r="I1894" s="25">
        <v>100</v>
      </c>
      <c r="J1894" s="25">
        <v>260</v>
      </c>
      <c r="K1894" s="25">
        <v>200</v>
      </c>
      <c r="L1894" s="25">
        <v>60</v>
      </c>
      <c r="M1894" s="27">
        <v>30</v>
      </c>
      <c r="N1894" s="25" t="s">
        <v>55</v>
      </c>
      <c r="O1894" s="25" t="s">
        <v>27</v>
      </c>
      <c r="P1894" s="25" t="s">
        <v>32</v>
      </c>
    </row>
    <row r="1895" spans="1:16" x14ac:dyDescent="0.3">
      <c r="A1895" s="25">
        <v>1894</v>
      </c>
      <c r="B1895" s="26">
        <v>45635</v>
      </c>
      <c r="C1895" s="25" t="s">
        <v>69</v>
      </c>
      <c r="D1895" s="25" t="s">
        <v>21</v>
      </c>
      <c r="E1895" s="25" t="s">
        <v>88</v>
      </c>
      <c r="F1895" s="25">
        <v>1</v>
      </c>
      <c r="G1895" s="25" t="s">
        <v>89</v>
      </c>
      <c r="H1895" s="25">
        <v>130</v>
      </c>
      <c r="I1895" s="25">
        <v>100</v>
      </c>
      <c r="J1895" s="25">
        <v>130</v>
      </c>
      <c r="K1895" s="25">
        <v>100</v>
      </c>
      <c r="L1895" s="25">
        <v>30</v>
      </c>
      <c r="M1895" s="27">
        <v>30</v>
      </c>
      <c r="N1895" s="25" t="s">
        <v>55</v>
      </c>
      <c r="O1895" s="25" t="s">
        <v>27</v>
      </c>
      <c r="P1895" s="25" t="s">
        <v>32</v>
      </c>
    </row>
    <row r="1896" spans="1:16" x14ac:dyDescent="0.3">
      <c r="A1896" s="25">
        <v>1895</v>
      </c>
      <c r="B1896" s="26">
        <v>45635</v>
      </c>
      <c r="C1896" s="25" t="s">
        <v>69</v>
      </c>
      <c r="D1896" s="25" t="s">
        <v>22</v>
      </c>
      <c r="E1896" s="25" t="s">
        <v>92</v>
      </c>
      <c r="F1896" s="25">
        <v>0.25</v>
      </c>
      <c r="G1896" s="25" t="s">
        <v>91</v>
      </c>
      <c r="H1896" s="25">
        <v>260</v>
      </c>
      <c r="I1896" s="25">
        <v>220</v>
      </c>
      <c r="J1896" s="25">
        <v>65</v>
      </c>
      <c r="K1896" s="25">
        <v>55</v>
      </c>
      <c r="L1896" s="25">
        <v>10</v>
      </c>
      <c r="M1896" s="27">
        <v>18.181818181818201</v>
      </c>
      <c r="N1896" s="25" t="s">
        <v>55</v>
      </c>
      <c r="O1896" s="25" t="s">
        <v>28</v>
      </c>
      <c r="P1896" s="25" t="s">
        <v>32</v>
      </c>
    </row>
    <row r="1897" spans="1:16" x14ac:dyDescent="0.3">
      <c r="A1897" s="25">
        <v>1896</v>
      </c>
      <c r="B1897" s="26">
        <v>45635</v>
      </c>
      <c r="C1897" s="25" t="s">
        <v>69</v>
      </c>
      <c r="D1897" s="25" t="s">
        <v>22</v>
      </c>
      <c r="E1897" s="25" t="s">
        <v>90</v>
      </c>
      <c r="F1897" s="25">
        <v>0.5</v>
      </c>
      <c r="G1897" s="25" t="s">
        <v>91</v>
      </c>
      <c r="H1897" s="25">
        <v>280</v>
      </c>
      <c r="I1897" s="25">
        <v>240</v>
      </c>
      <c r="J1897" s="25">
        <v>140</v>
      </c>
      <c r="K1897" s="25">
        <v>120</v>
      </c>
      <c r="L1897" s="25">
        <v>20</v>
      </c>
      <c r="M1897" s="27">
        <v>16.6666666666667</v>
      </c>
      <c r="N1897" s="25" t="s">
        <v>55</v>
      </c>
      <c r="O1897" s="25" t="s">
        <v>28</v>
      </c>
      <c r="P1897" s="25" t="s">
        <v>32</v>
      </c>
    </row>
    <row r="1898" spans="1:16" x14ac:dyDescent="0.3">
      <c r="A1898" s="25">
        <v>1897</v>
      </c>
      <c r="B1898" s="26">
        <v>45635</v>
      </c>
      <c r="C1898" s="25" t="s">
        <v>69</v>
      </c>
      <c r="D1898" s="25" t="s">
        <v>22</v>
      </c>
      <c r="E1898" s="25" t="s">
        <v>101</v>
      </c>
      <c r="F1898" s="25">
        <v>5</v>
      </c>
      <c r="G1898" s="25" t="s">
        <v>102</v>
      </c>
      <c r="H1898" s="25">
        <v>6</v>
      </c>
      <c r="I1898" s="25">
        <v>4</v>
      </c>
      <c r="J1898" s="25">
        <v>30</v>
      </c>
      <c r="K1898" s="25">
        <v>20</v>
      </c>
      <c r="L1898" s="25">
        <v>10</v>
      </c>
      <c r="M1898" s="27">
        <v>50</v>
      </c>
      <c r="N1898" s="25" t="s">
        <v>55</v>
      </c>
      <c r="O1898" s="25" t="s">
        <v>28</v>
      </c>
      <c r="P1898" s="25" t="s">
        <v>32</v>
      </c>
    </row>
    <row r="1899" spans="1:16" x14ac:dyDescent="0.3">
      <c r="A1899" s="25">
        <v>1898</v>
      </c>
      <c r="B1899" s="26">
        <v>45635</v>
      </c>
      <c r="C1899" s="25" t="s">
        <v>69</v>
      </c>
      <c r="D1899" s="25" t="s">
        <v>22</v>
      </c>
      <c r="E1899" s="25" t="s">
        <v>96</v>
      </c>
      <c r="F1899" s="25">
        <v>1</v>
      </c>
      <c r="G1899" s="25" t="s">
        <v>97</v>
      </c>
      <c r="H1899" s="25">
        <v>300</v>
      </c>
      <c r="I1899" s="25">
        <v>265</v>
      </c>
      <c r="J1899" s="25">
        <v>300</v>
      </c>
      <c r="K1899" s="25">
        <v>265</v>
      </c>
      <c r="L1899" s="25">
        <v>35</v>
      </c>
      <c r="M1899" s="27">
        <v>13.207547169811299</v>
      </c>
      <c r="N1899" s="25" t="s">
        <v>55</v>
      </c>
      <c r="O1899" s="25" t="s">
        <v>28</v>
      </c>
      <c r="P1899" s="25" t="s">
        <v>32</v>
      </c>
    </row>
    <row r="1900" spans="1:16" x14ac:dyDescent="0.3">
      <c r="A1900" s="25">
        <v>1899</v>
      </c>
      <c r="B1900" s="26">
        <v>45635</v>
      </c>
      <c r="C1900" s="25" t="s">
        <v>69</v>
      </c>
      <c r="D1900" s="25" t="s">
        <v>22</v>
      </c>
      <c r="E1900" s="25" t="s">
        <v>90</v>
      </c>
      <c r="F1900" s="25">
        <v>1</v>
      </c>
      <c r="G1900" s="25" t="s">
        <v>91</v>
      </c>
      <c r="H1900" s="25">
        <v>280</v>
      </c>
      <c r="I1900" s="25">
        <v>240</v>
      </c>
      <c r="J1900" s="25">
        <v>280</v>
      </c>
      <c r="K1900" s="25">
        <v>240</v>
      </c>
      <c r="L1900" s="25">
        <v>40</v>
      </c>
      <c r="M1900" s="27">
        <v>16.6666666666667</v>
      </c>
      <c r="N1900" s="25" t="s">
        <v>55</v>
      </c>
      <c r="O1900" s="25" t="s">
        <v>28</v>
      </c>
      <c r="P1900" s="25" t="s">
        <v>32</v>
      </c>
    </row>
    <row r="1901" spans="1:16" x14ac:dyDescent="0.3">
      <c r="A1901" s="25">
        <v>1900</v>
      </c>
      <c r="B1901" s="26">
        <v>45635</v>
      </c>
      <c r="C1901" s="25" t="s">
        <v>69</v>
      </c>
      <c r="D1901" s="25" t="s">
        <v>22</v>
      </c>
      <c r="E1901" s="25" t="s">
        <v>90</v>
      </c>
      <c r="F1901" s="25">
        <v>1.5</v>
      </c>
      <c r="G1901" s="25" t="s">
        <v>91</v>
      </c>
      <c r="H1901" s="25">
        <v>280</v>
      </c>
      <c r="I1901" s="25">
        <v>240</v>
      </c>
      <c r="J1901" s="25">
        <v>420</v>
      </c>
      <c r="K1901" s="25">
        <v>360</v>
      </c>
      <c r="L1901" s="25">
        <v>60</v>
      </c>
      <c r="M1901" s="27">
        <v>16.6666666666667</v>
      </c>
      <c r="N1901" s="25" t="s">
        <v>55</v>
      </c>
      <c r="O1901" s="25" t="s">
        <v>28</v>
      </c>
      <c r="P1901" s="25" t="s">
        <v>32</v>
      </c>
    </row>
    <row r="1902" spans="1:16" x14ac:dyDescent="0.3">
      <c r="A1902" s="25">
        <v>1901</v>
      </c>
      <c r="B1902" s="26">
        <v>45635</v>
      </c>
      <c r="C1902" s="25" t="s">
        <v>69</v>
      </c>
      <c r="D1902" s="25" t="s">
        <v>22</v>
      </c>
      <c r="E1902" s="25" t="s">
        <v>92</v>
      </c>
      <c r="F1902" s="25">
        <v>1.25</v>
      </c>
      <c r="G1902" s="25" t="s">
        <v>91</v>
      </c>
      <c r="H1902" s="25">
        <v>260</v>
      </c>
      <c r="I1902" s="25">
        <v>220</v>
      </c>
      <c r="J1902" s="25">
        <v>325</v>
      </c>
      <c r="K1902" s="25">
        <v>275</v>
      </c>
      <c r="L1902" s="25">
        <v>50</v>
      </c>
      <c r="M1902" s="27">
        <v>18.181818181818201</v>
      </c>
      <c r="N1902" s="25" t="s">
        <v>55</v>
      </c>
      <c r="O1902" s="25" t="s">
        <v>28</v>
      </c>
      <c r="P1902" s="25" t="s">
        <v>32</v>
      </c>
    </row>
    <row r="1903" spans="1:16" x14ac:dyDescent="0.3">
      <c r="A1903" s="25">
        <v>1902</v>
      </c>
      <c r="B1903" s="26">
        <v>45635</v>
      </c>
      <c r="C1903" s="25" t="s">
        <v>69</v>
      </c>
      <c r="D1903" s="25" t="s">
        <v>22</v>
      </c>
      <c r="E1903" s="25" t="s">
        <v>92</v>
      </c>
      <c r="F1903" s="25">
        <v>2</v>
      </c>
      <c r="G1903" s="25" t="s">
        <v>91</v>
      </c>
      <c r="H1903" s="25">
        <v>260</v>
      </c>
      <c r="I1903" s="25">
        <v>220</v>
      </c>
      <c r="J1903" s="25">
        <v>520</v>
      </c>
      <c r="K1903" s="25">
        <v>440</v>
      </c>
      <c r="L1903" s="25">
        <v>80</v>
      </c>
      <c r="M1903" s="27">
        <v>18.181818181818201</v>
      </c>
      <c r="N1903" s="25" t="s">
        <v>55</v>
      </c>
      <c r="O1903" s="25" t="s">
        <v>28</v>
      </c>
      <c r="P1903" s="25" t="s">
        <v>32</v>
      </c>
    </row>
    <row r="1904" spans="1:16" x14ac:dyDescent="0.3">
      <c r="A1904" s="25">
        <v>1903</v>
      </c>
      <c r="B1904" s="26">
        <v>45635</v>
      </c>
      <c r="C1904" s="25" t="s">
        <v>69</v>
      </c>
      <c r="D1904" s="25" t="s">
        <v>21</v>
      </c>
      <c r="E1904" s="25" t="s">
        <v>88</v>
      </c>
      <c r="F1904" s="25">
        <v>2</v>
      </c>
      <c r="G1904" s="25" t="s">
        <v>89</v>
      </c>
      <c r="H1904" s="25">
        <v>130</v>
      </c>
      <c r="I1904" s="25">
        <v>100</v>
      </c>
      <c r="J1904" s="25">
        <v>260</v>
      </c>
      <c r="K1904" s="25">
        <v>200</v>
      </c>
      <c r="L1904" s="25">
        <v>60</v>
      </c>
      <c r="M1904" s="27">
        <v>30</v>
      </c>
      <c r="N1904" s="25" t="s">
        <v>55</v>
      </c>
      <c r="O1904" s="25" t="s">
        <v>27</v>
      </c>
      <c r="P1904" s="25" t="s">
        <v>32</v>
      </c>
    </row>
    <row r="1905" spans="1:16" x14ac:dyDescent="0.3">
      <c r="A1905" s="25">
        <v>1904</v>
      </c>
      <c r="B1905" s="26">
        <v>45635</v>
      </c>
      <c r="C1905" s="25" t="s">
        <v>69</v>
      </c>
      <c r="D1905" s="25" t="s">
        <v>22</v>
      </c>
      <c r="E1905" s="25" t="s">
        <v>92</v>
      </c>
      <c r="F1905" s="25">
        <v>1</v>
      </c>
      <c r="G1905" s="25" t="s">
        <v>91</v>
      </c>
      <c r="H1905" s="25">
        <v>260</v>
      </c>
      <c r="I1905" s="25">
        <v>220</v>
      </c>
      <c r="J1905" s="25">
        <v>260</v>
      </c>
      <c r="K1905" s="25">
        <v>220</v>
      </c>
      <c r="L1905" s="25">
        <v>40</v>
      </c>
      <c r="M1905" s="27">
        <v>18.181818181818201</v>
      </c>
      <c r="N1905" s="25" t="s">
        <v>55</v>
      </c>
      <c r="O1905" s="25" t="s">
        <v>28</v>
      </c>
      <c r="P1905" s="25" t="s">
        <v>32</v>
      </c>
    </row>
    <row r="1906" spans="1:16" x14ac:dyDescent="0.3">
      <c r="A1906" s="25">
        <v>1905</v>
      </c>
      <c r="B1906" s="26">
        <v>45635</v>
      </c>
      <c r="C1906" s="25" t="s">
        <v>69</v>
      </c>
      <c r="D1906" s="25" t="s">
        <v>21</v>
      </c>
      <c r="E1906" s="25" t="s">
        <v>88</v>
      </c>
      <c r="F1906" s="25">
        <v>2</v>
      </c>
      <c r="G1906" s="25" t="s">
        <v>89</v>
      </c>
      <c r="H1906" s="25">
        <v>130</v>
      </c>
      <c r="I1906" s="25">
        <v>100</v>
      </c>
      <c r="J1906" s="25">
        <v>260</v>
      </c>
      <c r="K1906" s="25">
        <v>200</v>
      </c>
      <c r="L1906" s="25">
        <v>60</v>
      </c>
      <c r="M1906" s="27">
        <v>30</v>
      </c>
      <c r="N1906" s="25" t="s">
        <v>55</v>
      </c>
      <c r="O1906" s="25" t="s">
        <v>27</v>
      </c>
      <c r="P1906" s="25" t="s">
        <v>32</v>
      </c>
    </row>
    <row r="1907" spans="1:16" x14ac:dyDescent="0.3">
      <c r="A1907" s="25">
        <v>1906</v>
      </c>
      <c r="B1907" s="26">
        <v>45635</v>
      </c>
      <c r="C1907" s="25" t="s">
        <v>69</v>
      </c>
      <c r="D1907" s="25" t="s">
        <v>22</v>
      </c>
      <c r="E1907" s="25" t="s">
        <v>92</v>
      </c>
      <c r="F1907" s="25">
        <v>1.5</v>
      </c>
      <c r="G1907" s="25" t="s">
        <v>91</v>
      </c>
      <c r="H1907" s="25">
        <v>260</v>
      </c>
      <c r="I1907" s="25">
        <v>220</v>
      </c>
      <c r="J1907" s="25">
        <v>390</v>
      </c>
      <c r="K1907" s="25">
        <v>330</v>
      </c>
      <c r="L1907" s="25">
        <v>60</v>
      </c>
      <c r="M1907" s="27">
        <v>18.181818181818201</v>
      </c>
      <c r="N1907" s="25" t="s">
        <v>55</v>
      </c>
      <c r="O1907" s="25" t="s">
        <v>28</v>
      </c>
      <c r="P1907" s="25" t="s">
        <v>32</v>
      </c>
    </row>
    <row r="1908" spans="1:16" x14ac:dyDescent="0.3">
      <c r="A1908" s="25">
        <v>1907</v>
      </c>
      <c r="B1908" s="26">
        <v>45635</v>
      </c>
      <c r="C1908" s="25" t="s">
        <v>69</v>
      </c>
      <c r="D1908" s="25" t="s">
        <v>22</v>
      </c>
      <c r="E1908" s="25" t="s">
        <v>90</v>
      </c>
      <c r="F1908" s="25">
        <v>1.25</v>
      </c>
      <c r="G1908" s="25" t="s">
        <v>91</v>
      </c>
      <c r="H1908" s="25">
        <v>280</v>
      </c>
      <c r="I1908" s="25">
        <v>240</v>
      </c>
      <c r="J1908" s="25">
        <v>350</v>
      </c>
      <c r="K1908" s="25">
        <v>300</v>
      </c>
      <c r="L1908" s="25">
        <v>50</v>
      </c>
      <c r="M1908" s="27">
        <v>16.6666666666667</v>
      </c>
      <c r="N1908" s="25" t="s">
        <v>55</v>
      </c>
      <c r="O1908" s="25" t="s">
        <v>28</v>
      </c>
      <c r="P1908" s="25" t="s">
        <v>32</v>
      </c>
    </row>
    <row r="1909" spans="1:16" x14ac:dyDescent="0.3">
      <c r="A1909" s="25">
        <v>1908</v>
      </c>
      <c r="B1909" s="26">
        <v>45635</v>
      </c>
      <c r="C1909" s="25" t="s">
        <v>69</v>
      </c>
      <c r="D1909" s="25" t="s">
        <v>22</v>
      </c>
      <c r="E1909" s="25" t="s">
        <v>96</v>
      </c>
      <c r="F1909" s="25">
        <v>0.5</v>
      </c>
      <c r="G1909" s="25" t="s">
        <v>97</v>
      </c>
      <c r="H1909" s="25">
        <v>300</v>
      </c>
      <c r="I1909" s="25">
        <v>265</v>
      </c>
      <c r="J1909" s="25">
        <v>150</v>
      </c>
      <c r="K1909" s="25">
        <v>132.5</v>
      </c>
      <c r="L1909" s="25">
        <v>17.5</v>
      </c>
      <c r="M1909" s="27">
        <v>13.207547169811299</v>
      </c>
      <c r="N1909" s="25" t="s">
        <v>55</v>
      </c>
      <c r="O1909" s="25" t="s">
        <v>28</v>
      </c>
      <c r="P1909" s="25" t="s">
        <v>32</v>
      </c>
    </row>
    <row r="1910" spans="1:16" x14ac:dyDescent="0.3">
      <c r="A1910" s="25">
        <v>1909</v>
      </c>
      <c r="B1910" s="26">
        <v>45636</v>
      </c>
      <c r="C1910" s="25" t="s">
        <v>69</v>
      </c>
      <c r="D1910" s="25" t="s">
        <v>22</v>
      </c>
      <c r="E1910" s="25" t="s">
        <v>101</v>
      </c>
      <c r="F1910" s="25">
        <v>6</v>
      </c>
      <c r="G1910" s="25" t="s">
        <v>102</v>
      </c>
      <c r="H1910" s="25">
        <v>6</v>
      </c>
      <c r="I1910" s="25">
        <v>4</v>
      </c>
      <c r="J1910" s="25">
        <v>36</v>
      </c>
      <c r="K1910" s="25">
        <v>24</v>
      </c>
      <c r="L1910" s="25">
        <v>12</v>
      </c>
      <c r="M1910" s="27">
        <v>50</v>
      </c>
      <c r="N1910" s="25" t="s">
        <v>55</v>
      </c>
      <c r="O1910" s="25" t="s">
        <v>28</v>
      </c>
      <c r="P1910" s="25" t="s">
        <v>32</v>
      </c>
    </row>
    <row r="1911" spans="1:16" x14ac:dyDescent="0.3">
      <c r="A1911" s="25">
        <v>1910</v>
      </c>
      <c r="B1911" s="26">
        <v>45636</v>
      </c>
      <c r="C1911" s="25" t="s">
        <v>69</v>
      </c>
      <c r="D1911" s="25" t="s">
        <v>22</v>
      </c>
      <c r="E1911" s="25" t="s">
        <v>90</v>
      </c>
      <c r="F1911" s="25">
        <v>1</v>
      </c>
      <c r="G1911" s="25" t="s">
        <v>91</v>
      </c>
      <c r="H1911" s="25">
        <v>280</v>
      </c>
      <c r="I1911" s="25">
        <v>240</v>
      </c>
      <c r="J1911" s="25">
        <v>280</v>
      </c>
      <c r="K1911" s="25">
        <v>240</v>
      </c>
      <c r="L1911" s="25">
        <v>40</v>
      </c>
      <c r="M1911" s="27">
        <v>16.6666666666667</v>
      </c>
      <c r="N1911" s="25" t="s">
        <v>55</v>
      </c>
      <c r="O1911" s="25" t="s">
        <v>28</v>
      </c>
      <c r="P1911" s="25" t="s">
        <v>32</v>
      </c>
    </row>
    <row r="1912" spans="1:16" x14ac:dyDescent="0.3">
      <c r="A1912" s="25">
        <v>1911</v>
      </c>
      <c r="B1912" s="26">
        <v>45636</v>
      </c>
      <c r="C1912" s="25" t="s">
        <v>69</v>
      </c>
      <c r="D1912" s="25" t="s">
        <v>22</v>
      </c>
      <c r="E1912" s="25" t="s">
        <v>90</v>
      </c>
      <c r="F1912" s="25">
        <v>0.25</v>
      </c>
      <c r="G1912" s="25" t="s">
        <v>91</v>
      </c>
      <c r="H1912" s="25">
        <v>280</v>
      </c>
      <c r="I1912" s="25">
        <v>240</v>
      </c>
      <c r="J1912" s="25">
        <v>70</v>
      </c>
      <c r="K1912" s="25">
        <v>60</v>
      </c>
      <c r="L1912" s="25">
        <v>10</v>
      </c>
      <c r="M1912" s="27">
        <v>16.6666666666667</v>
      </c>
      <c r="N1912" s="25" t="s">
        <v>55</v>
      </c>
      <c r="O1912" s="25" t="s">
        <v>28</v>
      </c>
      <c r="P1912" s="25" t="s">
        <v>32</v>
      </c>
    </row>
    <row r="1913" spans="1:16" x14ac:dyDescent="0.3">
      <c r="A1913" s="25">
        <v>1912</v>
      </c>
      <c r="B1913" s="26">
        <v>45636</v>
      </c>
      <c r="C1913" s="25" t="s">
        <v>69</v>
      </c>
      <c r="D1913" s="25" t="s">
        <v>22</v>
      </c>
      <c r="E1913" s="25" t="s">
        <v>96</v>
      </c>
      <c r="F1913" s="25">
        <v>0.5</v>
      </c>
      <c r="G1913" s="25" t="s">
        <v>97</v>
      </c>
      <c r="H1913" s="25">
        <v>300</v>
      </c>
      <c r="I1913" s="25">
        <v>265</v>
      </c>
      <c r="J1913" s="25">
        <v>150</v>
      </c>
      <c r="K1913" s="25">
        <v>132.5</v>
      </c>
      <c r="L1913" s="25">
        <v>17.5</v>
      </c>
      <c r="M1913" s="27">
        <v>13.207547169811299</v>
      </c>
      <c r="N1913" s="25" t="s">
        <v>55</v>
      </c>
      <c r="O1913" s="25" t="s">
        <v>28</v>
      </c>
      <c r="P1913" s="25" t="s">
        <v>32</v>
      </c>
    </row>
    <row r="1914" spans="1:16" x14ac:dyDescent="0.3">
      <c r="A1914" s="25">
        <v>1913</v>
      </c>
      <c r="B1914" s="26">
        <v>45636</v>
      </c>
      <c r="C1914" s="25" t="s">
        <v>69</v>
      </c>
      <c r="D1914" s="25" t="s">
        <v>22</v>
      </c>
      <c r="E1914" s="25" t="s">
        <v>92</v>
      </c>
      <c r="F1914" s="25">
        <v>1</v>
      </c>
      <c r="G1914" s="25" t="s">
        <v>91</v>
      </c>
      <c r="H1914" s="25">
        <v>260</v>
      </c>
      <c r="I1914" s="25">
        <v>220</v>
      </c>
      <c r="J1914" s="25">
        <v>260</v>
      </c>
      <c r="K1914" s="25">
        <v>220</v>
      </c>
      <c r="L1914" s="25">
        <v>40</v>
      </c>
      <c r="M1914" s="27">
        <v>18.181818181818201</v>
      </c>
      <c r="N1914" s="25" t="s">
        <v>55</v>
      </c>
      <c r="O1914" s="25" t="s">
        <v>28</v>
      </c>
      <c r="P1914" s="25" t="s">
        <v>32</v>
      </c>
    </row>
    <row r="1915" spans="1:16" x14ac:dyDescent="0.3">
      <c r="A1915" s="25">
        <v>1914</v>
      </c>
      <c r="B1915" s="26">
        <v>45636</v>
      </c>
      <c r="C1915" s="25" t="s">
        <v>69</v>
      </c>
      <c r="D1915" s="25" t="s">
        <v>22</v>
      </c>
      <c r="E1915" s="25" t="s">
        <v>103</v>
      </c>
      <c r="F1915" s="25">
        <v>1</v>
      </c>
      <c r="G1915" s="25" t="s">
        <v>102</v>
      </c>
      <c r="H1915" s="25">
        <v>30</v>
      </c>
      <c r="I1915" s="25">
        <v>20</v>
      </c>
      <c r="J1915" s="25">
        <v>30</v>
      </c>
      <c r="K1915" s="25">
        <v>20</v>
      </c>
      <c r="L1915" s="25">
        <v>10</v>
      </c>
      <c r="M1915" s="27">
        <v>50</v>
      </c>
      <c r="N1915" s="25" t="s">
        <v>55</v>
      </c>
      <c r="O1915" s="25" t="s">
        <v>28</v>
      </c>
      <c r="P1915" s="25" t="s">
        <v>32</v>
      </c>
    </row>
    <row r="1916" spans="1:16" x14ac:dyDescent="0.3">
      <c r="A1916" s="25">
        <v>1915</v>
      </c>
      <c r="B1916" s="26">
        <v>45636</v>
      </c>
      <c r="C1916" s="25" t="s">
        <v>69</v>
      </c>
      <c r="D1916" s="25" t="s">
        <v>22</v>
      </c>
      <c r="E1916" s="25" t="s">
        <v>90</v>
      </c>
      <c r="F1916" s="25">
        <v>1</v>
      </c>
      <c r="G1916" s="25" t="s">
        <v>91</v>
      </c>
      <c r="H1916" s="25">
        <v>280</v>
      </c>
      <c r="I1916" s="25">
        <v>240</v>
      </c>
      <c r="J1916" s="25">
        <v>280</v>
      </c>
      <c r="K1916" s="25">
        <v>240</v>
      </c>
      <c r="L1916" s="25">
        <v>40</v>
      </c>
      <c r="M1916" s="27">
        <v>16.6666666666667</v>
      </c>
      <c r="N1916" s="25" t="s">
        <v>55</v>
      </c>
      <c r="O1916" s="25" t="s">
        <v>28</v>
      </c>
      <c r="P1916" s="25" t="s">
        <v>32</v>
      </c>
    </row>
    <row r="1917" spans="1:16" x14ac:dyDescent="0.3">
      <c r="A1917" s="25">
        <v>1916</v>
      </c>
      <c r="B1917" s="26">
        <v>45636</v>
      </c>
      <c r="C1917" s="25" t="s">
        <v>69</v>
      </c>
      <c r="D1917" s="25" t="s">
        <v>22</v>
      </c>
      <c r="E1917" s="25" t="s">
        <v>92</v>
      </c>
      <c r="F1917" s="25">
        <v>1.5</v>
      </c>
      <c r="G1917" s="25" t="s">
        <v>91</v>
      </c>
      <c r="H1917" s="25">
        <v>260</v>
      </c>
      <c r="I1917" s="25">
        <v>220</v>
      </c>
      <c r="J1917" s="25">
        <v>390</v>
      </c>
      <c r="K1917" s="25">
        <v>330</v>
      </c>
      <c r="L1917" s="25">
        <v>60</v>
      </c>
      <c r="M1917" s="27">
        <v>18.181818181818201</v>
      </c>
      <c r="N1917" s="25" t="s">
        <v>55</v>
      </c>
      <c r="O1917" s="25" t="s">
        <v>28</v>
      </c>
      <c r="P1917" s="25" t="s">
        <v>32</v>
      </c>
    </row>
    <row r="1918" spans="1:16" x14ac:dyDescent="0.3">
      <c r="A1918" s="25">
        <v>1917</v>
      </c>
      <c r="B1918" s="26">
        <v>45636</v>
      </c>
      <c r="C1918" s="25" t="s">
        <v>69</v>
      </c>
      <c r="D1918" s="25" t="s">
        <v>22</v>
      </c>
      <c r="E1918" s="25" t="s">
        <v>101</v>
      </c>
      <c r="F1918" s="25">
        <v>6</v>
      </c>
      <c r="G1918" s="25" t="s">
        <v>102</v>
      </c>
      <c r="H1918" s="25">
        <v>6</v>
      </c>
      <c r="I1918" s="25">
        <v>4</v>
      </c>
      <c r="J1918" s="25">
        <v>36</v>
      </c>
      <c r="K1918" s="25">
        <v>24</v>
      </c>
      <c r="L1918" s="25">
        <v>12</v>
      </c>
      <c r="M1918" s="27">
        <v>50</v>
      </c>
      <c r="N1918" s="25" t="s">
        <v>55</v>
      </c>
      <c r="O1918" s="25" t="s">
        <v>28</v>
      </c>
      <c r="P1918" s="25" t="s">
        <v>32</v>
      </c>
    </row>
    <row r="1919" spans="1:16" x14ac:dyDescent="0.3">
      <c r="A1919" s="25">
        <v>1918</v>
      </c>
      <c r="B1919" s="26">
        <v>45636</v>
      </c>
      <c r="C1919" s="25" t="s">
        <v>69</v>
      </c>
      <c r="D1919" s="25" t="s">
        <v>22</v>
      </c>
      <c r="E1919" s="25" t="s">
        <v>96</v>
      </c>
      <c r="F1919" s="25">
        <v>1</v>
      </c>
      <c r="G1919" s="25" t="s">
        <v>97</v>
      </c>
      <c r="H1919" s="25">
        <v>300</v>
      </c>
      <c r="I1919" s="25">
        <v>265</v>
      </c>
      <c r="J1919" s="25">
        <v>300</v>
      </c>
      <c r="K1919" s="25">
        <v>265</v>
      </c>
      <c r="L1919" s="25">
        <v>35</v>
      </c>
      <c r="M1919" s="27">
        <v>13.207547169811299</v>
      </c>
      <c r="N1919" s="25" t="s">
        <v>55</v>
      </c>
      <c r="O1919" s="25" t="s">
        <v>28</v>
      </c>
      <c r="P1919" s="25" t="s">
        <v>32</v>
      </c>
    </row>
    <row r="1920" spans="1:16" x14ac:dyDescent="0.3">
      <c r="A1920" s="25">
        <v>1919</v>
      </c>
      <c r="B1920" s="26">
        <v>45636</v>
      </c>
      <c r="C1920" s="25" t="s">
        <v>69</v>
      </c>
      <c r="D1920" s="25" t="s">
        <v>22</v>
      </c>
      <c r="E1920" s="25" t="s">
        <v>90</v>
      </c>
      <c r="F1920" s="25">
        <v>0.25</v>
      </c>
      <c r="G1920" s="25" t="s">
        <v>91</v>
      </c>
      <c r="H1920" s="25">
        <v>280</v>
      </c>
      <c r="I1920" s="25">
        <v>240</v>
      </c>
      <c r="J1920" s="25">
        <v>70</v>
      </c>
      <c r="K1920" s="25">
        <v>60</v>
      </c>
      <c r="L1920" s="25">
        <v>10</v>
      </c>
      <c r="M1920" s="27">
        <v>16.6666666666667</v>
      </c>
      <c r="N1920" s="25" t="s">
        <v>55</v>
      </c>
      <c r="O1920" s="25" t="s">
        <v>28</v>
      </c>
      <c r="P1920" s="25" t="s">
        <v>32</v>
      </c>
    </row>
    <row r="1921" spans="1:16" x14ac:dyDescent="0.3">
      <c r="A1921" s="25">
        <v>1920</v>
      </c>
      <c r="B1921" s="26">
        <v>45637</v>
      </c>
      <c r="C1921" s="25" t="s">
        <v>69</v>
      </c>
      <c r="D1921" s="25" t="s">
        <v>21</v>
      </c>
      <c r="E1921" s="25" t="s">
        <v>88</v>
      </c>
      <c r="F1921" s="25">
        <v>2</v>
      </c>
      <c r="G1921" s="25" t="s">
        <v>89</v>
      </c>
      <c r="H1921" s="25">
        <v>130</v>
      </c>
      <c r="I1921" s="25">
        <v>100</v>
      </c>
      <c r="J1921" s="25">
        <v>260</v>
      </c>
      <c r="K1921" s="25">
        <v>200</v>
      </c>
      <c r="L1921" s="25">
        <v>60</v>
      </c>
      <c r="M1921" s="27">
        <v>30</v>
      </c>
      <c r="N1921" s="25" t="s">
        <v>55</v>
      </c>
      <c r="O1921" s="25" t="s">
        <v>27</v>
      </c>
      <c r="P1921" s="25" t="s">
        <v>32</v>
      </c>
    </row>
    <row r="1922" spans="1:16" x14ac:dyDescent="0.3">
      <c r="A1922" s="25">
        <v>1921</v>
      </c>
      <c r="B1922" s="26">
        <v>45637</v>
      </c>
      <c r="C1922" s="25" t="s">
        <v>69</v>
      </c>
      <c r="D1922" s="25" t="s">
        <v>21</v>
      </c>
      <c r="E1922" s="25" t="s">
        <v>94</v>
      </c>
      <c r="F1922" s="25">
        <v>12</v>
      </c>
      <c r="G1922" s="25" t="s">
        <v>89</v>
      </c>
      <c r="H1922" s="25">
        <v>30</v>
      </c>
      <c r="I1922" s="25">
        <v>26</v>
      </c>
      <c r="J1922" s="25">
        <v>360</v>
      </c>
      <c r="K1922" s="25">
        <v>312</v>
      </c>
      <c r="L1922" s="25">
        <v>48</v>
      </c>
      <c r="M1922" s="27">
        <v>15.384615384615399</v>
      </c>
      <c r="N1922" s="25" t="s">
        <v>55</v>
      </c>
      <c r="O1922" s="25" t="s">
        <v>27</v>
      </c>
      <c r="P1922" s="25" t="s">
        <v>32</v>
      </c>
    </row>
    <row r="1923" spans="1:16" x14ac:dyDescent="0.3">
      <c r="A1923" s="25">
        <v>1922</v>
      </c>
      <c r="B1923" s="26">
        <v>45637</v>
      </c>
      <c r="C1923" s="25" t="s">
        <v>69</v>
      </c>
      <c r="D1923" s="25" t="s">
        <v>21</v>
      </c>
      <c r="E1923" s="25" t="s">
        <v>88</v>
      </c>
      <c r="F1923" s="25">
        <v>2</v>
      </c>
      <c r="G1923" s="25" t="s">
        <v>89</v>
      </c>
      <c r="H1923" s="25">
        <v>130</v>
      </c>
      <c r="I1923" s="25">
        <v>100</v>
      </c>
      <c r="J1923" s="25">
        <v>260</v>
      </c>
      <c r="K1923" s="25">
        <v>200</v>
      </c>
      <c r="L1923" s="25">
        <v>60</v>
      </c>
      <c r="M1923" s="27">
        <v>30</v>
      </c>
      <c r="N1923" s="25" t="s">
        <v>55</v>
      </c>
      <c r="O1923" s="25" t="s">
        <v>27</v>
      </c>
      <c r="P1923" s="25" t="s">
        <v>32</v>
      </c>
    </row>
    <row r="1924" spans="1:16" x14ac:dyDescent="0.3">
      <c r="A1924" s="25">
        <v>1923</v>
      </c>
      <c r="B1924" s="26">
        <v>45637</v>
      </c>
      <c r="C1924" s="25" t="s">
        <v>69</v>
      </c>
      <c r="D1924" s="25" t="s">
        <v>22</v>
      </c>
      <c r="E1924" s="25" t="s">
        <v>92</v>
      </c>
      <c r="F1924" s="25">
        <v>0.25</v>
      </c>
      <c r="G1924" s="25" t="s">
        <v>91</v>
      </c>
      <c r="H1924" s="25">
        <v>260</v>
      </c>
      <c r="I1924" s="25">
        <v>220</v>
      </c>
      <c r="J1924" s="25">
        <v>65</v>
      </c>
      <c r="K1924" s="25">
        <v>55</v>
      </c>
      <c r="L1924" s="25">
        <v>10</v>
      </c>
      <c r="M1924" s="27">
        <v>18.181818181818201</v>
      </c>
      <c r="N1924" s="25" t="s">
        <v>55</v>
      </c>
      <c r="O1924" s="25" t="s">
        <v>28</v>
      </c>
      <c r="P1924" s="25" t="s">
        <v>32</v>
      </c>
    </row>
    <row r="1925" spans="1:16" x14ac:dyDescent="0.3">
      <c r="A1925" s="25">
        <v>1924</v>
      </c>
      <c r="B1925" s="26">
        <v>45637</v>
      </c>
      <c r="C1925" s="25" t="s">
        <v>69</v>
      </c>
      <c r="D1925" s="25" t="s">
        <v>22</v>
      </c>
      <c r="E1925" s="25" t="s">
        <v>96</v>
      </c>
      <c r="F1925" s="25">
        <v>0.5</v>
      </c>
      <c r="G1925" s="25" t="s">
        <v>97</v>
      </c>
      <c r="H1925" s="25">
        <v>300</v>
      </c>
      <c r="I1925" s="25">
        <v>265</v>
      </c>
      <c r="J1925" s="25">
        <v>150</v>
      </c>
      <c r="K1925" s="25">
        <v>132.5</v>
      </c>
      <c r="L1925" s="25">
        <v>17.5</v>
      </c>
      <c r="M1925" s="27">
        <v>13.207547169811299</v>
      </c>
      <c r="N1925" s="25" t="s">
        <v>55</v>
      </c>
      <c r="O1925" s="25" t="s">
        <v>28</v>
      </c>
      <c r="P1925" s="25" t="s">
        <v>32</v>
      </c>
    </row>
    <row r="1926" spans="1:16" x14ac:dyDescent="0.3">
      <c r="A1926" s="25">
        <v>1925</v>
      </c>
      <c r="B1926" s="26">
        <v>45638</v>
      </c>
      <c r="C1926" s="25" t="s">
        <v>69</v>
      </c>
      <c r="D1926" s="25" t="s">
        <v>21</v>
      </c>
      <c r="E1926" s="25" t="s">
        <v>88</v>
      </c>
      <c r="F1926" s="25">
        <v>2</v>
      </c>
      <c r="G1926" s="25" t="s">
        <v>89</v>
      </c>
      <c r="H1926" s="25">
        <v>130</v>
      </c>
      <c r="I1926" s="25">
        <v>100</v>
      </c>
      <c r="J1926" s="25">
        <v>260</v>
      </c>
      <c r="K1926" s="25">
        <v>200</v>
      </c>
      <c r="L1926" s="25">
        <v>60</v>
      </c>
      <c r="M1926" s="27">
        <v>30</v>
      </c>
      <c r="N1926" s="25" t="s">
        <v>55</v>
      </c>
      <c r="O1926" s="25" t="s">
        <v>27</v>
      </c>
      <c r="P1926" s="25" t="s">
        <v>32</v>
      </c>
    </row>
    <row r="1927" spans="1:16" x14ac:dyDescent="0.3">
      <c r="A1927" s="25">
        <v>1926</v>
      </c>
      <c r="B1927" s="26">
        <v>45638</v>
      </c>
      <c r="C1927" s="25" t="s">
        <v>69</v>
      </c>
      <c r="D1927" s="25" t="s">
        <v>22</v>
      </c>
      <c r="E1927" s="25" t="s">
        <v>92</v>
      </c>
      <c r="F1927" s="25">
        <v>0.25</v>
      </c>
      <c r="G1927" s="25" t="s">
        <v>91</v>
      </c>
      <c r="H1927" s="25">
        <v>260</v>
      </c>
      <c r="I1927" s="25">
        <v>220</v>
      </c>
      <c r="J1927" s="25">
        <v>65</v>
      </c>
      <c r="K1927" s="25">
        <v>55</v>
      </c>
      <c r="L1927" s="25">
        <v>10</v>
      </c>
      <c r="M1927" s="27">
        <v>18.181818181818201</v>
      </c>
      <c r="N1927" s="25" t="s">
        <v>55</v>
      </c>
      <c r="O1927" s="25" t="s">
        <v>28</v>
      </c>
      <c r="P1927" s="25" t="s">
        <v>32</v>
      </c>
    </row>
    <row r="1928" spans="1:16" x14ac:dyDescent="0.3">
      <c r="A1928" s="25">
        <v>1927</v>
      </c>
      <c r="B1928" s="26">
        <v>45638</v>
      </c>
      <c r="C1928" s="25" t="s">
        <v>69</v>
      </c>
      <c r="D1928" s="25" t="s">
        <v>22</v>
      </c>
      <c r="E1928" s="25" t="s">
        <v>90</v>
      </c>
      <c r="F1928" s="25">
        <v>1.5</v>
      </c>
      <c r="G1928" s="25" t="s">
        <v>91</v>
      </c>
      <c r="H1928" s="25">
        <v>280</v>
      </c>
      <c r="I1928" s="25">
        <v>240</v>
      </c>
      <c r="J1928" s="25">
        <v>420</v>
      </c>
      <c r="K1928" s="25">
        <v>360</v>
      </c>
      <c r="L1928" s="25">
        <v>60</v>
      </c>
      <c r="M1928" s="27">
        <v>16.6666666666667</v>
      </c>
      <c r="N1928" s="25" t="s">
        <v>55</v>
      </c>
      <c r="O1928" s="25" t="s">
        <v>28</v>
      </c>
      <c r="P1928" s="25" t="s">
        <v>32</v>
      </c>
    </row>
    <row r="1929" spans="1:16" x14ac:dyDescent="0.3">
      <c r="A1929" s="25">
        <v>1928</v>
      </c>
      <c r="B1929" s="26">
        <v>45638</v>
      </c>
      <c r="C1929" s="25" t="s">
        <v>69</v>
      </c>
      <c r="D1929" s="25" t="s">
        <v>22</v>
      </c>
      <c r="E1929" s="25" t="s">
        <v>101</v>
      </c>
      <c r="F1929" s="25">
        <v>6</v>
      </c>
      <c r="G1929" s="25" t="s">
        <v>102</v>
      </c>
      <c r="H1929" s="25">
        <v>6</v>
      </c>
      <c r="I1929" s="25">
        <v>4</v>
      </c>
      <c r="J1929" s="25">
        <v>36</v>
      </c>
      <c r="K1929" s="25">
        <v>24</v>
      </c>
      <c r="L1929" s="25">
        <v>12</v>
      </c>
      <c r="M1929" s="27">
        <v>50</v>
      </c>
      <c r="N1929" s="25" t="s">
        <v>55</v>
      </c>
      <c r="O1929" s="25" t="s">
        <v>28</v>
      </c>
      <c r="P1929" s="25" t="s">
        <v>32</v>
      </c>
    </row>
    <row r="1930" spans="1:16" x14ac:dyDescent="0.3">
      <c r="A1930" s="25">
        <v>1929</v>
      </c>
      <c r="B1930" s="26">
        <v>45638</v>
      </c>
      <c r="C1930" s="25" t="s">
        <v>69</v>
      </c>
      <c r="D1930" s="25" t="s">
        <v>22</v>
      </c>
      <c r="E1930" s="25" t="s">
        <v>90</v>
      </c>
      <c r="F1930" s="25">
        <v>1</v>
      </c>
      <c r="G1930" s="25" t="s">
        <v>91</v>
      </c>
      <c r="H1930" s="25">
        <v>280</v>
      </c>
      <c r="I1930" s="25">
        <v>240</v>
      </c>
      <c r="J1930" s="25">
        <v>280</v>
      </c>
      <c r="K1930" s="25">
        <v>240</v>
      </c>
      <c r="L1930" s="25">
        <v>40</v>
      </c>
      <c r="M1930" s="27">
        <v>16.6666666666667</v>
      </c>
      <c r="N1930" s="25" t="s">
        <v>55</v>
      </c>
      <c r="O1930" s="25" t="s">
        <v>28</v>
      </c>
      <c r="P1930" s="25" t="s">
        <v>32</v>
      </c>
    </row>
    <row r="1931" spans="1:16" x14ac:dyDescent="0.3">
      <c r="A1931" s="25">
        <v>1930</v>
      </c>
      <c r="B1931" s="26">
        <v>45638</v>
      </c>
      <c r="C1931" s="25" t="s">
        <v>69</v>
      </c>
      <c r="D1931" s="25" t="s">
        <v>22</v>
      </c>
      <c r="E1931" s="25" t="s">
        <v>99</v>
      </c>
      <c r="F1931" s="25">
        <v>1</v>
      </c>
      <c r="G1931" s="25" t="s">
        <v>100</v>
      </c>
      <c r="H1931" s="25">
        <v>200</v>
      </c>
      <c r="I1931" s="25">
        <v>160</v>
      </c>
      <c r="J1931" s="25">
        <v>200</v>
      </c>
      <c r="K1931" s="25">
        <v>160</v>
      </c>
      <c r="L1931" s="25">
        <v>40</v>
      </c>
      <c r="M1931" s="27">
        <v>25</v>
      </c>
      <c r="N1931" s="25" t="s">
        <v>55</v>
      </c>
      <c r="O1931" s="25" t="s">
        <v>28</v>
      </c>
      <c r="P1931" s="25" t="s">
        <v>32</v>
      </c>
    </row>
    <row r="1932" spans="1:16" x14ac:dyDescent="0.3">
      <c r="A1932" s="25">
        <v>1931</v>
      </c>
      <c r="B1932" s="26">
        <v>45639</v>
      </c>
      <c r="C1932" s="25" t="s">
        <v>69</v>
      </c>
      <c r="D1932" s="25" t="s">
        <v>22</v>
      </c>
      <c r="E1932" s="25" t="s">
        <v>92</v>
      </c>
      <c r="F1932" s="25">
        <v>1</v>
      </c>
      <c r="G1932" s="25" t="s">
        <v>91</v>
      </c>
      <c r="H1932" s="25">
        <v>260</v>
      </c>
      <c r="I1932" s="25">
        <v>220</v>
      </c>
      <c r="J1932" s="25">
        <v>260</v>
      </c>
      <c r="K1932" s="25">
        <v>220</v>
      </c>
      <c r="L1932" s="25">
        <v>40</v>
      </c>
      <c r="M1932" s="27">
        <v>18.181818181818201</v>
      </c>
      <c r="N1932" s="25" t="s">
        <v>55</v>
      </c>
      <c r="O1932" s="25" t="s">
        <v>28</v>
      </c>
      <c r="P1932" s="25" t="s">
        <v>32</v>
      </c>
    </row>
    <row r="1933" spans="1:16" x14ac:dyDescent="0.3">
      <c r="A1933" s="25">
        <v>1932</v>
      </c>
      <c r="B1933" s="26">
        <v>45639</v>
      </c>
      <c r="C1933" s="25" t="s">
        <v>69</v>
      </c>
      <c r="D1933" s="25" t="s">
        <v>22</v>
      </c>
      <c r="E1933" s="25" t="s">
        <v>101</v>
      </c>
      <c r="F1933" s="25">
        <v>12</v>
      </c>
      <c r="G1933" s="25" t="s">
        <v>102</v>
      </c>
      <c r="H1933" s="25">
        <v>6</v>
      </c>
      <c r="I1933" s="25">
        <v>4</v>
      </c>
      <c r="J1933" s="25">
        <v>72</v>
      </c>
      <c r="K1933" s="25">
        <v>48</v>
      </c>
      <c r="L1933" s="25">
        <v>24</v>
      </c>
      <c r="M1933" s="27">
        <v>50</v>
      </c>
      <c r="N1933" s="25" t="s">
        <v>55</v>
      </c>
      <c r="O1933" s="25" t="s">
        <v>28</v>
      </c>
      <c r="P1933" s="25" t="s">
        <v>32</v>
      </c>
    </row>
    <row r="1934" spans="1:16" x14ac:dyDescent="0.3">
      <c r="A1934" s="25">
        <v>1933</v>
      </c>
      <c r="B1934" s="26">
        <v>45639</v>
      </c>
      <c r="C1934" s="25" t="s">
        <v>69</v>
      </c>
      <c r="D1934" s="25" t="s">
        <v>22</v>
      </c>
      <c r="E1934" s="25" t="s">
        <v>96</v>
      </c>
      <c r="F1934" s="25">
        <v>1</v>
      </c>
      <c r="G1934" s="25" t="s">
        <v>97</v>
      </c>
      <c r="H1934" s="25">
        <v>300</v>
      </c>
      <c r="I1934" s="25">
        <v>265</v>
      </c>
      <c r="J1934" s="25">
        <v>300</v>
      </c>
      <c r="K1934" s="25">
        <v>265</v>
      </c>
      <c r="L1934" s="25">
        <v>35</v>
      </c>
      <c r="M1934" s="27">
        <v>13.207547169811299</v>
      </c>
      <c r="N1934" s="25" t="s">
        <v>55</v>
      </c>
      <c r="O1934" s="25" t="s">
        <v>28</v>
      </c>
      <c r="P1934" s="25" t="s">
        <v>32</v>
      </c>
    </row>
    <row r="1935" spans="1:16" x14ac:dyDescent="0.3">
      <c r="A1935" s="25">
        <v>1934</v>
      </c>
      <c r="B1935" s="26">
        <v>45639</v>
      </c>
      <c r="C1935" s="25" t="s">
        <v>69</v>
      </c>
      <c r="D1935" s="25" t="s">
        <v>21</v>
      </c>
      <c r="E1935" s="25" t="s">
        <v>88</v>
      </c>
      <c r="F1935" s="25">
        <v>3</v>
      </c>
      <c r="G1935" s="25" t="s">
        <v>89</v>
      </c>
      <c r="H1935" s="25">
        <v>130</v>
      </c>
      <c r="I1935" s="25">
        <v>100</v>
      </c>
      <c r="J1935" s="25">
        <v>390</v>
      </c>
      <c r="K1935" s="25">
        <v>300</v>
      </c>
      <c r="L1935" s="25">
        <v>90</v>
      </c>
      <c r="M1935" s="27">
        <v>30</v>
      </c>
      <c r="N1935" s="25" t="s">
        <v>55</v>
      </c>
      <c r="O1935" s="25" t="s">
        <v>27</v>
      </c>
      <c r="P1935" s="25" t="s">
        <v>32</v>
      </c>
    </row>
    <row r="1936" spans="1:16" x14ac:dyDescent="0.3">
      <c r="A1936" s="25">
        <v>1935</v>
      </c>
      <c r="B1936" s="26">
        <v>45639</v>
      </c>
      <c r="C1936" s="25" t="s">
        <v>69</v>
      </c>
      <c r="D1936" s="25" t="s">
        <v>21</v>
      </c>
      <c r="E1936" s="25" t="s">
        <v>88</v>
      </c>
      <c r="F1936" s="25">
        <v>2</v>
      </c>
      <c r="G1936" s="25" t="s">
        <v>89</v>
      </c>
      <c r="H1936" s="25">
        <v>130</v>
      </c>
      <c r="I1936" s="25">
        <v>100</v>
      </c>
      <c r="J1936" s="25">
        <v>260</v>
      </c>
      <c r="K1936" s="25">
        <v>200</v>
      </c>
      <c r="L1936" s="25">
        <v>60</v>
      </c>
      <c r="M1936" s="27">
        <v>30</v>
      </c>
      <c r="N1936" s="25" t="s">
        <v>55</v>
      </c>
      <c r="O1936" s="25" t="s">
        <v>27</v>
      </c>
      <c r="P1936" s="25" t="s">
        <v>32</v>
      </c>
    </row>
    <row r="1937" spans="1:16" x14ac:dyDescent="0.3">
      <c r="A1937" s="25">
        <v>1936</v>
      </c>
      <c r="B1937" s="26">
        <v>45639</v>
      </c>
      <c r="C1937" s="25" t="s">
        <v>69</v>
      </c>
      <c r="D1937" s="25" t="s">
        <v>22</v>
      </c>
      <c r="E1937" s="25" t="s">
        <v>90</v>
      </c>
      <c r="F1937" s="25">
        <v>0.25</v>
      </c>
      <c r="G1937" s="25" t="s">
        <v>91</v>
      </c>
      <c r="H1937" s="25">
        <v>280</v>
      </c>
      <c r="I1937" s="25">
        <v>240</v>
      </c>
      <c r="J1937" s="25">
        <v>70</v>
      </c>
      <c r="K1937" s="25">
        <v>60</v>
      </c>
      <c r="L1937" s="25">
        <v>10</v>
      </c>
      <c r="M1937" s="27">
        <v>16.6666666666667</v>
      </c>
      <c r="N1937" s="25" t="s">
        <v>55</v>
      </c>
      <c r="O1937" s="25" t="s">
        <v>28</v>
      </c>
      <c r="P1937" s="25" t="s">
        <v>33</v>
      </c>
    </row>
    <row r="1938" spans="1:16" x14ac:dyDescent="0.3">
      <c r="A1938" s="25">
        <v>1937</v>
      </c>
      <c r="B1938" s="26">
        <v>45639</v>
      </c>
      <c r="C1938" s="25" t="s">
        <v>69</v>
      </c>
      <c r="D1938" s="25" t="s">
        <v>22</v>
      </c>
      <c r="E1938" s="25" t="s">
        <v>96</v>
      </c>
      <c r="F1938" s="25">
        <v>1</v>
      </c>
      <c r="G1938" s="25" t="s">
        <v>97</v>
      </c>
      <c r="H1938" s="25">
        <v>300</v>
      </c>
      <c r="I1938" s="25">
        <v>265</v>
      </c>
      <c r="J1938" s="25">
        <v>300</v>
      </c>
      <c r="K1938" s="25">
        <v>265</v>
      </c>
      <c r="L1938" s="25">
        <v>35</v>
      </c>
      <c r="M1938" s="27">
        <v>13.207547169811299</v>
      </c>
      <c r="N1938" s="25" t="s">
        <v>55</v>
      </c>
      <c r="O1938" s="25" t="s">
        <v>28</v>
      </c>
      <c r="P1938" s="25" t="s">
        <v>33</v>
      </c>
    </row>
    <row r="1939" spans="1:16" x14ac:dyDescent="0.3">
      <c r="A1939" s="25">
        <v>1938</v>
      </c>
      <c r="B1939" s="26">
        <v>45639</v>
      </c>
      <c r="C1939" s="25" t="s">
        <v>69</v>
      </c>
      <c r="D1939" s="25" t="s">
        <v>22</v>
      </c>
      <c r="E1939" s="25" t="s">
        <v>101</v>
      </c>
      <c r="F1939" s="25">
        <v>6</v>
      </c>
      <c r="G1939" s="25" t="s">
        <v>102</v>
      </c>
      <c r="H1939" s="25">
        <v>6</v>
      </c>
      <c r="I1939" s="25">
        <v>4</v>
      </c>
      <c r="J1939" s="25">
        <v>36</v>
      </c>
      <c r="K1939" s="25">
        <v>24</v>
      </c>
      <c r="L1939" s="25">
        <v>12</v>
      </c>
      <c r="M1939" s="27">
        <v>50</v>
      </c>
      <c r="N1939" s="25" t="s">
        <v>55</v>
      </c>
      <c r="O1939" s="25" t="s">
        <v>28</v>
      </c>
      <c r="P1939" s="25" t="s">
        <v>32</v>
      </c>
    </row>
    <row r="1940" spans="1:16" x14ac:dyDescent="0.3">
      <c r="A1940" s="25">
        <v>1939</v>
      </c>
      <c r="B1940" s="26">
        <v>45640</v>
      </c>
      <c r="C1940" s="25" t="s">
        <v>69</v>
      </c>
      <c r="D1940" s="25" t="s">
        <v>22</v>
      </c>
      <c r="E1940" s="25" t="s">
        <v>90</v>
      </c>
      <c r="F1940" s="25">
        <v>0.25</v>
      </c>
      <c r="G1940" s="25" t="s">
        <v>91</v>
      </c>
      <c r="H1940" s="25">
        <v>280</v>
      </c>
      <c r="I1940" s="25">
        <v>240</v>
      </c>
      <c r="J1940" s="25">
        <v>70</v>
      </c>
      <c r="K1940" s="25">
        <v>60</v>
      </c>
      <c r="L1940" s="25">
        <v>10</v>
      </c>
      <c r="M1940" s="27">
        <v>16.6666666666667</v>
      </c>
      <c r="N1940" s="25" t="s">
        <v>55</v>
      </c>
      <c r="O1940" s="25" t="s">
        <v>28</v>
      </c>
      <c r="P1940" s="25" t="s">
        <v>32</v>
      </c>
    </row>
    <row r="1941" spans="1:16" x14ac:dyDescent="0.3">
      <c r="A1941" s="25">
        <v>1940</v>
      </c>
      <c r="B1941" s="26">
        <v>45640</v>
      </c>
      <c r="C1941" s="25" t="s">
        <v>69</v>
      </c>
      <c r="D1941" s="25" t="s">
        <v>22</v>
      </c>
      <c r="E1941" s="25" t="s">
        <v>92</v>
      </c>
      <c r="F1941" s="25">
        <v>1.5</v>
      </c>
      <c r="G1941" s="25" t="s">
        <v>91</v>
      </c>
      <c r="H1941" s="25">
        <v>260</v>
      </c>
      <c r="I1941" s="25">
        <v>220</v>
      </c>
      <c r="J1941" s="25">
        <v>390</v>
      </c>
      <c r="K1941" s="25">
        <v>330</v>
      </c>
      <c r="L1941" s="25">
        <v>60</v>
      </c>
      <c r="M1941" s="27">
        <v>18.181818181818201</v>
      </c>
      <c r="N1941" s="25" t="s">
        <v>55</v>
      </c>
      <c r="O1941" s="25" t="s">
        <v>28</v>
      </c>
      <c r="P1941" s="25" t="s">
        <v>32</v>
      </c>
    </row>
    <row r="1942" spans="1:16" x14ac:dyDescent="0.3">
      <c r="A1942" s="25">
        <v>1941</v>
      </c>
      <c r="B1942" s="26">
        <v>45640</v>
      </c>
      <c r="C1942" s="25" t="s">
        <v>69</v>
      </c>
      <c r="D1942" s="25" t="s">
        <v>22</v>
      </c>
      <c r="E1942" s="25" t="s">
        <v>90</v>
      </c>
      <c r="F1942" s="25">
        <v>2.5</v>
      </c>
      <c r="G1942" s="25" t="s">
        <v>91</v>
      </c>
      <c r="H1942" s="25">
        <v>280</v>
      </c>
      <c r="I1942" s="25">
        <v>240</v>
      </c>
      <c r="J1942" s="25">
        <v>700</v>
      </c>
      <c r="K1942" s="25">
        <v>600</v>
      </c>
      <c r="L1942" s="25">
        <v>100</v>
      </c>
      <c r="M1942" s="27">
        <v>16.6666666666667</v>
      </c>
      <c r="N1942" s="25" t="s">
        <v>55</v>
      </c>
      <c r="O1942" s="25" t="s">
        <v>28</v>
      </c>
      <c r="P1942" s="25" t="s">
        <v>33</v>
      </c>
    </row>
    <row r="1943" spans="1:16" x14ac:dyDescent="0.3">
      <c r="A1943" s="25">
        <v>1942</v>
      </c>
      <c r="B1943" s="26">
        <v>45640</v>
      </c>
      <c r="C1943" s="25" t="s">
        <v>69</v>
      </c>
      <c r="D1943" s="25" t="s">
        <v>22</v>
      </c>
      <c r="E1943" s="25" t="s">
        <v>96</v>
      </c>
      <c r="F1943" s="25">
        <v>1</v>
      </c>
      <c r="G1943" s="25" t="s">
        <v>97</v>
      </c>
      <c r="H1943" s="25">
        <v>300</v>
      </c>
      <c r="I1943" s="25">
        <v>265</v>
      </c>
      <c r="J1943" s="25">
        <v>300</v>
      </c>
      <c r="K1943" s="25">
        <v>265</v>
      </c>
      <c r="L1943" s="25">
        <v>35</v>
      </c>
      <c r="M1943" s="27">
        <v>13.207547169811299</v>
      </c>
      <c r="N1943" s="25" t="s">
        <v>55</v>
      </c>
      <c r="O1943" s="25" t="s">
        <v>28</v>
      </c>
      <c r="P1943" s="25" t="s">
        <v>33</v>
      </c>
    </row>
    <row r="1944" spans="1:16" x14ac:dyDescent="0.3">
      <c r="A1944" s="25">
        <v>1943</v>
      </c>
      <c r="B1944" s="26">
        <v>45640</v>
      </c>
      <c r="C1944" s="25" t="s">
        <v>69</v>
      </c>
      <c r="D1944" s="25" t="s">
        <v>22</v>
      </c>
      <c r="E1944" s="25" t="s">
        <v>103</v>
      </c>
      <c r="F1944" s="25">
        <v>1</v>
      </c>
      <c r="G1944" s="25" t="s">
        <v>102</v>
      </c>
      <c r="H1944" s="25">
        <v>30</v>
      </c>
      <c r="I1944" s="25">
        <v>20</v>
      </c>
      <c r="J1944" s="25">
        <v>30</v>
      </c>
      <c r="K1944" s="25">
        <v>20</v>
      </c>
      <c r="L1944" s="25">
        <v>10</v>
      </c>
      <c r="M1944" s="27">
        <v>50</v>
      </c>
      <c r="N1944" s="25" t="s">
        <v>55</v>
      </c>
      <c r="O1944" s="25" t="s">
        <v>28</v>
      </c>
      <c r="P1944" s="25" t="s">
        <v>32</v>
      </c>
    </row>
    <row r="1945" spans="1:16" x14ac:dyDescent="0.3">
      <c r="A1945" s="25">
        <v>1944</v>
      </c>
      <c r="B1945" s="26">
        <v>45640</v>
      </c>
      <c r="C1945" s="25" t="s">
        <v>69</v>
      </c>
      <c r="D1945" s="25" t="s">
        <v>22</v>
      </c>
      <c r="E1945" s="25" t="s">
        <v>92</v>
      </c>
      <c r="F1945" s="25">
        <v>1.25</v>
      </c>
      <c r="G1945" s="25" t="s">
        <v>91</v>
      </c>
      <c r="H1945" s="25">
        <v>260</v>
      </c>
      <c r="I1945" s="25">
        <v>220</v>
      </c>
      <c r="J1945" s="25">
        <v>325</v>
      </c>
      <c r="K1945" s="25">
        <v>275</v>
      </c>
      <c r="L1945" s="25">
        <v>50</v>
      </c>
      <c r="M1945" s="27">
        <v>18.181818181818201</v>
      </c>
      <c r="N1945" s="25" t="s">
        <v>55</v>
      </c>
      <c r="O1945" s="25" t="s">
        <v>28</v>
      </c>
      <c r="P1945" s="25" t="s">
        <v>32</v>
      </c>
    </row>
    <row r="1946" spans="1:16" x14ac:dyDescent="0.3">
      <c r="A1946" s="25">
        <v>1945</v>
      </c>
      <c r="B1946" s="26">
        <v>45640</v>
      </c>
      <c r="C1946" s="25" t="s">
        <v>69</v>
      </c>
      <c r="D1946" s="25" t="s">
        <v>21</v>
      </c>
      <c r="E1946" s="25" t="s">
        <v>88</v>
      </c>
      <c r="F1946" s="25">
        <v>2</v>
      </c>
      <c r="G1946" s="25" t="s">
        <v>89</v>
      </c>
      <c r="H1946" s="25">
        <v>130</v>
      </c>
      <c r="I1946" s="25">
        <v>100</v>
      </c>
      <c r="J1946" s="25">
        <v>260</v>
      </c>
      <c r="K1946" s="25">
        <v>200</v>
      </c>
      <c r="L1946" s="25">
        <v>60</v>
      </c>
      <c r="M1946" s="27">
        <v>30</v>
      </c>
      <c r="N1946" s="25" t="s">
        <v>55</v>
      </c>
      <c r="O1946" s="25" t="s">
        <v>27</v>
      </c>
      <c r="P1946" s="25" t="s">
        <v>32</v>
      </c>
    </row>
    <row r="1947" spans="1:16" x14ac:dyDescent="0.3">
      <c r="A1947" s="25">
        <v>1946</v>
      </c>
      <c r="B1947" s="26">
        <v>45640</v>
      </c>
      <c r="C1947" s="25" t="s">
        <v>69</v>
      </c>
      <c r="D1947" s="25" t="s">
        <v>21</v>
      </c>
      <c r="E1947" s="25" t="s">
        <v>88</v>
      </c>
      <c r="F1947" s="25">
        <v>3</v>
      </c>
      <c r="G1947" s="25" t="s">
        <v>89</v>
      </c>
      <c r="H1947" s="25">
        <v>130</v>
      </c>
      <c r="I1947" s="25">
        <v>100</v>
      </c>
      <c r="J1947" s="25">
        <v>390</v>
      </c>
      <c r="K1947" s="25">
        <v>300</v>
      </c>
      <c r="L1947" s="25">
        <v>90</v>
      </c>
      <c r="M1947" s="27">
        <v>30</v>
      </c>
      <c r="N1947" s="25" t="s">
        <v>55</v>
      </c>
      <c r="O1947" s="25" t="s">
        <v>27</v>
      </c>
      <c r="P1947" s="25" t="s">
        <v>32</v>
      </c>
    </row>
    <row r="1948" spans="1:16" x14ac:dyDescent="0.3">
      <c r="A1948" s="25">
        <v>1947</v>
      </c>
      <c r="B1948" s="26">
        <v>45640</v>
      </c>
      <c r="C1948" s="25" t="s">
        <v>69</v>
      </c>
      <c r="D1948" s="25" t="s">
        <v>22</v>
      </c>
      <c r="E1948" s="25" t="s">
        <v>90</v>
      </c>
      <c r="F1948" s="25">
        <v>0.25</v>
      </c>
      <c r="G1948" s="25" t="s">
        <v>91</v>
      </c>
      <c r="H1948" s="25">
        <v>280</v>
      </c>
      <c r="I1948" s="25">
        <v>240</v>
      </c>
      <c r="J1948" s="25">
        <v>70</v>
      </c>
      <c r="K1948" s="25">
        <v>60</v>
      </c>
      <c r="L1948" s="25">
        <v>10</v>
      </c>
      <c r="M1948" s="27">
        <v>16.6666666666667</v>
      </c>
      <c r="N1948" s="25" t="s">
        <v>55</v>
      </c>
      <c r="O1948" s="25" t="s">
        <v>28</v>
      </c>
      <c r="P1948" s="25" t="s">
        <v>32</v>
      </c>
    </row>
    <row r="1949" spans="1:16" x14ac:dyDescent="0.3">
      <c r="A1949" s="25">
        <v>1948</v>
      </c>
      <c r="B1949" s="26">
        <v>45640</v>
      </c>
      <c r="C1949" s="25" t="s">
        <v>69</v>
      </c>
      <c r="D1949" s="25" t="s">
        <v>22</v>
      </c>
      <c r="E1949" s="25" t="s">
        <v>92</v>
      </c>
      <c r="F1949" s="25">
        <v>1.25</v>
      </c>
      <c r="G1949" s="25" t="s">
        <v>91</v>
      </c>
      <c r="H1949" s="25">
        <v>260</v>
      </c>
      <c r="I1949" s="25">
        <v>220</v>
      </c>
      <c r="J1949" s="25">
        <v>325</v>
      </c>
      <c r="K1949" s="25">
        <v>275</v>
      </c>
      <c r="L1949" s="25">
        <v>50</v>
      </c>
      <c r="M1949" s="27">
        <v>18.181818181818201</v>
      </c>
      <c r="N1949" s="25" t="s">
        <v>55</v>
      </c>
      <c r="O1949" s="25" t="s">
        <v>28</v>
      </c>
      <c r="P1949" s="25" t="s">
        <v>32</v>
      </c>
    </row>
    <row r="1950" spans="1:16" x14ac:dyDescent="0.3">
      <c r="A1950" s="25">
        <v>1949</v>
      </c>
      <c r="B1950" s="26">
        <v>45640</v>
      </c>
      <c r="C1950" s="25" t="s">
        <v>69</v>
      </c>
      <c r="D1950" s="25" t="s">
        <v>22</v>
      </c>
      <c r="E1950" s="25" t="s">
        <v>96</v>
      </c>
      <c r="F1950" s="25">
        <v>1</v>
      </c>
      <c r="G1950" s="25" t="s">
        <v>97</v>
      </c>
      <c r="H1950" s="25">
        <v>300</v>
      </c>
      <c r="I1950" s="25">
        <v>265</v>
      </c>
      <c r="J1950" s="25">
        <v>300</v>
      </c>
      <c r="K1950" s="25">
        <v>265</v>
      </c>
      <c r="L1950" s="25">
        <v>35</v>
      </c>
      <c r="M1950" s="27">
        <v>13.207547169811299</v>
      </c>
      <c r="N1950" s="25" t="s">
        <v>55</v>
      </c>
      <c r="O1950" s="25" t="s">
        <v>28</v>
      </c>
      <c r="P1950" s="25" t="s">
        <v>32</v>
      </c>
    </row>
    <row r="1951" spans="1:16" x14ac:dyDescent="0.3">
      <c r="A1951" s="25">
        <v>1950</v>
      </c>
      <c r="B1951" s="26">
        <v>45641</v>
      </c>
      <c r="C1951" s="25" t="s">
        <v>69</v>
      </c>
      <c r="D1951" s="25" t="s">
        <v>22</v>
      </c>
      <c r="E1951" s="25" t="s">
        <v>101</v>
      </c>
      <c r="F1951" s="25">
        <v>12</v>
      </c>
      <c r="G1951" s="25" t="s">
        <v>102</v>
      </c>
      <c r="H1951" s="25">
        <v>6</v>
      </c>
      <c r="I1951" s="25">
        <v>4</v>
      </c>
      <c r="J1951" s="25">
        <v>72</v>
      </c>
      <c r="K1951" s="25">
        <v>48</v>
      </c>
      <c r="L1951" s="25">
        <v>24</v>
      </c>
      <c r="M1951" s="27">
        <v>50</v>
      </c>
      <c r="N1951" s="25" t="s">
        <v>55</v>
      </c>
      <c r="O1951" s="25" t="s">
        <v>28</v>
      </c>
      <c r="P1951" s="25" t="s">
        <v>32</v>
      </c>
    </row>
    <row r="1952" spans="1:16" x14ac:dyDescent="0.3">
      <c r="A1952" s="25">
        <v>1951</v>
      </c>
      <c r="B1952" s="26">
        <v>45641</v>
      </c>
      <c r="C1952" s="25" t="s">
        <v>69</v>
      </c>
      <c r="D1952" s="25" t="s">
        <v>22</v>
      </c>
      <c r="E1952" s="25" t="s">
        <v>92</v>
      </c>
      <c r="F1952" s="25">
        <v>0.25</v>
      </c>
      <c r="G1952" s="25" t="s">
        <v>91</v>
      </c>
      <c r="H1952" s="25">
        <v>260</v>
      </c>
      <c r="I1952" s="25">
        <v>220</v>
      </c>
      <c r="J1952" s="25">
        <v>65</v>
      </c>
      <c r="K1952" s="25">
        <v>55</v>
      </c>
      <c r="L1952" s="25">
        <v>10</v>
      </c>
      <c r="M1952" s="27">
        <v>18.181818181818201</v>
      </c>
      <c r="N1952" s="25" t="s">
        <v>55</v>
      </c>
      <c r="O1952" s="25" t="s">
        <v>28</v>
      </c>
      <c r="P1952" s="25" t="s">
        <v>32</v>
      </c>
    </row>
    <row r="1953" spans="1:16" x14ac:dyDescent="0.3">
      <c r="A1953" s="25">
        <v>1952</v>
      </c>
      <c r="B1953" s="26">
        <v>45641</v>
      </c>
      <c r="C1953" s="25" t="s">
        <v>69</v>
      </c>
      <c r="D1953" s="25" t="s">
        <v>22</v>
      </c>
      <c r="E1953" s="25" t="s">
        <v>90</v>
      </c>
      <c r="F1953" s="25">
        <v>2</v>
      </c>
      <c r="G1953" s="25" t="s">
        <v>91</v>
      </c>
      <c r="H1953" s="25">
        <v>280</v>
      </c>
      <c r="I1953" s="25">
        <v>240</v>
      </c>
      <c r="J1953" s="25">
        <v>560</v>
      </c>
      <c r="K1953" s="25">
        <v>480</v>
      </c>
      <c r="L1953" s="25">
        <v>80</v>
      </c>
      <c r="M1953" s="27">
        <v>16.6666666666667</v>
      </c>
      <c r="N1953" s="25" t="s">
        <v>55</v>
      </c>
      <c r="O1953" s="25" t="s">
        <v>28</v>
      </c>
      <c r="P1953" s="25" t="s">
        <v>32</v>
      </c>
    </row>
    <row r="1954" spans="1:16" x14ac:dyDescent="0.3">
      <c r="A1954" s="25">
        <v>1953</v>
      </c>
      <c r="B1954" s="26">
        <v>45641</v>
      </c>
      <c r="C1954" s="25" t="s">
        <v>69</v>
      </c>
      <c r="D1954" s="25" t="s">
        <v>22</v>
      </c>
      <c r="E1954" s="25" t="s">
        <v>96</v>
      </c>
      <c r="F1954" s="25">
        <v>1</v>
      </c>
      <c r="G1954" s="25" t="s">
        <v>97</v>
      </c>
      <c r="H1954" s="25">
        <v>300</v>
      </c>
      <c r="I1954" s="25">
        <v>265</v>
      </c>
      <c r="J1954" s="25">
        <v>300</v>
      </c>
      <c r="K1954" s="25">
        <v>265</v>
      </c>
      <c r="L1954" s="25">
        <v>35</v>
      </c>
      <c r="M1954" s="27">
        <v>13.207547169811299</v>
      </c>
      <c r="N1954" s="25" t="s">
        <v>55</v>
      </c>
      <c r="O1954" s="25" t="s">
        <v>28</v>
      </c>
      <c r="P1954" s="25" t="s">
        <v>32</v>
      </c>
    </row>
    <row r="1955" spans="1:16" x14ac:dyDescent="0.3">
      <c r="A1955" s="25">
        <v>1954</v>
      </c>
      <c r="B1955" s="26">
        <v>45641</v>
      </c>
      <c r="C1955" s="25" t="s">
        <v>69</v>
      </c>
      <c r="D1955" s="25" t="s">
        <v>22</v>
      </c>
      <c r="E1955" s="25" t="s">
        <v>92</v>
      </c>
      <c r="F1955" s="25">
        <v>1</v>
      </c>
      <c r="G1955" s="25" t="s">
        <v>91</v>
      </c>
      <c r="H1955" s="25">
        <v>260</v>
      </c>
      <c r="I1955" s="25">
        <v>220</v>
      </c>
      <c r="J1955" s="25">
        <v>260</v>
      </c>
      <c r="K1955" s="25">
        <v>220</v>
      </c>
      <c r="L1955" s="25">
        <v>40</v>
      </c>
      <c r="M1955" s="27">
        <v>18.181818181818201</v>
      </c>
      <c r="N1955" s="25" t="s">
        <v>55</v>
      </c>
      <c r="O1955" s="25" t="s">
        <v>28</v>
      </c>
      <c r="P1955" s="25" t="s">
        <v>32</v>
      </c>
    </row>
    <row r="1956" spans="1:16" x14ac:dyDescent="0.3">
      <c r="A1956" s="25">
        <v>1955</v>
      </c>
      <c r="B1956" s="26">
        <v>45641</v>
      </c>
      <c r="C1956" s="25" t="s">
        <v>69</v>
      </c>
      <c r="D1956" s="25" t="s">
        <v>22</v>
      </c>
      <c r="E1956" s="25" t="s">
        <v>101</v>
      </c>
      <c r="F1956" s="25">
        <v>6</v>
      </c>
      <c r="G1956" s="25" t="s">
        <v>102</v>
      </c>
      <c r="H1956" s="25">
        <v>6</v>
      </c>
      <c r="I1956" s="25">
        <v>4</v>
      </c>
      <c r="J1956" s="25">
        <v>36</v>
      </c>
      <c r="K1956" s="25">
        <v>24</v>
      </c>
      <c r="L1956" s="25">
        <v>12</v>
      </c>
      <c r="M1956" s="27">
        <v>50</v>
      </c>
      <c r="N1956" s="25" t="s">
        <v>55</v>
      </c>
      <c r="O1956" s="25" t="s">
        <v>28</v>
      </c>
      <c r="P1956" s="25" t="s">
        <v>32</v>
      </c>
    </row>
    <row r="1957" spans="1:16" x14ac:dyDescent="0.3">
      <c r="A1957" s="25">
        <v>1956</v>
      </c>
      <c r="B1957" s="26">
        <v>45641</v>
      </c>
      <c r="C1957" s="25" t="s">
        <v>69</v>
      </c>
      <c r="D1957" s="25" t="s">
        <v>22</v>
      </c>
      <c r="E1957" s="25" t="s">
        <v>92</v>
      </c>
      <c r="F1957" s="25">
        <v>1.25</v>
      </c>
      <c r="G1957" s="25" t="s">
        <v>91</v>
      </c>
      <c r="H1957" s="25">
        <v>260</v>
      </c>
      <c r="I1957" s="25">
        <v>220</v>
      </c>
      <c r="J1957" s="25">
        <v>325</v>
      </c>
      <c r="K1957" s="25">
        <v>275</v>
      </c>
      <c r="L1957" s="25">
        <v>50</v>
      </c>
      <c r="M1957" s="27">
        <v>18.181818181818201</v>
      </c>
      <c r="N1957" s="25" t="s">
        <v>55</v>
      </c>
      <c r="O1957" s="25" t="s">
        <v>28</v>
      </c>
      <c r="P1957" s="25" t="s">
        <v>32</v>
      </c>
    </row>
    <row r="1958" spans="1:16" x14ac:dyDescent="0.3">
      <c r="A1958" s="25">
        <v>1957</v>
      </c>
      <c r="B1958" s="26">
        <v>45641</v>
      </c>
      <c r="C1958" s="25" t="s">
        <v>69</v>
      </c>
      <c r="D1958" s="25" t="s">
        <v>22</v>
      </c>
      <c r="E1958" s="25" t="s">
        <v>90</v>
      </c>
      <c r="F1958" s="25">
        <v>1.5</v>
      </c>
      <c r="G1958" s="25" t="s">
        <v>91</v>
      </c>
      <c r="H1958" s="25">
        <v>280</v>
      </c>
      <c r="I1958" s="25">
        <v>240</v>
      </c>
      <c r="J1958" s="25">
        <v>420</v>
      </c>
      <c r="K1958" s="25">
        <v>360</v>
      </c>
      <c r="L1958" s="25">
        <v>60</v>
      </c>
      <c r="M1958" s="27">
        <v>16.6666666666667</v>
      </c>
      <c r="N1958" s="25" t="s">
        <v>55</v>
      </c>
      <c r="O1958" s="25" t="s">
        <v>28</v>
      </c>
      <c r="P1958" s="25" t="s">
        <v>32</v>
      </c>
    </row>
    <row r="1959" spans="1:16" x14ac:dyDescent="0.3">
      <c r="A1959" s="25">
        <v>1958</v>
      </c>
      <c r="B1959" s="26">
        <v>45642</v>
      </c>
      <c r="C1959" s="25" t="s">
        <v>69</v>
      </c>
      <c r="D1959" s="25" t="s">
        <v>22</v>
      </c>
      <c r="E1959" s="25" t="s">
        <v>99</v>
      </c>
      <c r="F1959" s="25">
        <v>1</v>
      </c>
      <c r="G1959" s="25" t="s">
        <v>100</v>
      </c>
      <c r="H1959" s="25">
        <v>200</v>
      </c>
      <c r="I1959" s="25">
        <v>160</v>
      </c>
      <c r="J1959" s="25">
        <v>200</v>
      </c>
      <c r="K1959" s="25">
        <v>160</v>
      </c>
      <c r="L1959" s="25">
        <v>40</v>
      </c>
      <c r="M1959" s="27">
        <v>25</v>
      </c>
      <c r="N1959" s="25" t="s">
        <v>55</v>
      </c>
      <c r="O1959" s="25" t="s">
        <v>28</v>
      </c>
      <c r="P1959" s="25" t="s">
        <v>32</v>
      </c>
    </row>
    <row r="1960" spans="1:16" x14ac:dyDescent="0.3">
      <c r="A1960" s="25">
        <v>1959</v>
      </c>
      <c r="B1960" s="26">
        <v>45642</v>
      </c>
      <c r="C1960" s="25" t="s">
        <v>69</v>
      </c>
      <c r="D1960" s="25" t="s">
        <v>22</v>
      </c>
      <c r="E1960" s="25" t="s">
        <v>96</v>
      </c>
      <c r="F1960" s="25">
        <v>0.5</v>
      </c>
      <c r="G1960" s="25" t="s">
        <v>97</v>
      </c>
      <c r="H1960" s="25">
        <v>300</v>
      </c>
      <c r="I1960" s="25">
        <v>265</v>
      </c>
      <c r="J1960" s="25">
        <v>150</v>
      </c>
      <c r="K1960" s="25">
        <v>132.5</v>
      </c>
      <c r="L1960" s="25">
        <v>17.5</v>
      </c>
      <c r="M1960" s="27">
        <v>13.207547169811299</v>
      </c>
      <c r="N1960" s="25" t="s">
        <v>55</v>
      </c>
      <c r="O1960" s="25" t="s">
        <v>28</v>
      </c>
      <c r="P1960" s="25" t="s">
        <v>32</v>
      </c>
    </row>
    <row r="1961" spans="1:16" x14ac:dyDescent="0.3">
      <c r="A1961" s="25">
        <v>1960</v>
      </c>
      <c r="B1961" s="26">
        <v>45642</v>
      </c>
      <c r="C1961" s="25" t="s">
        <v>69</v>
      </c>
      <c r="D1961" s="25" t="s">
        <v>22</v>
      </c>
      <c r="E1961" s="25" t="s">
        <v>92</v>
      </c>
      <c r="F1961" s="25">
        <v>1.25</v>
      </c>
      <c r="G1961" s="25" t="s">
        <v>91</v>
      </c>
      <c r="H1961" s="25">
        <v>260</v>
      </c>
      <c r="I1961" s="25">
        <v>220</v>
      </c>
      <c r="J1961" s="25">
        <v>325</v>
      </c>
      <c r="K1961" s="25">
        <v>275</v>
      </c>
      <c r="L1961" s="25">
        <v>50</v>
      </c>
      <c r="M1961" s="27">
        <v>18.181818181818201</v>
      </c>
      <c r="N1961" s="25" t="s">
        <v>55</v>
      </c>
      <c r="O1961" s="25" t="s">
        <v>28</v>
      </c>
      <c r="P1961" s="25" t="s">
        <v>32</v>
      </c>
    </row>
    <row r="1962" spans="1:16" x14ac:dyDescent="0.3">
      <c r="A1962" s="25">
        <v>1961</v>
      </c>
      <c r="B1962" s="26">
        <v>45642</v>
      </c>
      <c r="C1962" s="25" t="s">
        <v>69</v>
      </c>
      <c r="D1962" s="25" t="s">
        <v>22</v>
      </c>
      <c r="E1962" s="25" t="s">
        <v>90</v>
      </c>
      <c r="F1962" s="25">
        <v>1.5</v>
      </c>
      <c r="G1962" s="25" t="s">
        <v>91</v>
      </c>
      <c r="H1962" s="25">
        <v>280</v>
      </c>
      <c r="I1962" s="25">
        <v>240</v>
      </c>
      <c r="J1962" s="25">
        <v>420</v>
      </c>
      <c r="K1962" s="25">
        <v>360</v>
      </c>
      <c r="L1962" s="25">
        <v>60</v>
      </c>
      <c r="M1962" s="27">
        <v>16.6666666666667</v>
      </c>
      <c r="N1962" s="25" t="s">
        <v>55</v>
      </c>
      <c r="O1962" s="25" t="s">
        <v>28</v>
      </c>
      <c r="P1962" s="25" t="s">
        <v>32</v>
      </c>
    </row>
    <row r="1963" spans="1:16" x14ac:dyDescent="0.3">
      <c r="A1963" s="25">
        <v>1962</v>
      </c>
      <c r="B1963" s="26">
        <v>45642</v>
      </c>
      <c r="C1963" s="25" t="s">
        <v>69</v>
      </c>
      <c r="D1963" s="25" t="s">
        <v>21</v>
      </c>
      <c r="E1963" s="25" t="s">
        <v>88</v>
      </c>
      <c r="F1963" s="25">
        <v>2</v>
      </c>
      <c r="G1963" s="25" t="s">
        <v>89</v>
      </c>
      <c r="H1963" s="25">
        <v>130</v>
      </c>
      <c r="I1963" s="25">
        <v>100</v>
      </c>
      <c r="J1963" s="25">
        <v>260</v>
      </c>
      <c r="K1963" s="25">
        <v>200</v>
      </c>
      <c r="L1963" s="25">
        <v>60</v>
      </c>
      <c r="M1963" s="27">
        <v>30</v>
      </c>
      <c r="N1963" s="25" t="s">
        <v>55</v>
      </c>
      <c r="O1963" s="25" t="s">
        <v>27</v>
      </c>
      <c r="P1963" s="25" t="s">
        <v>32</v>
      </c>
    </row>
    <row r="1964" spans="1:16" x14ac:dyDescent="0.3">
      <c r="A1964" s="25">
        <v>1963</v>
      </c>
      <c r="B1964" s="26">
        <v>45642</v>
      </c>
      <c r="C1964" s="25" t="s">
        <v>69</v>
      </c>
      <c r="D1964" s="25" t="s">
        <v>21</v>
      </c>
      <c r="E1964" s="25" t="s">
        <v>94</v>
      </c>
      <c r="F1964" s="25">
        <v>12</v>
      </c>
      <c r="G1964" s="25" t="s">
        <v>89</v>
      </c>
      <c r="H1964" s="25">
        <v>30</v>
      </c>
      <c r="I1964" s="25">
        <v>26</v>
      </c>
      <c r="J1964" s="25">
        <v>360</v>
      </c>
      <c r="K1964" s="25">
        <v>312</v>
      </c>
      <c r="L1964" s="25">
        <v>48</v>
      </c>
      <c r="M1964" s="27">
        <v>15.384615384615399</v>
      </c>
      <c r="N1964" s="25" t="s">
        <v>55</v>
      </c>
      <c r="O1964" s="25" t="s">
        <v>27</v>
      </c>
      <c r="P1964" s="25" t="s">
        <v>32</v>
      </c>
    </row>
    <row r="1965" spans="1:16" x14ac:dyDescent="0.3">
      <c r="A1965" s="25">
        <v>1964</v>
      </c>
      <c r="B1965" s="26">
        <v>45642</v>
      </c>
      <c r="C1965" s="25" t="s">
        <v>69</v>
      </c>
      <c r="D1965" s="25" t="s">
        <v>22</v>
      </c>
      <c r="E1965" s="25" t="s">
        <v>92</v>
      </c>
      <c r="F1965" s="25">
        <v>0.25</v>
      </c>
      <c r="G1965" s="25" t="s">
        <v>91</v>
      </c>
      <c r="H1965" s="25">
        <v>260</v>
      </c>
      <c r="I1965" s="25">
        <v>220</v>
      </c>
      <c r="J1965" s="25">
        <v>65</v>
      </c>
      <c r="K1965" s="25">
        <v>55</v>
      </c>
      <c r="L1965" s="25">
        <v>10</v>
      </c>
      <c r="M1965" s="27">
        <v>18.181818181818201</v>
      </c>
      <c r="N1965" s="25" t="s">
        <v>55</v>
      </c>
      <c r="O1965" s="25" t="s">
        <v>28</v>
      </c>
      <c r="P1965" s="25" t="s">
        <v>32</v>
      </c>
    </row>
    <row r="1966" spans="1:16" x14ac:dyDescent="0.3">
      <c r="A1966" s="25">
        <v>1965</v>
      </c>
      <c r="B1966" s="26">
        <v>45642</v>
      </c>
      <c r="C1966" s="25" t="s">
        <v>69</v>
      </c>
      <c r="D1966" s="25" t="s">
        <v>21</v>
      </c>
      <c r="E1966" s="25" t="s">
        <v>88</v>
      </c>
      <c r="F1966" s="25">
        <v>2</v>
      </c>
      <c r="G1966" s="25" t="s">
        <v>89</v>
      </c>
      <c r="H1966" s="25">
        <v>130</v>
      </c>
      <c r="I1966" s="25">
        <v>100</v>
      </c>
      <c r="J1966" s="25">
        <v>260</v>
      </c>
      <c r="K1966" s="25">
        <v>200</v>
      </c>
      <c r="L1966" s="25">
        <v>60</v>
      </c>
      <c r="M1966" s="27">
        <v>30</v>
      </c>
      <c r="N1966" s="25" t="s">
        <v>55</v>
      </c>
      <c r="O1966" s="25" t="s">
        <v>27</v>
      </c>
      <c r="P1966" s="25" t="s">
        <v>32</v>
      </c>
    </row>
    <row r="1967" spans="1:16" x14ac:dyDescent="0.3">
      <c r="A1967" s="25">
        <v>1966</v>
      </c>
      <c r="B1967" s="26">
        <v>45642</v>
      </c>
      <c r="C1967" s="25" t="s">
        <v>69</v>
      </c>
      <c r="D1967" s="25" t="s">
        <v>22</v>
      </c>
      <c r="E1967" s="25" t="s">
        <v>90</v>
      </c>
      <c r="F1967" s="25">
        <v>1</v>
      </c>
      <c r="G1967" s="25" t="s">
        <v>91</v>
      </c>
      <c r="H1967" s="25">
        <v>280</v>
      </c>
      <c r="I1967" s="25">
        <v>240</v>
      </c>
      <c r="J1967" s="25">
        <v>280</v>
      </c>
      <c r="K1967" s="25">
        <v>240</v>
      </c>
      <c r="L1967" s="25">
        <v>40</v>
      </c>
      <c r="M1967" s="27">
        <v>16.6666666666667</v>
      </c>
      <c r="N1967" s="25" t="s">
        <v>55</v>
      </c>
      <c r="O1967" s="25" t="s">
        <v>28</v>
      </c>
      <c r="P1967" s="25" t="s">
        <v>32</v>
      </c>
    </row>
    <row r="1968" spans="1:16" x14ac:dyDescent="0.3">
      <c r="A1968" s="25">
        <v>1967</v>
      </c>
      <c r="B1968" s="26">
        <v>45642</v>
      </c>
      <c r="C1968" s="25" t="s">
        <v>69</v>
      </c>
      <c r="D1968" s="25" t="s">
        <v>22</v>
      </c>
      <c r="E1968" s="25" t="s">
        <v>101</v>
      </c>
      <c r="F1968" s="25">
        <v>6</v>
      </c>
      <c r="G1968" s="25" t="s">
        <v>102</v>
      </c>
      <c r="H1968" s="25">
        <v>6</v>
      </c>
      <c r="I1968" s="25">
        <v>4</v>
      </c>
      <c r="J1968" s="25">
        <v>36</v>
      </c>
      <c r="K1968" s="25">
        <v>24</v>
      </c>
      <c r="L1968" s="25">
        <v>12</v>
      </c>
      <c r="M1968" s="27">
        <v>50</v>
      </c>
      <c r="N1968" s="25" t="s">
        <v>55</v>
      </c>
      <c r="O1968" s="25" t="s">
        <v>28</v>
      </c>
      <c r="P1968" s="25" t="s">
        <v>32</v>
      </c>
    </row>
    <row r="1969" spans="1:16" x14ac:dyDescent="0.3">
      <c r="A1969" s="25">
        <v>1968</v>
      </c>
      <c r="B1969" s="26">
        <v>45642</v>
      </c>
      <c r="C1969" s="25" t="s">
        <v>69</v>
      </c>
      <c r="D1969" s="25" t="s">
        <v>22</v>
      </c>
      <c r="E1969" s="25" t="s">
        <v>96</v>
      </c>
      <c r="F1969" s="25">
        <v>1</v>
      </c>
      <c r="G1969" s="25" t="s">
        <v>97</v>
      </c>
      <c r="H1969" s="25">
        <v>300</v>
      </c>
      <c r="I1969" s="25">
        <v>265</v>
      </c>
      <c r="J1969" s="25">
        <v>300</v>
      </c>
      <c r="K1969" s="25">
        <v>265</v>
      </c>
      <c r="L1969" s="25">
        <v>35</v>
      </c>
      <c r="M1969" s="27">
        <v>13.207547169811299</v>
      </c>
      <c r="N1969" s="25" t="s">
        <v>55</v>
      </c>
      <c r="O1969" s="25" t="s">
        <v>28</v>
      </c>
      <c r="P1969" s="25" t="s">
        <v>32</v>
      </c>
    </row>
    <row r="1970" spans="1:16" x14ac:dyDescent="0.3">
      <c r="A1970" s="25">
        <v>1969</v>
      </c>
      <c r="B1970" s="26">
        <v>45642</v>
      </c>
      <c r="C1970" s="25" t="s">
        <v>69</v>
      </c>
      <c r="D1970" s="25" t="s">
        <v>22</v>
      </c>
      <c r="E1970" s="25" t="s">
        <v>90</v>
      </c>
      <c r="F1970" s="25">
        <v>1</v>
      </c>
      <c r="G1970" s="25" t="s">
        <v>91</v>
      </c>
      <c r="H1970" s="25">
        <v>280</v>
      </c>
      <c r="I1970" s="25">
        <v>240</v>
      </c>
      <c r="J1970" s="25">
        <v>280</v>
      </c>
      <c r="K1970" s="25">
        <v>240</v>
      </c>
      <c r="L1970" s="25">
        <v>40</v>
      </c>
      <c r="M1970" s="27">
        <v>16.6666666666667</v>
      </c>
      <c r="N1970" s="25" t="s">
        <v>55</v>
      </c>
      <c r="O1970" s="25" t="s">
        <v>28</v>
      </c>
      <c r="P1970" s="25" t="s">
        <v>32</v>
      </c>
    </row>
    <row r="1971" spans="1:16" x14ac:dyDescent="0.3">
      <c r="A1971" s="25">
        <v>1970</v>
      </c>
      <c r="B1971" s="26">
        <v>45643</v>
      </c>
      <c r="C1971" s="25" t="s">
        <v>69</v>
      </c>
      <c r="D1971" s="25" t="s">
        <v>22</v>
      </c>
      <c r="E1971" s="25" t="s">
        <v>103</v>
      </c>
      <c r="F1971" s="25">
        <v>2</v>
      </c>
      <c r="G1971" s="25" t="s">
        <v>102</v>
      </c>
      <c r="H1971" s="25">
        <v>30</v>
      </c>
      <c r="I1971" s="25">
        <v>20</v>
      </c>
      <c r="J1971" s="25">
        <v>60</v>
      </c>
      <c r="K1971" s="25">
        <v>40</v>
      </c>
      <c r="L1971" s="25">
        <v>20</v>
      </c>
      <c r="M1971" s="27">
        <v>50</v>
      </c>
      <c r="N1971" s="25" t="s">
        <v>55</v>
      </c>
      <c r="O1971" s="25" t="s">
        <v>28</v>
      </c>
      <c r="P1971" s="25" t="s">
        <v>32</v>
      </c>
    </row>
    <row r="1972" spans="1:16" x14ac:dyDescent="0.3">
      <c r="A1972" s="25">
        <v>1971</v>
      </c>
      <c r="B1972" s="26">
        <v>45643</v>
      </c>
      <c r="C1972" s="25" t="s">
        <v>69</v>
      </c>
      <c r="D1972" s="25" t="s">
        <v>22</v>
      </c>
      <c r="E1972" s="25" t="s">
        <v>101</v>
      </c>
      <c r="F1972" s="25">
        <v>12</v>
      </c>
      <c r="G1972" s="25" t="s">
        <v>102</v>
      </c>
      <c r="H1972" s="25">
        <v>6</v>
      </c>
      <c r="I1972" s="25">
        <v>4</v>
      </c>
      <c r="J1972" s="25">
        <v>72</v>
      </c>
      <c r="K1972" s="25">
        <v>48</v>
      </c>
      <c r="L1972" s="25">
        <v>24</v>
      </c>
      <c r="M1972" s="27">
        <v>50</v>
      </c>
      <c r="N1972" s="25" t="s">
        <v>55</v>
      </c>
      <c r="O1972" s="25" t="s">
        <v>28</v>
      </c>
      <c r="P1972" s="25" t="s">
        <v>32</v>
      </c>
    </row>
    <row r="1973" spans="1:16" x14ac:dyDescent="0.3">
      <c r="A1973" s="25">
        <v>1972</v>
      </c>
      <c r="B1973" s="26">
        <v>45643</v>
      </c>
      <c r="C1973" s="25" t="s">
        <v>69</v>
      </c>
      <c r="D1973" s="25" t="s">
        <v>22</v>
      </c>
      <c r="E1973" s="25" t="s">
        <v>92</v>
      </c>
      <c r="F1973" s="25">
        <v>0.25</v>
      </c>
      <c r="G1973" s="25" t="s">
        <v>91</v>
      </c>
      <c r="H1973" s="25">
        <v>260</v>
      </c>
      <c r="I1973" s="25">
        <v>220</v>
      </c>
      <c r="J1973" s="25">
        <v>65</v>
      </c>
      <c r="K1973" s="25">
        <v>55</v>
      </c>
      <c r="L1973" s="25">
        <v>10</v>
      </c>
      <c r="M1973" s="27">
        <v>18.181818181818201</v>
      </c>
      <c r="N1973" s="25" t="s">
        <v>55</v>
      </c>
      <c r="O1973" s="25" t="s">
        <v>28</v>
      </c>
      <c r="P1973" s="25" t="s">
        <v>32</v>
      </c>
    </row>
    <row r="1974" spans="1:16" x14ac:dyDescent="0.3">
      <c r="A1974" s="25">
        <v>1973</v>
      </c>
      <c r="B1974" s="26">
        <v>45643</v>
      </c>
      <c r="C1974" s="25" t="s">
        <v>69</v>
      </c>
      <c r="D1974" s="25" t="s">
        <v>22</v>
      </c>
      <c r="E1974" s="25" t="s">
        <v>96</v>
      </c>
      <c r="F1974" s="25">
        <v>1</v>
      </c>
      <c r="G1974" s="25" t="s">
        <v>97</v>
      </c>
      <c r="H1974" s="25">
        <v>300</v>
      </c>
      <c r="I1974" s="25">
        <v>265</v>
      </c>
      <c r="J1974" s="25">
        <v>300</v>
      </c>
      <c r="K1974" s="25">
        <v>265</v>
      </c>
      <c r="L1974" s="25">
        <v>35</v>
      </c>
      <c r="M1974" s="27">
        <v>13.207547169811299</v>
      </c>
      <c r="N1974" s="25" t="s">
        <v>55</v>
      </c>
      <c r="O1974" s="25" t="s">
        <v>28</v>
      </c>
      <c r="P1974" s="25" t="s">
        <v>32</v>
      </c>
    </row>
    <row r="1975" spans="1:16" x14ac:dyDescent="0.3">
      <c r="A1975" s="25">
        <v>1974</v>
      </c>
      <c r="B1975" s="26">
        <v>45643</v>
      </c>
      <c r="C1975" s="25" t="s">
        <v>69</v>
      </c>
      <c r="D1975" s="25" t="s">
        <v>22</v>
      </c>
      <c r="E1975" s="25" t="s">
        <v>92</v>
      </c>
      <c r="F1975" s="25">
        <v>1</v>
      </c>
      <c r="G1975" s="25" t="s">
        <v>91</v>
      </c>
      <c r="H1975" s="25">
        <v>260</v>
      </c>
      <c r="I1975" s="25">
        <v>220</v>
      </c>
      <c r="J1975" s="25">
        <v>260</v>
      </c>
      <c r="K1975" s="25">
        <v>220</v>
      </c>
      <c r="L1975" s="25">
        <v>40</v>
      </c>
      <c r="M1975" s="27">
        <v>18.181818181818201</v>
      </c>
      <c r="N1975" s="25" t="s">
        <v>55</v>
      </c>
      <c r="O1975" s="25" t="s">
        <v>28</v>
      </c>
      <c r="P1975" s="25" t="s">
        <v>32</v>
      </c>
    </row>
    <row r="1976" spans="1:16" x14ac:dyDescent="0.3">
      <c r="A1976" s="25">
        <v>1975</v>
      </c>
      <c r="B1976" s="26">
        <v>45643</v>
      </c>
      <c r="C1976" s="25" t="s">
        <v>69</v>
      </c>
      <c r="D1976" s="25" t="s">
        <v>22</v>
      </c>
      <c r="E1976" s="25" t="s">
        <v>90</v>
      </c>
      <c r="F1976" s="25">
        <v>2</v>
      </c>
      <c r="G1976" s="25" t="s">
        <v>91</v>
      </c>
      <c r="H1976" s="25">
        <v>280</v>
      </c>
      <c r="I1976" s="25">
        <v>240</v>
      </c>
      <c r="J1976" s="25">
        <v>560</v>
      </c>
      <c r="K1976" s="25">
        <v>480</v>
      </c>
      <c r="L1976" s="25">
        <v>80</v>
      </c>
      <c r="M1976" s="27">
        <v>16.6666666666667</v>
      </c>
      <c r="N1976" s="25" t="s">
        <v>55</v>
      </c>
      <c r="O1976" s="25" t="s">
        <v>28</v>
      </c>
      <c r="P1976" s="25" t="s">
        <v>32</v>
      </c>
    </row>
    <row r="1977" spans="1:16" x14ac:dyDescent="0.3">
      <c r="A1977" s="25">
        <v>1976</v>
      </c>
      <c r="B1977" s="26">
        <v>45643</v>
      </c>
      <c r="C1977" s="25" t="s">
        <v>69</v>
      </c>
      <c r="D1977" s="25" t="s">
        <v>22</v>
      </c>
      <c r="E1977" s="25" t="s">
        <v>92</v>
      </c>
      <c r="F1977" s="25">
        <v>2.5</v>
      </c>
      <c r="G1977" s="25" t="s">
        <v>91</v>
      </c>
      <c r="H1977" s="25">
        <v>260</v>
      </c>
      <c r="I1977" s="25">
        <v>220</v>
      </c>
      <c r="J1977" s="25">
        <v>650</v>
      </c>
      <c r="K1977" s="25">
        <v>550</v>
      </c>
      <c r="L1977" s="25">
        <v>100</v>
      </c>
      <c r="M1977" s="27">
        <v>18.181818181818201</v>
      </c>
      <c r="N1977" s="25" t="s">
        <v>55</v>
      </c>
      <c r="O1977" s="25" t="s">
        <v>28</v>
      </c>
      <c r="P1977" s="25" t="s">
        <v>32</v>
      </c>
    </row>
    <row r="1978" spans="1:16" x14ac:dyDescent="0.3">
      <c r="A1978" s="25">
        <v>1977</v>
      </c>
      <c r="B1978" s="26">
        <v>45643</v>
      </c>
      <c r="C1978" s="25" t="s">
        <v>69</v>
      </c>
      <c r="D1978" s="25" t="s">
        <v>22</v>
      </c>
      <c r="E1978" s="25" t="s">
        <v>96</v>
      </c>
      <c r="F1978" s="25">
        <v>1</v>
      </c>
      <c r="G1978" s="25" t="s">
        <v>97</v>
      </c>
      <c r="H1978" s="25">
        <v>300</v>
      </c>
      <c r="I1978" s="25">
        <v>265</v>
      </c>
      <c r="J1978" s="25">
        <v>300</v>
      </c>
      <c r="K1978" s="25">
        <v>265</v>
      </c>
      <c r="L1978" s="25">
        <v>35</v>
      </c>
      <c r="M1978" s="27">
        <v>13.207547169811299</v>
      </c>
      <c r="N1978" s="25" t="s">
        <v>55</v>
      </c>
      <c r="O1978" s="25" t="s">
        <v>28</v>
      </c>
      <c r="P1978" s="25" t="s">
        <v>32</v>
      </c>
    </row>
    <row r="1979" spans="1:16" x14ac:dyDescent="0.3">
      <c r="A1979" s="25">
        <v>1978</v>
      </c>
      <c r="B1979" s="26">
        <v>45643</v>
      </c>
      <c r="C1979" s="25" t="s">
        <v>69</v>
      </c>
      <c r="D1979" s="25" t="s">
        <v>21</v>
      </c>
      <c r="E1979" s="25" t="s">
        <v>88</v>
      </c>
      <c r="F1979" s="25">
        <v>3</v>
      </c>
      <c r="G1979" s="25" t="s">
        <v>89</v>
      </c>
      <c r="H1979" s="25">
        <v>130</v>
      </c>
      <c r="I1979" s="25">
        <v>100</v>
      </c>
      <c r="J1979" s="25">
        <v>390</v>
      </c>
      <c r="K1979" s="25">
        <v>300</v>
      </c>
      <c r="L1979" s="25">
        <v>90</v>
      </c>
      <c r="M1979" s="27">
        <v>30</v>
      </c>
      <c r="N1979" s="25" t="s">
        <v>55</v>
      </c>
      <c r="O1979" s="25" t="s">
        <v>27</v>
      </c>
      <c r="P1979" s="25" t="s">
        <v>32</v>
      </c>
    </row>
    <row r="1980" spans="1:16" x14ac:dyDescent="0.3">
      <c r="A1980" s="25">
        <v>1979</v>
      </c>
      <c r="B1980" s="26">
        <v>45643</v>
      </c>
      <c r="C1980" s="25" t="s">
        <v>69</v>
      </c>
      <c r="D1980" s="25" t="s">
        <v>22</v>
      </c>
      <c r="E1980" s="25" t="s">
        <v>90</v>
      </c>
      <c r="F1980" s="25">
        <v>1</v>
      </c>
      <c r="G1980" s="25" t="s">
        <v>91</v>
      </c>
      <c r="H1980" s="25">
        <v>280</v>
      </c>
      <c r="I1980" s="25">
        <v>240</v>
      </c>
      <c r="J1980" s="25">
        <v>280</v>
      </c>
      <c r="K1980" s="25">
        <v>240</v>
      </c>
      <c r="L1980" s="25">
        <v>40</v>
      </c>
      <c r="M1980" s="27">
        <v>16.6666666666667</v>
      </c>
      <c r="N1980" s="25" t="s">
        <v>55</v>
      </c>
      <c r="O1980" s="25" t="s">
        <v>28</v>
      </c>
      <c r="P1980" s="25" t="s">
        <v>32</v>
      </c>
    </row>
    <row r="1981" spans="1:16" x14ac:dyDescent="0.3">
      <c r="A1981" s="25">
        <v>1980</v>
      </c>
      <c r="B1981" s="26">
        <v>45644</v>
      </c>
      <c r="C1981" s="25" t="s">
        <v>69</v>
      </c>
      <c r="D1981" s="25" t="s">
        <v>22</v>
      </c>
      <c r="E1981" s="25" t="s">
        <v>92</v>
      </c>
      <c r="F1981" s="25">
        <v>1.25</v>
      </c>
      <c r="G1981" s="25" t="s">
        <v>91</v>
      </c>
      <c r="H1981" s="25">
        <v>260</v>
      </c>
      <c r="I1981" s="25">
        <v>220</v>
      </c>
      <c r="J1981" s="25">
        <v>325</v>
      </c>
      <c r="K1981" s="25">
        <v>275</v>
      </c>
      <c r="L1981" s="25">
        <v>50</v>
      </c>
      <c r="M1981" s="27">
        <v>18.181818181818201</v>
      </c>
      <c r="N1981" s="25" t="s">
        <v>55</v>
      </c>
      <c r="O1981" s="25" t="s">
        <v>28</v>
      </c>
      <c r="P1981" s="25" t="s">
        <v>32</v>
      </c>
    </row>
    <row r="1982" spans="1:16" x14ac:dyDescent="0.3">
      <c r="A1982" s="25">
        <v>1981</v>
      </c>
      <c r="B1982" s="26">
        <v>45644</v>
      </c>
      <c r="C1982" s="25" t="s">
        <v>69</v>
      </c>
      <c r="D1982" s="25" t="s">
        <v>22</v>
      </c>
      <c r="E1982" s="25" t="s">
        <v>101</v>
      </c>
      <c r="F1982" s="25">
        <v>6</v>
      </c>
      <c r="G1982" s="25" t="s">
        <v>102</v>
      </c>
      <c r="H1982" s="25">
        <v>6</v>
      </c>
      <c r="I1982" s="25">
        <v>4</v>
      </c>
      <c r="J1982" s="25">
        <v>36</v>
      </c>
      <c r="K1982" s="25">
        <v>24</v>
      </c>
      <c r="L1982" s="25">
        <v>12</v>
      </c>
      <c r="M1982" s="27">
        <v>50</v>
      </c>
      <c r="N1982" s="25" t="s">
        <v>55</v>
      </c>
      <c r="O1982" s="25" t="s">
        <v>28</v>
      </c>
      <c r="P1982" s="25" t="s">
        <v>32</v>
      </c>
    </row>
    <row r="1983" spans="1:16" x14ac:dyDescent="0.3">
      <c r="A1983" s="25">
        <v>1982</v>
      </c>
      <c r="B1983" s="26">
        <v>45644</v>
      </c>
      <c r="C1983" s="25" t="s">
        <v>69</v>
      </c>
      <c r="D1983" s="25" t="s">
        <v>22</v>
      </c>
      <c r="E1983" s="25" t="s">
        <v>96</v>
      </c>
      <c r="F1983" s="25">
        <v>1</v>
      </c>
      <c r="G1983" s="25" t="s">
        <v>97</v>
      </c>
      <c r="H1983" s="25">
        <v>300</v>
      </c>
      <c r="I1983" s="25">
        <v>265</v>
      </c>
      <c r="J1983" s="25">
        <v>300</v>
      </c>
      <c r="K1983" s="25">
        <v>265</v>
      </c>
      <c r="L1983" s="25">
        <v>35</v>
      </c>
      <c r="M1983" s="27">
        <v>13.207547169811299</v>
      </c>
      <c r="N1983" s="25" t="s">
        <v>55</v>
      </c>
      <c r="O1983" s="25" t="s">
        <v>28</v>
      </c>
      <c r="P1983" s="25" t="s">
        <v>32</v>
      </c>
    </row>
    <row r="1984" spans="1:16" x14ac:dyDescent="0.3">
      <c r="A1984" s="25">
        <v>1983</v>
      </c>
      <c r="B1984" s="26">
        <v>45644</v>
      </c>
      <c r="C1984" s="25" t="s">
        <v>69</v>
      </c>
      <c r="D1984" s="25" t="s">
        <v>22</v>
      </c>
      <c r="E1984" s="25" t="s">
        <v>90</v>
      </c>
      <c r="F1984" s="25">
        <v>0.25</v>
      </c>
      <c r="G1984" s="25" t="s">
        <v>91</v>
      </c>
      <c r="H1984" s="25">
        <v>280</v>
      </c>
      <c r="I1984" s="25">
        <v>240</v>
      </c>
      <c r="J1984" s="25">
        <v>70</v>
      </c>
      <c r="K1984" s="25">
        <v>60</v>
      </c>
      <c r="L1984" s="25">
        <v>10</v>
      </c>
      <c r="M1984" s="27">
        <v>16.6666666666667</v>
      </c>
      <c r="N1984" s="25" t="s">
        <v>55</v>
      </c>
      <c r="O1984" s="25" t="s">
        <v>28</v>
      </c>
      <c r="P1984" s="25" t="s">
        <v>32</v>
      </c>
    </row>
    <row r="1985" spans="1:16" x14ac:dyDescent="0.3">
      <c r="A1985" s="25">
        <v>1984</v>
      </c>
      <c r="B1985" s="26">
        <v>45644</v>
      </c>
      <c r="C1985" s="25" t="s">
        <v>69</v>
      </c>
      <c r="D1985" s="25" t="s">
        <v>22</v>
      </c>
      <c r="E1985" s="25" t="s">
        <v>101</v>
      </c>
      <c r="F1985" s="25">
        <v>6</v>
      </c>
      <c r="G1985" s="25" t="s">
        <v>102</v>
      </c>
      <c r="H1985" s="25">
        <v>6</v>
      </c>
      <c r="I1985" s="25">
        <v>4</v>
      </c>
      <c r="J1985" s="25">
        <v>36</v>
      </c>
      <c r="K1985" s="25">
        <v>24</v>
      </c>
      <c r="L1985" s="25">
        <v>12</v>
      </c>
      <c r="M1985" s="27">
        <v>50</v>
      </c>
      <c r="N1985" s="25" t="s">
        <v>55</v>
      </c>
      <c r="O1985" s="25" t="s">
        <v>28</v>
      </c>
      <c r="P1985" s="25" t="s">
        <v>32</v>
      </c>
    </row>
    <row r="1986" spans="1:16" x14ac:dyDescent="0.3">
      <c r="A1986" s="25">
        <v>1985</v>
      </c>
      <c r="B1986" s="26">
        <v>45644</v>
      </c>
      <c r="C1986" s="25" t="s">
        <v>69</v>
      </c>
      <c r="D1986" s="25" t="s">
        <v>22</v>
      </c>
      <c r="E1986" s="25" t="s">
        <v>90</v>
      </c>
      <c r="F1986" s="25">
        <v>1.25</v>
      </c>
      <c r="G1986" s="25" t="s">
        <v>91</v>
      </c>
      <c r="H1986" s="25">
        <v>280</v>
      </c>
      <c r="I1986" s="25">
        <v>240</v>
      </c>
      <c r="J1986" s="25">
        <v>350</v>
      </c>
      <c r="K1986" s="25">
        <v>300</v>
      </c>
      <c r="L1986" s="25">
        <v>50</v>
      </c>
      <c r="M1986" s="27">
        <v>16.6666666666667</v>
      </c>
      <c r="N1986" s="25" t="s">
        <v>55</v>
      </c>
      <c r="O1986" s="25" t="s">
        <v>28</v>
      </c>
      <c r="P1986" s="25" t="s">
        <v>32</v>
      </c>
    </row>
    <row r="1987" spans="1:16" x14ac:dyDescent="0.3">
      <c r="A1987" s="25">
        <v>1986</v>
      </c>
      <c r="B1987" s="26">
        <v>45645</v>
      </c>
      <c r="C1987" s="25" t="s">
        <v>69</v>
      </c>
      <c r="D1987" s="25" t="s">
        <v>22</v>
      </c>
      <c r="E1987" s="25" t="s">
        <v>92</v>
      </c>
      <c r="F1987" s="25">
        <v>2.5</v>
      </c>
      <c r="G1987" s="25" t="s">
        <v>91</v>
      </c>
      <c r="H1987" s="25">
        <v>260</v>
      </c>
      <c r="I1987" s="25">
        <v>220</v>
      </c>
      <c r="J1987" s="25">
        <v>650</v>
      </c>
      <c r="K1987" s="25">
        <v>550</v>
      </c>
      <c r="L1987" s="25">
        <v>100</v>
      </c>
      <c r="M1987" s="27">
        <v>18.181818181818201</v>
      </c>
      <c r="N1987" s="25" t="s">
        <v>55</v>
      </c>
      <c r="O1987" s="25" t="s">
        <v>28</v>
      </c>
      <c r="P1987" s="25" t="s">
        <v>32</v>
      </c>
    </row>
    <row r="1988" spans="1:16" x14ac:dyDescent="0.3">
      <c r="A1988" s="25">
        <v>1987</v>
      </c>
      <c r="B1988" s="26">
        <v>45645</v>
      </c>
      <c r="C1988" s="25" t="s">
        <v>69</v>
      </c>
      <c r="D1988" s="25" t="s">
        <v>22</v>
      </c>
      <c r="E1988" s="25" t="s">
        <v>103</v>
      </c>
      <c r="F1988" s="25">
        <v>2</v>
      </c>
      <c r="G1988" s="25" t="s">
        <v>102</v>
      </c>
      <c r="H1988" s="25">
        <v>30</v>
      </c>
      <c r="I1988" s="25">
        <v>20</v>
      </c>
      <c r="J1988" s="25">
        <v>60</v>
      </c>
      <c r="K1988" s="25">
        <v>40</v>
      </c>
      <c r="L1988" s="25">
        <v>20</v>
      </c>
      <c r="M1988" s="27">
        <v>50</v>
      </c>
      <c r="N1988" s="25" t="s">
        <v>55</v>
      </c>
      <c r="O1988" s="25" t="s">
        <v>28</v>
      </c>
      <c r="P1988" s="25" t="s">
        <v>32</v>
      </c>
    </row>
    <row r="1989" spans="1:16" x14ac:dyDescent="0.3">
      <c r="A1989" s="25">
        <v>1988</v>
      </c>
      <c r="B1989" s="26">
        <v>45645</v>
      </c>
      <c r="C1989" s="25" t="s">
        <v>69</v>
      </c>
      <c r="D1989" s="25" t="s">
        <v>22</v>
      </c>
      <c r="E1989" s="25" t="s">
        <v>96</v>
      </c>
      <c r="F1989" s="25">
        <v>1</v>
      </c>
      <c r="G1989" s="25" t="s">
        <v>97</v>
      </c>
      <c r="H1989" s="25">
        <v>300</v>
      </c>
      <c r="I1989" s="25">
        <v>265</v>
      </c>
      <c r="J1989" s="25">
        <v>300</v>
      </c>
      <c r="K1989" s="25">
        <v>265</v>
      </c>
      <c r="L1989" s="25">
        <v>35</v>
      </c>
      <c r="M1989" s="27">
        <v>13.207547169811299</v>
      </c>
      <c r="N1989" s="25" t="s">
        <v>55</v>
      </c>
      <c r="O1989" s="25" t="s">
        <v>28</v>
      </c>
      <c r="P1989" s="25" t="s">
        <v>32</v>
      </c>
    </row>
    <row r="1990" spans="1:16" x14ac:dyDescent="0.3">
      <c r="A1990" s="25">
        <v>1989</v>
      </c>
      <c r="B1990" s="26">
        <v>45645</v>
      </c>
      <c r="C1990" s="25" t="s">
        <v>69</v>
      </c>
      <c r="D1990" s="25" t="s">
        <v>22</v>
      </c>
      <c r="E1990" s="25" t="s">
        <v>92</v>
      </c>
      <c r="F1990" s="25">
        <v>1.5</v>
      </c>
      <c r="G1990" s="25" t="s">
        <v>91</v>
      </c>
      <c r="H1990" s="25">
        <v>260</v>
      </c>
      <c r="I1990" s="25">
        <v>220</v>
      </c>
      <c r="J1990" s="25">
        <v>390</v>
      </c>
      <c r="K1990" s="25">
        <v>330</v>
      </c>
      <c r="L1990" s="25">
        <v>60</v>
      </c>
      <c r="M1990" s="27">
        <v>18.181818181818201</v>
      </c>
      <c r="N1990" s="25" t="s">
        <v>55</v>
      </c>
      <c r="O1990" s="25" t="s">
        <v>28</v>
      </c>
      <c r="P1990" s="25" t="s">
        <v>32</v>
      </c>
    </row>
    <row r="1991" spans="1:16" x14ac:dyDescent="0.3">
      <c r="A1991" s="25">
        <v>1990</v>
      </c>
      <c r="B1991" s="26">
        <v>45645</v>
      </c>
      <c r="C1991" s="25" t="s">
        <v>69</v>
      </c>
      <c r="D1991" s="25" t="s">
        <v>22</v>
      </c>
      <c r="E1991" s="25" t="s">
        <v>90</v>
      </c>
      <c r="F1991" s="25">
        <v>0.25</v>
      </c>
      <c r="G1991" s="25" t="s">
        <v>91</v>
      </c>
      <c r="H1991" s="25">
        <v>280</v>
      </c>
      <c r="I1991" s="25">
        <v>240</v>
      </c>
      <c r="J1991" s="25">
        <v>70</v>
      </c>
      <c r="K1991" s="25">
        <v>60</v>
      </c>
      <c r="L1991" s="25">
        <v>10</v>
      </c>
      <c r="M1991" s="27">
        <v>16.6666666666667</v>
      </c>
      <c r="N1991" s="25" t="s">
        <v>55</v>
      </c>
      <c r="O1991" s="25" t="s">
        <v>28</v>
      </c>
      <c r="P1991" s="25" t="s">
        <v>32</v>
      </c>
    </row>
    <row r="1992" spans="1:16" x14ac:dyDescent="0.3">
      <c r="A1992" s="25">
        <v>1991</v>
      </c>
      <c r="B1992" s="26">
        <v>45645</v>
      </c>
      <c r="C1992" s="25" t="s">
        <v>69</v>
      </c>
      <c r="D1992" s="25" t="s">
        <v>22</v>
      </c>
      <c r="E1992" s="25" t="s">
        <v>99</v>
      </c>
      <c r="F1992" s="25">
        <v>1</v>
      </c>
      <c r="G1992" s="25" t="s">
        <v>100</v>
      </c>
      <c r="H1992" s="25">
        <v>200</v>
      </c>
      <c r="I1992" s="25">
        <v>160</v>
      </c>
      <c r="J1992" s="25">
        <v>200</v>
      </c>
      <c r="K1992" s="25">
        <v>160</v>
      </c>
      <c r="L1992" s="25">
        <v>40</v>
      </c>
      <c r="M1992" s="27">
        <v>25</v>
      </c>
      <c r="N1992" s="25" t="s">
        <v>55</v>
      </c>
      <c r="O1992" s="25" t="s">
        <v>28</v>
      </c>
      <c r="P1992" s="25" t="s">
        <v>32</v>
      </c>
    </row>
    <row r="1993" spans="1:16" x14ac:dyDescent="0.3">
      <c r="A1993" s="25">
        <v>1992</v>
      </c>
      <c r="B1993" s="26">
        <v>45645</v>
      </c>
      <c r="C1993" s="25" t="s">
        <v>69</v>
      </c>
      <c r="D1993" s="25" t="s">
        <v>22</v>
      </c>
      <c r="E1993" s="25" t="s">
        <v>101</v>
      </c>
      <c r="F1993" s="25">
        <v>12</v>
      </c>
      <c r="G1993" s="25" t="s">
        <v>102</v>
      </c>
      <c r="H1993" s="25">
        <v>6</v>
      </c>
      <c r="I1993" s="25">
        <v>4</v>
      </c>
      <c r="J1993" s="25">
        <v>72</v>
      </c>
      <c r="K1993" s="25">
        <v>48</v>
      </c>
      <c r="L1993" s="25">
        <v>24</v>
      </c>
      <c r="M1993" s="27">
        <v>50</v>
      </c>
      <c r="N1993" s="25" t="s">
        <v>55</v>
      </c>
      <c r="O1993" s="25" t="s">
        <v>28</v>
      </c>
      <c r="P1993" s="25" t="s">
        <v>32</v>
      </c>
    </row>
    <row r="1994" spans="1:16" x14ac:dyDescent="0.3">
      <c r="A1994" s="25">
        <v>1993</v>
      </c>
      <c r="B1994" s="26">
        <v>45645</v>
      </c>
      <c r="C1994" s="25" t="s">
        <v>69</v>
      </c>
      <c r="D1994" s="25" t="s">
        <v>22</v>
      </c>
      <c r="E1994" s="25" t="s">
        <v>96</v>
      </c>
      <c r="F1994" s="25">
        <v>1</v>
      </c>
      <c r="G1994" s="25" t="s">
        <v>97</v>
      </c>
      <c r="H1994" s="25">
        <v>300</v>
      </c>
      <c r="I1994" s="25">
        <v>265</v>
      </c>
      <c r="J1994" s="25">
        <v>300</v>
      </c>
      <c r="K1994" s="25">
        <v>265</v>
      </c>
      <c r="L1994" s="25">
        <v>35</v>
      </c>
      <c r="M1994" s="27">
        <v>13.207547169811299</v>
      </c>
      <c r="N1994" s="25" t="s">
        <v>55</v>
      </c>
      <c r="O1994" s="25" t="s">
        <v>28</v>
      </c>
      <c r="P1994" s="25" t="s">
        <v>32</v>
      </c>
    </row>
    <row r="1995" spans="1:16" x14ac:dyDescent="0.3">
      <c r="A1995" s="25">
        <v>1994</v>
      </c>
      <c r="B1995" s="26">
        <v>45645</v>
      </c>
      <c r="C1995" s="25" t="s">
        <v>69</v>
      </c>
      <c r="D1995" s="25" t="s">
        <v>22</v>
      </c>
      <c r="E1995" s="25" t="s">
        <v>90</v>
      </c>
      <c r="F1995" s="25">
        <v>1.5</v>
      </c>
      <c r="G1995" s="25" t="s">
        <v>91</v>
      </c>
      <c r="H1995" s="25">
        <v>280</v>
      </c>
      <c r="I1995" s="25">
        <v>240</v>
      </c>
      <c r="J1995" s="25">
        <v>420</v>
      </c>
      <c r="K1995" s="25">
        <v>360</v>
      </c>
      <c r="L1995" s="25">
        <v>60</v>
      </c>
      <c r="M1995" s="27">
        <v>16.6666666666667</v>
      </c>
      <c r="N1995" s="25" t="s">
        <v>55</v>
      </c>
      <c r="O1995" s="25" t="s">
        <v>28</v>
      </c>
      <c r="P1995" s="25" t="s">
        <v>32</v>
      </c>
    </row>
    <row r="1996" spans="1:16" x14ac:dyDescent="0.3">
      <c r="A1996" s="25">
        <v>1995</v>
      </c>
      <c r="B1996" s="26">
        <v>45645</v>
      </c>
      <c r="C1996" s="25" t="s">
        <v>69</v>
      </c>
      <c r="D1996" s="25" t="s">
        <v>22</v>
      </c>
      <c r="E1996" s="25" t="s">
        <v>101</v>
      </c>
      <c r="F1996" s="25">
        <v>6</v>
      </c>
      <c r="G1996" s="25" t="s">
        <v>102</v>
      </c>
      <c r="H1996" s="25">
        <v>6</v>
      </c>
      <c r="I1996" s="25">
        <v>4</v>
      </c>
      <c r="J1996" s="25">
        <v>36</v>
      </c>
      <c r="K1996" s="25">
        <v>24</v>
      </c>
      <c r="L1996" s="25">
        <v>12</v>
      </c>
      <c r="M1996" s="27">
        <v>50</v>
      </c>
      <c r="N1996" s="25" t="s">
        <v>55</v>
      </c>
      <c r="O1996" s="25" t="s">
        <v>28</v>
      </c>
      <c r="P1996" s="25" t="s">
        <v>32</v>
      </c>
    </row>
    <row r="1997" spans="1:16" x14ac:dyDescent="0.3">
      <c r="A1997" s="25">
        <v>1996</v>
      </c>
      <c r="B1997" s="26">
        <v>45645</v>
      </c>
      <c r="C1997" s="25" t="s">
        <v>69</v>
      </c>
      <c r="D1997" s="25" t="s">
        <v>22</v>
      </c>
      <c r="E1997" s="25" t="s">
        <v>96</v>
      </c>
      <c r="F1997" s="25">
        <v>1</v>
      </c>
      <c r="G1997" s="25" t="s">
        <v>97</v>
      </c>
      <c r="H1997" s="25">
        <v>300</v>
      </c>
      <c r="I1997" s="25">
        <v>265</v>
      </c>
      <c r="J1997" s="25">
        <v>300</v>
      </c>
      <c r="K1997" s="25">
        <v>265</v>
      </c>
      <c r="L1997" s="25">
        <v>35</v>
      </c>
      <c r="M1997" s="27">
        <v>13.207547169811299</v>
      </c>
      <c r="N1997" s="25" t="s">
        <v>55</v>
      </c>
      <c r="O1997" s="25" t="s">
        <v>28</v>
      </c>
      <c r="P1997" s="25" t="s">
        <v>32</v>
      </c>
    </row>
    <row r="1998" spans="1:16" x14ac:dyDescent="0.3">
      <c r="A1998" s="25">
        <v>1997</v>
      </c>
      <c r="B1998" s="26">
        <v>45645</v>
      </c>
      <c r="C1998" s="25" t="s">
        <v>69</v>
      </c>
      <c r="D1998" s="25" t="s">
        <v>21</v>
      </c>
      <c r="E1998" s="25" t="s">
        <v>88</v>
      </c>
      <c r="F1998" s="25">
        <v>2</v>
      </c>
      <c r="G1998" s="25" t="s">
        <v>89</v>
      </c>
      <c r="H1998" s="25">
        <v>130</v>
      </c>
      <c r="I1998" s="25">
        <v>100</v>
      </c>
      <c r="J1998" s="25">
        <v>260</v>
      </c>
      <c r="K1998" s="25">
        <v>200</v>
      </c>
      <c r="L1998" s="25">
        <v>60</v>
      </c>
      <c r="M1998" s="27">
        <v>30</v>
      </c>
      <c r="N1998" s="25" t="s">
        <v>55</v>
      </c>
      <c r="O1998" s="25" t="s">
        <v>27</v>
      </c>
      <c r="P1998" s="25" t="s">
        <v>32</v>
      </c>
    </row>
    <row r="1999" spans="1:16" x14ac:dyDescent="0.3">
      <c r="A1999" s="25">
        <v>1998</v>
      </c>
      <c r="B1999" s="26">
        <v>45645</v>
      </c>
      <c r="C1999" s="25" t="s">
        <v>69</v>
      </c>
      <c r="D1999" s="25" t="s">
        <v>21</v>
      </c>
      <c r="E1999" s="25" t="s">
        <v>88</v>
      </c>
      <c r="F1999" s="25">
        <v>3</v>
      </c>
      <c r="G1999" s="25" t="s">
        <v>89</v>
      </c>
      <c r="H1999" s="25">
        <v>130</v>
      </c>
      <c r="I1999" s="25">
        <v>100</v>
      </c>
      <c r="J1999" s="25">
        <v>390</v>
      </c>
      <c r="K1999" s="25">
        <v>300</v>
      </c>
      <c r="L1999" s="25">
        <v>90</v>
      </c>
      <c r="M1999" s="27">
        <v>30</v>
      </c>
      <c r="N1999" s="25" t="s">
        <v>55</v>
      </c>
      <c r="O1999" s="25" t="s">
        <v>27</v>
      </c>
      <c r="P1999" s="25" t="s">
        <v>32</v>
      </c>
    </row>
    <row r="2000" spans="1:16" x14ac:dyDescent="0.3">
      <c r="A2000" s="25">
        <v>1999</v>
      </c>
      <c r="B2000" s="26">
        <v>45646</v>
      </c>
      <c r="C2000" s="25" t="s">
        <v>69</v>
      </c>
      <c r="D2000" s="25" t="s">
        <v>22</v>
      </c>
      <c r="E2000" s="25" t="s">
        <v>90</v>
      </c>
      <c r="F2000" s="25">
        <v>1.25</v>
      </c>
      <c r="G2000" s="25" t="s">
        <v>91</v>
      </c>
      <c r="H2000" s="25">
        <v>280</v>
      </c>
      <c r="I2000" s="25">
        <v>240</v>
      </c>
      <c r="J2000" s="25">
        <v>350</v>
      </c>
      <c r="K2000" s="25">
        <v>300</v>
      </c>
      <c r="L2000" s="25">
        <v>50</v>
      </c>
      <c r="M2000" s="27">
        <v>16.6666666666667</v>
      </c>
      <c r="N2000" s="25" t="s">
        <v>55</v>
      </c>
      <c r="O2000" s="25" t="s">
        <v>28</v>
      </c>
      <c r="P2000" s="25" t="s">
        <v>32</v>
      </c>
    </row>
    <row r="2001" spans="1:16" x14ac:dyDescent="0.3">
      <c r="A2001" s="25">
        <v>2000</v>
      </c>
      <c r="B2001" s="26">
        <v>45646</v>
      </c>
      <c r="C2001" s="25" t="s">
        <v>69</v>
      </c>
      <c r="D2001" s="25" t="s">
        <v>22</v>
      </c>
      <c r="E2001" s="25" t="s">
        <v>92</v>
      </c>
      <c r="F2001" s="25">
        <v>0.25</v>
      </c>
      <c r="G2001" s="25" t="s">
        <v>91</v>
      </c>
      <c r="H2001" s="25">
        <v>260</v>
      </c>
      <c r="I2001" s="25">
        <v>220</v>
      </c>
      <c r="J2001" s="25">
        <v>65</v>
      </c>
      <c r="K2001" s="25">
        <v>55</v>
      </c>
      <c r="L2001" s="25">
        <v>10</v>
      </c>
      <c r="M2001" s="27">
        <v>18.181818181818201</v>
      </c>
      <c r="N2001" s="25" t="s">
        <v>55</v>
      </c>
      <c r="O2001" s="25" t="s">
        <v>28</v>
      </c>
      <c r="P2001" s="25" t="s">
        <v>32</v>
      </c>
    </row>
    <row r="2002" spans="1:16" x14ac:dyDescent="0.3">
      <c r="A2002" s="25">
        <v>2001</v>
      </c>
      <c r="B2002" s="26">
        <v>45646</v>
      </c>
      <c r="C2002" s="25" t="s">
        <v>69</v>
      </c>
      <c r="D2002" s="25" t="s">
        <v>22</v>
      </c>
      <c r="E2002" s="25" t="s">
        <v>103</v>
      </c>
      <c r="F2002" s="25">
        <v>1</v>
      </c>
      <c r="G2002" s="25" t="s">
        <v>102</v>
      </c>
      <c r="H2002" s="25">
        <v>30</v>
      </c>
      <c r="I2002" s="25">
        <v>20</v>
      </c>
      <c r="J2002" s="25">
        <v>30</v>
      </c>
      <c r="K2002" s="25">
        <v>20</v>
      </c>
      <c r="L2002" s="25">
        <v>10</v>
      </c>
      <c r="M2002" s="27">
        <v>50</v>
      </c>
      <c r="N2002" s="25" t="s">
        <v>55</v>
      </c>
      <c r="O2002" s="25" t="s">
        <v>28</v>
      </c>
      <c r="P2002" s="25" t="s">
        <v>32</v>
      </c>
    </row>
    <row r="2003" spans="1:16" x14ac:dyDescent="0.3">
      <c r="A2003" s="25">
        <v>2002</v>
      </c>
      <c r="B2003" s="26">
        <v>45646</v>
      </c>
      <c r="C2003" s="25" t="s">
        <v>69</v>
      </c>
      <c r="D2003" s="25" t="s">
        <v>22</v>
      </c>
      <c r="E2003" s="25" t="s">
        <v>96</v>
      </c>
      <c r="F2003" s="25">
        <v>1</v>
      </c>
      <c r="G2003" s="25" t="s">
        <v>97</v>
      </c>
      <c r="H2003" s="25">
        <v>300</v>
      </c>
      <c r="I2003" s="25">
        <v>265</v>
      </c>
      <c r="J2003" s="25">
        <v>300</v>
      </c>
      <c r="K2003" s="25">
        <v>265</v>
      </c>
      <c r="L2003" s="25">
        <v>35</v>
      </c>
      <c r="M2003" s="27">
        <v>13.207547169811299</v>
      </c>
      <c r="N2003" s="25" t="s">
        <v>55</v>
      </c>
      <c r="O2003" s="25" t="s">
        <v>28</v>
      </c>
      <c r="P2003" s="25" t="s">
        <v>32</v>
      </c>
    </row>
    <row r="2004" spans="1:16" x14ac:dyDescent="0.3">
      <c r="A2004" s="25">
        <v>2003</v>
      </c>
      <c r="B2004" s="26">
        <v>45646</v>
      </c>
      <c r="C2004" s="25" t="s">
        <v>69</v>
      </c>
      <c r="D2004" s="25" t="s">
        <v>22</v>
      </c>
      <c r="E2004" s="25" t="s">
        <v>90</v>
      </c>
      <c r="F2004" s="25">
        <v>0.25</v>
      </c>
      <c r="G2004" s="25" t="s">
        <v>91</v>
      </c>
      <c r="H2004" s="25">
        <v>280</v>
      </c>
      <c r="I2004" s="25">
        <v>240</v>
      </c>
      <c r="J2004" s="25">
        <v>70</v>
      </c>
      <c r="K2004" s="25">
        <v>60</v>
      </c>
      <c r="L2004" s="25">
        <v>10</v>
      </c>
      <c r="M2004" s="27">
        <v>16.6666666666667</v>
      </c>
      <c r="N2004" s="25" t="s">
        <v>55</v>
      </c>
      <c r="O2004" s="25" t="s">
        <v>28</v>
      </c>
      <c r="P2004" s="25" t="s">
        <v>32</v>
      </c>
    </row>
    <row r="2005" spans="1:16" x14ac:dyDescent="0.3">
      <c r="A2005" s="25">
        <v>2004</v>
      </c>
      <c r="B2005" s="26">
        <v>45646</v>
      </c>
      <c r="C2005" s="25" t="s">
        <v>69</v>
      </c>
      <c r="D2005" s="25" t="s">
        <v>22</v>
      </c>
      <c r="E2005" s="25" t="s">
        <v>101</v>
      </c>
      <c r="F2005" s="25">
        <v>12</v>
      </c>
      <c r="G2005" s="25" t="s">
        <v>102</v>
      </c>
      <c r="H2005" s="25">
        <v>6</v>
      </c>
      <c r="I2005" s="25">
        <v>4</v>
      </c>
      <c r="J2005" s="25">
        <v>72</v>
      </c>
      <c r="K2005" s="25">
        <v>48</v>
      </c>
      <c r="L2005" s="25">
        <v>24</v>
      </c>
      <c r="M2005" s="27">
        <v>50</v>
      </c>
      <c r="N2005" s="25" t="s">
        <v>55</v>
      </c>
      <c r="O2005" s="25" t="s">
        <v>28</v>
      </c>
      <c r="P2005" s="25" t="s">
        <v>32</v>
      </c>
    </row>
    <row r="2006" spans="1:16" x14ac:dyDescent="0.3">
      <c r="A2006" s="25">
        <v>2005</v>
      </c>
      <c r="B2006" s="26">
        <v>45646</v>
      </c>
      <c r="C2006" s="25" t="s">
        <v>69</v>
      </c>
      <c r="D2006" s="25" t="s">
        <v>22</v>
      </c>
      <c r="E2006" s="25" t="s">
        <v>92</v>
      </c>
      <c r="F2006" s="25">
        <v>2</v>
      </c>
      <c r="G2006" s="25" t="s">
        <v>91</v>
      </c>
      <c r="H2006" s="25">
        <v>260</v>
      </c>
      <c r="I2006" s="25">
        <v>220</v>
      </c>
      <c r="J2006" s="25">
        <v>520</v>
      </c>
      <c r="K2006" s="25">
        <v>440</v>
      </c>
      <c r="L2006" s="25">
        <v>80</v>
      </c>
      <c r="M2006" s="27">
        <v>18.181818181818201</v>
      </c>
      <c r="N2006" s="25" t="s">
        <v>55</v>
      </c>
      <c r="O2006" s="25" t="s">
        <v>28</v>
      </c>
      <c r="P2006" s="25" t="s">
        <v>32</v>
      </c>
    </row>
    <row r="2007" spans="1:16" x14ac:dyDescent="0.3">
      <c r="A2007" s="25">
        <v>2006</v>
      </c>
      <c r="B2007" s="26">
        <v>45646</v>
      </c>
      <c r="C2007" s="25" t="s">
        <v>69</v>
      </c>
      <c r="D2007" s="25" t="s">
        <v>22</v>
      </c>
      <c r="E2007" s="25" t="s">
        <v>96</v>
      </c>
      <c r="F2007" s="25">
        <v>1</v>
      </c>
      <c r="G2007" s="25" t="s">
        <v>97</v>
      </c>
      <c r="H2007" s="25">
        <v>300</v>
      </c>
      <c r="I2007" s="25">
        <v>265</v>
      </c>
      <c r="J2007" s="25">
        <v>300</v>
      </c>
      <c r="K2007" s="25">
        <v>265</v>
      </c>
      <c r="L2007" s="25">
        <v>35</v>
      </c>
      <c r="M2007" s="27">
        <v>13.207547169811299</v>
      </c>
      <c r="N2007" s="25" t="s">
        <v>55</v>
      </c>
      <c r="O2007" s="25" t="s">
        <v>28</v>
      </c>
      <c r="P2007" s="25" t="s">
        <v>32</v>
      </c>
    </row>
    <row r="2008" spans="1:16" x14ac:dyDescent="0.3">
      <c r="A2008" s="25">
        <v>2007</v>
      </c>
      <c r="B2008" s="26">
        <v>45646</v>
      </c>
      <c r="C2008" s="25" t="s">
        <v>69</v>
      </c>
      <c r="D2008" s="25" t="s">
        <v>22</v>
      </c>
      <c r="E2008" s="25" t="s">
        <v>90</v>
      </c>
      <c r="F2008" s="25">
        <v>2.25</v>
      </c>
      <c r="G2008" s="25" t="s">
        <v>91</v>
      </c>
      <c r="H2008" s="25">
        <v>280</v>
      </c>
      <c r="I2008" s="25">
        <v>240</v>
      </c>
      <c r="J2008" s="25">
        <v>630</v>
      </c>
      <c r="K2008" s="25">
        <v>540</v>
      </c>
      <c r="L2008" s="25">
        <v>90</v>
      </c>
      <c r="M2008" s="27">
        <v>16.6666666666667</v>
      </c>
      <c r="N2008" s="25" t="s">
        <v>55</v>
      </c>
      <c r="O2008" s="25" t="s">
        <v>28</v>
      </c>
      <c r="P2008" s="25" t="s">
        <v>32</v>
      </c>
    </row>
    <row r="2009" spans="1:16" x14ac:dyDescent="0.3">
      <c r="A2009" s="25">
        <v>2008</v>
      </c>
      <c r="B2009" s="26">
        <v>45646</v>
      </c>
      <c r="C2009" s="25" t="s">
        <v>69</v>
      </c>
      <c r="D2009" s="25" t="s">
        <v>22</v>
      </c>
      <c r="E2009" s="25" t="s">
        <v>103</v>
      </c>
      <c r="F2009" s="25">
        <v>2</v>
      </c>
      <c r="G2009" s="25" t="s">
        <v>102</v>
      </c>
      <c r="H2009" s="25">
        <v>30</v>
      </c>
      <c r="I2009" s="25">
        <v>20</v>
      </c>
      <c r="J2009" s="25">
        <v>60</v>
      </c>
      <c r="K2009" s="25">
        <v>40</v>
      </c>
      <c r="L2009" s="25">
        <v>20</v>
      </c>
      <c r="M2009" s="27">
        <v>50</v>
      </c>
      <c r="N2009" s="25" t="s">
        <v>55</v>
      </c>
      <c r="O2009" s="25" t="s">
        <v>28</v>
      </c>
      <c r="P2009" s="25" t="s">
        <v>32</v>
      </c>
    </row>
    <row r="2010" spans="1:16" x14ac:dyDescent="0.3">
      <c r="A2010" s="25">
        <v>2009</v>
      </c>
      <c r="B2010" s="26">
        <v>45646</v>
      </c>
      <c r="C2010" s="25" t="s">
        <v>69</v>
      </c>
      <c r="D2010" s="25" t="s">
        <v>21</v>
      </c>
      <c r="E2010" s="25" t="s">
        <v>88</v>
      </c>
      <c r="F2010" s="25">
        <v>5</v>
      </c>
      <c r="G2010" s="25" t="s">
        <v>89</v>
      </c>
      <c r="H2010" s="25">
        <v>130</v>
      </c>
      <c r="I2010" s="25">
        <v>100</v>
      </c>
      <c r="J2010" s="25">
        <v>650</v>
      </c>
      <c r="K2010" s="25">
        <v>500</v>
      </c>
      <c r="L2010" s="25">
        <v>150</v>
      </c>
      <c r="M2010" s="27">
        <v>30</v>
      </c>
      <c r="N2010" s="25" t="s">
        <v>55</v>
      </c>
      <c r="O2010" s="25" t="s">
        <v>27</v>
      </c>
      <c r="P2010" s="25" t="s">
        <v>32</v>
      </c>
    </row>
    <row r="2011" spans="1:16" x14ac:dyDescent="0.3">
      <c r="A2011" s="25">
        <v>2010</v>
      </c>
      <c r="B2011" s="26">
        <v>45646</v>
      </c>
      <c r="C2011" s="25" t="s">
        <v>69</v>
      </c>
      <c r="D2011" s="25" t="s">
        <v>21</v>
      </c>
      <c r="E2011" s="25" t="s">
        <v>88</v>
      </c>
      <c r="F2011" s="25">
        <v>2</v>
      </c>
      <c r="G2011" s="25" t="s">
        <v>89</v>
      </c>
      <c r="H2011" s="25">
        <v>130</v>
      </c>
      <c r="I2011" s="25">
        <v>100</v>
      </c>
      <c r="J2011" s="25">
        <v>260</v>
      </c>
      <c r="K2011" s="25">
        <v>200</v>
      </c>
      <c r="L2011" s="25">
        <v>60</v>
      </c>
      <c r="M2011" s="27">
        <v>30</v>
      </c>
      <c r="N2011" s="25" t="s">
        <v>55</v>
      </c>
      <c r="O2011" s="25" t="s">
        <v>27</v>
      </c>
      <c r="P2011" s="25" t="s">
        <v>32</v>
      </c>
    </row>
    <row r="2012" spans="1:16" x14ac:dyDescent="0.3">
      <c r="A2012" s="25">
        <v>2011</v>
      </c>
      <c r="B2012" s="26">
        <v>45647</v>
      </c>
      <c r="C2012" s="25" t="s">
        <v>69</v>
      </c>
      <c r="D2012" s="25" t="s">
        <v>22</v>
      </c>
      <c r="E2012" s="25" t="s">
        <v>90</v>
      </c>
      <c r="F2012" s="25">
        <v>0.25</v>
      </c>
      <c r="G2012" s="25" t="s">
        <v>91</v>
      </c>
      <c r="H2012" s="25">
        <v>280</v>
      </c>
      <c r="I2012" s="25">
        <v>240</v>
      </c>
      <c r="J2012" s="25">
        <v>70</v>
      </c>
      <c r="K2012" s="25">
        <v>60</v>
      </c>
      <c r="L2012" s="25">
        <v>10</v>
      </c>
      <c r="M2012" s="27">
        <v>16.6666666666667</v>
      </c>
      <c r="N2012" s="25" t="s">
        <v>55</v>
      </c>
      <c r="O2012" s="25" t="s">
        <v>28</v>
      </c>
      <c r="P2012" s="25" t="s">
        <v>32</v>
      </c>
    </row>
    <row r="2013" spans="1:16" x14ac:dyDescent="0.3">
      <c r="A2013" s="25">
        <v>2012</v>
      </c>
      <c r="B2013" s="26">
        <v>45647</v>
      </c>
      <c r="C2013" s="25" t="s">
        <v>69</v>
      </c>
      <c r="D2013" s="25" t="s">
        <v>22</v>
      </c>
      <c r="E2013" s="25" t="s">
        <v>92</v>
      </c>
      <c r="F2013" s="25">
        <v>1.25</v>
      </c>
      <c r="G2013" s="25" t="s">
        <v>91</v>
      </c>
      <c r="H2013" s="25">
        <v>260</v>
      </c>
      <c r="I2013" s="25">
        <v>220</v>
      </c>
      <c r="J2013" s="25">
        <v>325</v>
      </c>
      <c r="K2013" s="25">
        <v>275</v>
      </c>
      <c r="L2013" s="25">
        <v>50</v>
      </c>
      <c r="M2013" s="27">
        <v>18.181818181818201</v>
      </c>
      <c r="N2013" s="25" t="s">
        <v>55</v>
      </c>
      <c r="O2013" s="25" t="s">
        <v>28</v>
      </c>
      <c r="P2013" s="25" t="s">
        <v>32</v>
      </c>
    </row>
    <row r="2014" spans="1:16" x14ac:dyDescent="0.3">
      <c r="A2014" s="25">
        <v>2013</v>
      </c>
      <c r="B2014" s="26">
        <v>45647</v>
      </c>
      <c r="C2014" s="25" t="s">
        <v>69</v>
      </c>
      <c r="D2014" s="25" t="s">
        <v>22</v>
      </c>
      <c r="E2014" s="25" t="s">
        <v>103</v>
      </c>
      <c r="F2014" s="25">
        <v>1</v>
      </c>
      <c r="G2014" s="25" t="s">
        <v>102</v>
      </c>
      <c r="H2014" s="25">
        <v>30</v>
      </c>
      <c r="I2014" s="25">
        <v>20</v>
      </c>
      <c r="J2014" s="25">
        <v>30</v>
      </c>
      <c r="K2014" s="25">
        <v>20</v>
      </c>
      <c r="L2014" s="25">
        <v>10</v>
      </c>
      <c r="M2014" s="27">
        <v>50</v>
      </c>
      <c r="N2014" s="25" t="s">
        <v>55</v>
      </c>
      <c r="O2014" s="25" t="s">
        <v>28</v>
      </c>
      <c r="P2014" s="25" t="s">
        <v>32</v>
      </c>
    </row>
    <row r="2015" spans="1:16" x14ac:dyDescent="0.3">
      <c r="A2015" s="25">
        <v>2014</v>
      </c>
      <c r="B2015" s="26">
        <v>45647</v>
      </c>
      <c r="C2015" s="25" t="s">
        <v>69</v>
      </c>
      <c r="D2015" s="25" t="s">
        <v>21</v>
      </c>
      <c r="E2015" s="25" t="s">
        <v>88</v>
      </c>
      <c r="F2015" s="25">
        <v>2</v>
      </c>
      <c r="G2015" s="25" t="s">
        <v>89</v>
      </c>
      <c r="H2015" s="25">
        <v>130</v>
      </c>
      <c r="I2015" s="25">
        <v>100</v>
      </c>
      <c r="J2015" s="25">
        <v>260</v>
      </c>
      <c r="K2015" s="25">
        <v>200</v>
      </c>
      <c r="L2015" s="25">
        <v>60</v>
      </c>
      <c r="M2015" s="27">
        <v>30</v>
      </c>
      <c r="N2015" s="25" t="s">
        <v>55</v>
      </c>
      <c r="O2015" s="25" t="s">
        <v>27</v>
      </c>
      <c r="P2015" s="25" t="s">
        <v>32</v>
      </c>
    </row>
    <row r="2016" spans="1:16" x14ac:dyDescent="0.3">
      <c r="A2016" s="25">
        <v>2015</v>
      </c>
      <c r="B2016" s="26">
        <v>45647</v>
      </c>
      <c r="C2016" s="25" t="s">
        <v>69</v>
      </c>
      <c r="D2016" s="25" t="s">
        <v>21</v>
      </c>
      <c r="E2016" s="25" t="s">
        <v>88</v>
      </c>
      <c r="F2016" s="25">
        <v>3</v>
      </c>
      <c r="G2016" s="25" t="s">
        <v>89</v>
      </c>
      <c r="H2016" s="25">
        <v>130</v>
      </c>
      <c r="I2016" s="25">
        <v>100</v>
      </c>
      <c r="J2016" s="25">
        <v>390</v>
      </c>
      <c r="K2016" s="25">
        <v>300</v>
      </c>
      <c r="L2016" s="25">
        <v>90</v>
      </c>
      <c r="M2016" s="27">
        <v>30</v>
      </c>
      <c r="N2016" s="25" t="s">
        <v>55</v>
      </c>
      <c r="O2016" s="25" t="s">
        <v>27</v>
      </c>
      <c r="P2016" s="25" t="s">
        <v>32</v>
      </c>
    </row>
    <row r="2017" spans="1:16" x14ac:dyDescent="0.3">
      <c r="A2017" s="25">
        <v>2016</v>
      </c>
      <c r="B2017" s="26">
        <v>45647</v>
      </c>
      <c r="C2017" s="25" t="s">
        <v>69</v>
      </c>
      <c r="D2017" s="25" t="s">
        <v>21</v>
      </c>
      <c r="E2017" s="25" t="s">
        <v>88</v>
      </c>
      <c r="F2017" s="25">
        <v>2</v>
      </c>
      <c r="G2017" s="25" t="s">
        <v>89</v>
      </c>
      <c r="H2017" s="25">
        <v>130</v>
      </c>
      <c r="I2017" s="25">
        <v>100</v>
      </c>
      <c r="J2017" s="25">
        <v>260</v>
      </c>
      <c r="K2017" s="25">
        <v>200</v>
      </c>
      <c r="L2017" s="25">
        <v>60</v>
      </c>
      <c r="M2017" s="27">
        <v>30</v>
      </c>
      <c r="N2017" s="25" t="s">
        <v>55</v>
      </c>
      <c r="O2017" s="25" t="s">
        <v>27</v>
      </c>
      <c r="P2017" s="25" t="s">
        <v>32</v>
      </c>
    </row>
    <row r="2018" spans="1:16" x14ac:dyDescent="0.3">
      <c r="A2018" s="25">
        <v>2017</v>
      </c>
      <c r="B2018" s="26">
        <v>45647</v>
      </c>
      <c r="C2018" s="25" t="s">
        <v>69</v>
      </c>
      <c r="D2018" s="25" t="s">
        <v>22</v>
      </c>
      <c r="E2018" s="25" t="s">
        <v>90</v>
      </c>
      <c r="F2018" s="25">
        <v>0.25</v>
      </c>
      <c r="G2018" s="25" t="s">
        <v>91</v>
      </c>
      <c r="H2018" s="25">
        <v>280</v>
      </c>
      <c r="I2018" s="25">
        <v>240</v>
      </c>
      <c r="J2018" s="25">
        <v>70</v>
      </c>
      <c r="K2018" s="25">
        <v>60</v>
      </c>
      <c r="L2018" s="25">
        <v>10</v>
      </c>
      <c r="M2018" s="27">
        <v>16.6666666666667</v>
      </c>
      <c r="N2018" s="25" t="s">
        <v>55</v>
      </c>
      <c r="O2018" s="25" t="s">
        <v>28</v>
      </c>
      <c r="P2018" s="25" t="s">
        <v>32</v>
      </c>
    </row>
    <row r="2019" spans="1:16" x14ac:dyDescent="0.3">
      <c r="A2019" s="25">
        <v>2018</v>
      </c>
      <c r="B2019" s="26">
        <v>45647</v>
      </c>
      <c r="C2019" s="25" t="s">
        <v>69</v>
      </c>
      <c r="D2019" s="25" t="s">
        <v>22</v>
      </c>
      <c r="E2019" s="25" t="s">
        <v>92</v>
      </c>
      <c r="F2019" s="25">
        <v>1</v>
      </c>
      <c r="G2019" s="25" t="s">
        <v>91</v>
      </c>
      <c r="H2019" s="25">
        <v>260</v>
      </c>
      <c r="I2019" s="25">
        <v>220</v>
      </c>
      <c r="J2019" s="25">
        <v>260</v>
      </c>
      <c r="K2019" s="25">
        <v>220</v>
      </c>
      <c r="L2019" s="25">
        <v>40</v>
      </c>
      <c r="M2019" s="27">
        <v>18.181818181818201</v>
      </c>
      <c r="N2019" s="25" t="s">
        <v>55</v>
      </c>
      <c r="O2019" s="25" t="s">
        <v>28</v>
      </c>
      <c r="P2019" s="25" t="s">
        <v>32</v>
      </c>
    </row>
    <row r="2020" spans="1:16" x14ac:dyDescent="0.3">
      <c r="A2020" s="25">
        <v>2019</v>
      </c>
      <c r="B2020" s="26">
        <v>45647</v>
      </c>
      <c r="C2020" s="25" t="s">
        <v>69</v>
      </c>
      <c r="D2020" s="25" t="s">
        <v>22</v>
      </c>
      <c r="E2020" s="25" t="s">
        <v>101</v>
      </c>
      <c r="F2020" s="25">
        <v>15</v>
      </c>
      <c r="G2020" s="25" t="s">
        <v>102</v>
      </c>
      <c r="H2020" s="25">
        <v>6</v>
      </c>
      <c r="I2020" s="25">
        <v>4</v>
      </c>
      <c r="J2020" s="25">
        <v>90</v>
      </c>
      <c r="K2020" s="25">
        <v>60</v>
      </c>
      <c r="L2020" s="25">
        <v>30</v>
      </c>
      <c r="M2020" s="27">
        <v>50</v>
      </c>
      <c r="N2020" s="25" t="s">
        <v>55</v>
      </c>
      <c r="O2020" s="25" t="s">
        <v>28</v>
      </c>
      <c r="P2020" s="25" t="s">
        <v>32</v>
      </c>
    </row>
    <row r="2021" spans="1:16" x14ac:dyDescent="0.3">
      <c r="A2021" s="25">
        <v>2020</v>
      </c>
      <c r="B2021" s="26">
        <v>45647</v>
      </c>
      <c r="C2021" s="25" t="s">
        <v>69</v>
      </c>
      <c r="D2021" s="25" t="s">
        <v>22</v>
      </c>
      <c r="E2021" s="25" t="s">
        <v>90</v>
      </c>
      <c r="F2021" s="25">
        <v>1</v>
      </c>
      <c r="G2021" s="25" t="s">
        <v>91</v>
      </c>
      <c r="H2021" s="25">
        <v>280</v>
      </c>
      <c r="I2021" s="25">
        <v>240</v>
      </c>
      <c r="J2021" s="25">
        <v>280</v>
      </c>
      <c r="K2021" s="25">
        <v>240</v>
      </c>
      <c r="L2021" s="25">
        <v>40</v>
      </c>
      <c r="M2021" s="27">
        <v>16.6666666666667</v>
      </c>
      <c r="N2021" s="25" t="s">
        <v>55</v>
      </c>
      <c r="O2021" s="25" t="s">
        <v>28</v>
      </c>
      <c r="P2021" s="25" t="s">
        <v>32</v>
      </c>
    </row>
    <row r="2022" spans="1:16" x14ac:dyDescent="0.3">
      <c r="A2022" s="25">
        <v>2021</v>
      </c>
      <c r="B2022" s="26">
        <v>45648</v>
      </c>
      <c r="C2022" s="25" t="s">
        <v>69</v>
      </c>
      <c r="D2022" s="25" t="s">
        <v>22</v>
      </c>
      <c r="E2022" s="25" t="s">
        <v>103</v>
      </c>
      <c r="F2022" s="25">
        <v>1</v>
      </c>
      <c r="G2022" s="25" t="s">
        <v>102</v>
      </c>
      <c r="H2022" s="25">
        <v>30</v>
      </c>
      <c r="I2022" s="25">
        <v>20</v>
      </c>
      <c r="J2022" s="25">
        <v>30</v>
      </c>
      <c r="K2022" s="25">
        <v>20</v>
      </c>
      <c r="L2022" s="25">
        <v>10</v>
      </c>
      <c r="M2022" s="27">
        <v>50</v>
      </c>
      <c r="N2022" s="25" t="s">
        <v>55</v>
      </c>
      <c r="O2022" s="25" t="s">
        <v>28</v>
      </c>
      <c r="P2022" s="25" t="s">
        <v>32</v>
      </c>
    </row>
    <row r="2023" spans="1:16" x14ac:dyDescent="0.3">
      <c r="A2023" s="25">
        <v>2022</v>
      </c>
      <c r="B2023" s="26">
        <v>45648</v>
      </c>
      <c r="C2023" s="25" t="s">
        <v>69</v>
      </c>
      <c r="D2023" s="25" t="s">
        <v>22</v>
      </c>
      <c r="E2023" s="25" t="s">
        <v>96</v>
      </c>
      <c r="F2023" s="25">
        <v>1</v>
      </c>
      <c r="G2023" s="25" t="s">
        <v>97</v>
      </c>
      <c r="H2023" s="25">
        <v>300</v>
      </c>
      <c r="I2023" s="25">
        <v>265</v>
      </c>
      <c r="J2023" s="25">
        <v>300</v>
      </c>
      <c r="K2023" s="25">
        <v>265</v>
      </c>
      <c r="L2023" s="25">
        <v>35</v>
      </c>
      <c r="M2023" s="27">
        <v>13.207547169811299</v>
      </c>
      <c r="N2023" s="25" t="s">
        <v>55</v>
      </c>
      <c r="O2023" s="25" t="s">
        <v>28</v>
      </c>
      <c r="P2023" s="25" t="s">
        <v>32</v>
      </c>
    </row>
    <row r="2024" spans="1:16" x14ac:dyDescent="0.3">
      <c r="A2024" s="25">
        <v>2023</v>
      </c>
      <c r="B2024" s="26">
        <v>45648</v>
      </c>
      <c r="C2024" s="25" t="s">
        <v>69</v>
      </c>
      <c r="D2024" s="25" t="s">
        <v>21</v>
      </c>
      <c r="E2024" s="25" t="s">
        <v>88</v>
      </c>
      <c r="F2024" s="25">
        <v>2</v>
      </c>
      <c r="G2024" s="25" t="s">
        <v>89</v>
      </c>
      <c r="H2024" s="25">
        <v>130</v>
      </c>
      <c r="I2024" s="25">
        <v>100</v>
      </c>
      <c r="J2024" s="25">
        <v>260</v>
      </c>
      <c r="K2024" s="25">
        <v>200</v>
      </c>
      <c r="L2024" s="25">
        <v>60</v>
      </c>
      <c r="M2024" s="27">
        <v>30</v>
      </c>
      <c r="N2024" s="25" t="s">
        <v>55</v>
      </c>
      <c r="O2024" s="25" t="s">
        <v>27</v>
      </c>
      <c r="P2024" s="25" t="s">
        <v>32</v>
      </c>
    </row>
    <row r="2025" spans="1:16" x14ac:dyDescent="0.3">
      <c r="A2025" s="25">
        <v>2024</v>
      </c>
      <c r="B2025" s="26">
        <v>45648</v>
      </c>
      <c r="C2025" s="25" t="s">
        <v>69</v>
      </c>
      <c r="D2025" s="25" t="s">
        <v>22</v>
      </c>
      <c r="E2025" s="25" t="s">
        <v>90</v>
      </c>
      <c r="F2025" s="25">
        <v>1</v>
      </c>
      <c r="G2025" s="25" t="s">
        <v>91</v>
      </c>
      <c r="H2025" s="25">
        <v>280</v>
      </c>
      <c r="I2025" s="25">
        <v>240</v>
      </c>
      <c r="J2025" s="25">
        <v>280</v>
      </c>
      <c r="K2025" s="25">
        <v>240</v>
      </c>
      <c r="L2025" s="25">
        <v>40</v>
      </c>
      <c r="M2025" s="27">
        <v>16.6666666666667</v>
      </c>
      <c r="N2025" s="25" t="s">
        <v>55</v>
      </c>
      <c r="O2025" s="25" t="s">
        <v>28</v>
      </c>
      <c r="P2025" s="25" t="s">
        <v>32</v>
      </c>
    </row>
    <row r="2026" spans="1:16" x14ac:dyDescent="0.3">
      <c r="A2026" s="25">
        <v>2025</v>
      </c>
      <c r="B2026" s="26">
        <v>45648</v>
      </c>
      <c r="C2026" s="25" t="s">
        <v>69</v>
      </c>
      <c r="D2026" s="25" t="s">
        <v>22</v>
      </c>
      <c r="E2026" s="25" t="s">
        <v>92</v>
      </c>
      <c r="F2026" s="25">
        <v>1</v>
      </c>
      <c r="G2026" s="25" t="s">
        <v>91</v>
      </c>
      <c r="H2026" s="25">
        <v>260</v>
      </c>
      <c r="I2026" s="25">
        <v>220</v>
      </c>
      <c r="J2026" s="25">
        <v>260</v>
      </c>
      <c r="K2026" s="25">
        <v>220</v>
      </c>
      <c r="L2026" s="25">
        <v>40</v>
      </c>
      <c r="M2026" s="27">
        <v>18.181818181818201</v>
      </c>
      <c r="N2026" s="25" t="s">
        <v>55</v>
      </c>
      <c r="O2026" s="25" t="s">
        <v>28</v>
      </c>
      <c r="P2026" s="25" t="s">
        <v>32</v>
      </c>
    </row>
    <row r="2027" spans="1:16" x14ac:dyDescent="0.3">
      <c r="A2027" s="25">
        <v>2026</v>
      </c>
      <c r="B2027" s="26">
        <v>45649</v>
      </c>
      <c r="C2027" s="25" t="s">
        <v>69</v>
      </c>
      <c r="D2027" s="25" t="s">
        <v>21</v>
      </c>
      <c r="E2027" s="25" t="s">
        <v>88</v>
      </c>
      <c r="F2027" s="25">
        <v>2</v>
      </c>
      <c r="G2027" s="25" t="s">
        <v>89</v>
      </c>
      <c r="H2027" s="25">
        <v>130</v>
      </c>
      <c r="I2027" s="25">
        <v>100</v>
      </c>
      <c r="J2027" s="25">
        <v>260</v>
      </c>
      <c r="K2027" s="25">
        <v>200</v>
      </c>
      <c r="L2027" s="25">
        <v>60</v>
      </c>
      <c r="M2027" s="27">
        <v>30</v>
      </c>
      <c r="N2027" s="25" t="s">
        <v>55</v>
      </c>
      <c r="O2027" s="25" t="s">
        <v>27</v>
      </c>
      <c r="P2027" s="25" t="s">
        <v>32</v>
      </c>
    </row>
    <row r="2028" spans="1:16" x14ac:dyDescent="0.3">
      <c r="A2028" s="25">
        <v>2027</v>
      </c>
      <c r="B2028" s="26">
        <v>45649</v>
      </c>
      <c r="C2028" s="25" t="s">
        <v>69</v>
      </c>
      <c r="D2028" s="25" t="s">
        <v>21</v>
      </c>
      <c r="E2028" s="25" t="s">
        <v>88</v>
      </c>
      <c r="F2028" s="25">
        <v>3</v>
      </c>
      <c r="G2028" s="25" t="s">
        <v>89</v>
      </c>
      <c r="H2028" s="25">
        <v>130</v>
      </c>
      <c r="I2028" s="25">
        <v>100</v>
      </c>
      <c r="J2028" s="25">
        <v>390</v>
      </c>
      <c r="K2028" s="25">
        <v>300</v>
      </c>
      <c r="L2028" s="25">
        <v>90</v>
      </c>
      <c r="M2028" s="27">
        <v>30</v>
      </c>
      <c r="N2028" s="25" t="s">
        <v>55</v>
      </c>
      <c r="O2028" s="25" t="s">
        <v>27</v>
      </c>
      <c r="P2028" s="25" t="s">
        <v>32</v>
      </c>
    </row>
    <row r="2029" spans="1:16" x14ac:dyDescent="0.3">
      <c r="A2029" s="25">
        <v>2028</v>
      </c>
      <c r="B2029" s="26">
        <v>45649</v>
      </c>
      <c r="C2029" s="25" t="s">
        <v>69</v>
      </c>
      <c r="D2029" s="25" t="s">
        <v>22</v>
      </c>
      <c r="E2029" s="25" t="s">
        <v>90</v>
      </c>
      <c r="F2029" s="25">
        <v>2</v>
      </c>
      <c r="G2029" s="25" t="s">
        <v>91</v>
      </c>
      <c r="H2029" s="25">
        <v>280</v>
      </c>
      <c r="I2029" s="25">
        <v>240</v>
      </c>
      <c r="J2029" s="25">
        <v>560</v>
      </c>
      <c r="K2029" s="25">
        <v>480</v>
      </c>
      <c r="L2029" s="25">
        <v>80</v>
      </c>
      <c r="M2029" s="27">
        <v>16.6666666666667</v>
      </c>
      <c r="N2029" s="25" t="s">
        <v>55</v>
      </c>
      <c r="O2029" s="25" t="s">
        <v>28</v>
      </c>
      <c r="P2029" s="25" t="s">
        <v>32</v>
      </c>
    </row>
    <row r="2030" spans="1:16" x14ac:dyDescent="0.3">
      <c r="A2030" s="25">
        <v>2029</v>
      </c>
      <c r="B2030" s="26">
        <v>45649</v>
      </c>
      <c r="C2030" s="25" t="s">
        <v>69</v>
      </c>
      <c r="D2030" s="25" t="s">
        <v>22</v>
      </c>
      <c r="E2030" s="25" t="s">
        <v>92</v>
      </c>
      <c r="F2030" s="25">
        <v>1.25</v>
      </c>
      <c r="G2030" s="25" t="s">
        <v>91</v>
      </c>
      <c r="H2030" s="25">
        <v>260</v>
      </c>
      <c r="I2030" s="25">
        <v>220</v>
      </c>
      <c r="J2030" s="25">
        <v>325</v>
      </c>
      <c r="K2030" s="25">
        <v>275</v>
      </c>
      <c r="L2030" s="25">
        <v>50</v>
      </c>
      <c r="M2030" s="27">
        <v>18.181818181818201</v>
      </c>
      <c r="N2030" s="25" t="s">
        <v>55</v>
      </c>
      <c r="O2030" s="25" t="s">
        <v>28</v>
      </c>
      <c r="P2030" s="25" t="s">
        <v>32</v>
      </c>
    </row>
    <row r="2031" spans="1:16" x14ac:dyDescent="0.3">
      <c r="A2031" s="25">
        <v>2030</v>
      </c>
      <c r="B2031" s="26">
        <v>45649</v>
      </c>
      <c r="C2031" s="25" t="s">
        <v>69</v>
      </c>
      <c r="D2031" s="25" t="s">
        <v>22</v>
      </c>
      <c r="E2031" s="25" t="s">
        <v>96</v>
      </c>
      <c r="F2031" s="25">
        <v>1</v>
      </c>
      <c r="G2031" s="25" t="s">
        <v>97</v>
      </c>
      <c r="H2031" s="25">
        <v>300</v>
      </c>
      <c r="I2031" s="25">
        <v>265</v>
      </c>
      <c r="J2031" s="25">
        <v>300</v>
      </c>
      <c r="K2031" s="25">
        <v>265</v>
      </c>
      <c r="L2031" s="25">
        <v>35</v>
      </c>
      <c r="M2031" s="27">
        <v>13.207547169811299</v>
      </c>
      <c r="N2031" s="25" t="s">
        <v>55</v>
      </c>
      <c r="O2031" s="25" t="s">
        <v>28</v>
      </c>
      <c r="P2031" s="25" t="s">
        <v>32</v>
      </c>
    </row>
    <row r="2032" spans="1:16" x14ac:dyDescent="0.3">
      <c r="A2032" s="25">
        <v>2031</v>
      </c>
      <c r="B2032" s="26">
        <v>45649</v>
      </c>
      <c r="C2032" s="25" t="s">
        <v>69</v>
      </c>
      <c r="D2032" s="25" t="s">
        <v>22</v>
      </c>
      <c r="E2032" s="25" t="s">
        <v>99</v>
      </c>
      <c r="F2032" s="25">
        <v>1</v>
      </c>
      <c r="G2032" s="25" t="s">
        <v>100</v>
      </c>
      <c r="H2032" s="25">
        <v>200</v>
      </c>
      <c r="I2032" s="25">
        <v>160</v>
      </c>
      <c r="J2032" s="25">
        <v>200</v>
      </c>
      <c r="K2032" s="25">
        <v>160</v>
      </c>
      <c r="L2032" s="25">
        <v>40</v>
      </c>
      <c r="M2032" s="27">
        <v>25</v>
      </c>
      <c r="N2032" s="25" t="s">
        <v>55</v>
      </c>
      <c r="O2032" s="25" t="s">
        <v>28</v>
      </c>
      <c r="P2032" s="25" t="s">
        <v>33</v>
      </c>
    </row>
    <row r="2033" spans="1:16" x14ac:dyDescent="0.3">
      <c r="A2033" s="25">
        <v>2032</v>
      </c>
      <c r="B2033" s="26">
        <v>45650</v>
      </c>
      <c r="C2033" s="25" t="s">
        <v>69</v>
      </c>
      <c r="D2033" s="25" t="s">
        <v>22</v>
      </c>
      <c r="E2033" s="25" t="s">
        <v>90</v>
      </c>
      <c r="F2033" s="25">
        <v>1.25</v>
      </c>
      <c r="G2033" s="25" t="s">
        <v>91</v>
      </c>
      <c r="H2033" s="25">
        <v>280</v>
      </c>
      <c r="I2033" s="25">
        <v>240</v>
      </c>
      <c r="J2033" s="25">
        <v>350</v>
      </c>
      <c r="K2033" s="25">
        <v>300</v>
      </c>
      <c r="L2033" s="25">
        <v>50</v>
      </c>
      <c r="M2033" s="27">
        <v>16.6666666666667</v>
      </c>
      <c r="N2033" s="25" t="s">
        <v>55</v>
      </c>
      <c r="O2033" s="25" t="s">
        <v>28</v>
      </c>
      <c r="P2033" s="25" t="s">
        <v>32</v>
      </c>
    </row>
    <row r="2034" spans="1:16" x14ac:dyDescent="0.3">
      <c r="A2034" s="25">
        <v>2033</v>
      </c>
      <c r="B2034" s="26">
        <v>45650</v>
      </c>
      <c r="C2034" s="25" t="s">
        <v>69</v>
      </c>
      <c r="D2034" s="25" t="s">
        <v>22</v>
      </c>
      <c r="E2034" s="25" t="s">
        <v>101</v>
      </c>
      <c r="F2034" s="25">
        <v>6</v>
      </c>
      <c r="G2034" s="25" t="s">
        <v>102</v>
      </c>
      <c r="H2034" s="25">
        <v>6</v>
      </c>
      <c r="I2034" s="25">
        <v>4</v>
      </c>
      <c r="J2034" s="25">
        <v>36</v>
      </c>
      <c r="K2034" s="25">
        <v>24</v>
      </c>
      <c r="L2034" s="25">
        <v>12</v>
      </c>
      <c r="M2034" s="27">
        <v>50</v>
      </c>
      <c r="N2034" s="25" t="s">
        <v>55</v>
      </c>
      <c r="O2034" s="25" t="s">
        <v>28</v>
      </c>
      <c r="P2034" s="25" t="s">
        <v>33</v>
      </c>
    </row>
    <row r="2035" spans="1:16" x14ac:dyDescent="0.3">
      <c r="A2035" s="25">
        <v>2034</v>
      </c>
      <c r="B2035" s="26">
        <v>45650</v>
      </c>
      <c r="C2035" s="25" t="s">
        <v>69</v>
      </c>
      <c r="D2035" s="25" t="s">
        <v>22</v>
      </c>
      <c r="E2035" s="25" t="s">
        <v>96</v>
      </c>
      <c r="F2035" s="25">
        <v>1</v>
      </c>
      <c r="G2035" s="25" t="s">
        <v>97</v>
      </c>
      <c r="H2035" s="25">
        <v>300</v>
      </c>
      <c r="I2035" s="25">
        <v>265</v>
      </c>
      <c r="J2035" s="25">
        <v>300</v>
      </c>
      <c r="K2035" s="25">
        <v>265</v>
      </c>
      <c r="L2035" s="25">
        <v>35</v>
      </c>
      <c r="M2035" s="27">
        <v>13.207547169811299</v>
      </c>
      <c r="N2035" s="25" t="s">
        <v>55</v>
      </c>
      <c r="O2035" s="25" t="s">
        <v>28</v>
      </c>
      <c r="P2035" s="25" t="s">
        <v>33</v>
      </c>
    </row>
    <row r="2036" spans="1:16" x14ac:dyDescent="0.3">
      <c r="A2036" s="25">
        <v>2035</v>
      </c>
      <c r="B2036" s="26">
        <v>45650</v>
      </c>
      <c r="C2036" s="25" t="s">
        <v>69</v>
      </c>
      <c r="D2036" s="25" t="s">
        <v>22</v>
      </c>
      <c r="E2036" s="25" t="s">
        <v>101</v>
      </c>
      <c r="F2036" s="25">
        <v>6</v>
      </c>
      <c r="G2036" s="25" t="s">
        <v>102</v>
      </c>
      <c r="H2036" s="25">
        <v>6</v>
      </c>
      <c r="I2036" s="25">
        <v>4</v>
      </c>
      <c r="J2036" s="25">
        <v>36</v>
      </c>
      <c r="K2036" s="25">
        <v>24</v>
      </c>
      <c r="L2036" s="25">
        <v>12</v>
      </c>
      <c r="M2036" s="27">
        <v>50</v>
      </c>
      <c r="N2036" s="25" t="s">
        <v>55</v>
      </c>
      <c r="O2036" s="25" t="s">
        <v>28</v>
      </c>
      <c r="P2036" s="25" t="s">
        <v>32</v>
      </c>
    </row>
    <row r="2037" spans="1:16" x14ac:dyDescent="0.3">
      <c r="A2037" s="25">
        <v>2036</v>
      </c>
      <c r="B2037" s="26">
        <v>45650</v>
      </c>
      <c r="C2037" s="25" t="s">
        <v>69</v>
      </c>
      <c r="D2037" s="25" t="s">
        <v>22</v>
      </c>
      <c r="E2037" s="25" t="s">
        <v>92</v>
      </c>
      <c r="F2037" s="25">
        <v>2.5</v>
      </c>
      <c r="G2037" s="25" t="s">
        <v>91</v>
      </c>
      <c r="H2037" s="25">
        <v>260</v>
      </c>
      <c r="I2037" s="25">
        <v>220</v>
      </c>
      <c r="J2037" s="25">
        <v>650</v>
      </c>
      <c r="K2037" s="25">
        <v>550</v>
      </c>
      <c r="L2037" s="25">
        <v>100</v>
      </c>
      <c r="M2037" s="27">
        <v>18.181818181818201</v>
      </c>
      <c r="N2037" s="25" t="s">
        <v>55</v>
      </c>
      <c r="O2037" s="25" t="s">
        <v>28</v>
      </c>
      <c r="P2037" s="25" t="s">
        <v>32</v>
      </c>
    </row>
    <row r="2038" spans="1:16" x14ac:dyDescent="0.3">
      <c r="A2038" s="25">
        <v>2037</v>
      </c>
      <c r="B2038" s="26">
        <v>45650</v>
      </c>
      <c r="C2038" s="25" t="s">
        <v>69</v>
      </c>
      <c r="D2038" s="25" t="s">
        <v>21</v>
      </c>
      <c r="E2038" s="25" t="s">
        <v>88</v>
      </c>
      <c r="F2038" s="25">
        <v>2</v>
      </c>
      <c r="G2038" s="25" t="s">
        <v>89</v>
      </c>
      <c r="H2038" s="25">
        <v>130</v>
      </c>
      <c r="I2038" s="25">
        <v>100</v>
      </c>
      <c r="J2038" s="25">
        <v>260</v>
      </c>
      <c r="K2038" s="25">
        <v>200</v>
      </c>
      <c r="L2038" s="25">
        <v>60</v>
      </c>
      <c r="M2038" s="27">
        <v>30</v>
      </c>
      <c r="N2038" s="25" t="s">
        <v>55</v>
      </c>
      <c r="O2038" s="25" t="s">
        <v>27</v>
      </c>
      <c r="P2038" s="25" t="s">
        <v>32</v>
      </c>
    </row>
    <row r="2039" spans="1:16" x14ac:dyDescent="0.3">
      <c r="A2039" s="25">
        <v>2038</v>
      </c>
      <c r="B2039" s="26">
        <v>45650</v>
      </c>
      <c r="C2039" s="25" t="s">
        <v>69</v>
      </c>
      <c r="D2039" s="25" t="s">
        <v>21</v>
      </c>
      <c r="E2039" s="25" t="s">
        <v>88</v>
      </c>
      <c r="F2039" s="25">
        <v>3</v>
      </c>
      <c r="G2039" s="25" t="s">
        <v>89</v>
      </c>
      <c r="H2039" s="25">
        <v>130</v>
      </c>
      <c r="I2039" s="25">
        <v>100</v>
      </c>
      <c r="J2039" s="25">
        <v>390</v>
      </c>
      <c r="K2039" s="25">
        <v>300</v>
      </c>
      <c r="L2039" s="25">
        <v>90</v>
      </c>
      <c r="M2039" s="27">
        <v>30</v>
      </c>
      <c r="N2039" s="25" t="s">
        <v>55</v>
      </c>
      <c r="O2039" s="25" t="s">
        <v>27</v>
      </c>
      <c r="P2039" s="25" t="s">
        <v>32</v>
      </c>
    </row>
    <row r="2040" spans="1:16" x14ac:dyDescent="0.3">
      <c r="A2040" s="25">
        <v>2039</v>
      </c>
      <c r="B2040" s="26">
        <v>45650</v>
      </c>
      <c r="C2040" s="25" t="s">
        <v>69</v>
      </c>
      <c r="D2040" s="25" t="s">
        <v>21</v>
      </c>
      <c r="E2040" s="25" t="s">
        <v>94</v>
      </c>
      <c r="F2040" s="25">
        <v>10</v>
      </c>
      <c r="G2040" s="25" t="s">
        <v>89</v>
      </c>
      <c r="H2040" s="25">
        <v>30</v>
      </c>
      <c r="I2040" s="25">
        <v>26</v>
      </c>
      <c r="J2040" s="25">
        <v>300</v>
      </c>
      <c r="K2040" s="25">
        <v>260</v>
      </c>
      <c r="L2040" s="25">
        <v>40</v>
      </c>
      <c r="M2040" s="27">
        <v>15.384615384615399</v>
      </c>
      <c r="N2040" s="25" t="s">
        <v>55</v>
      </c>
      <c r="O2040" s="25" t="s">
        <v>27</v>
      </c>
      <c r="P2040" s="25" t="s">
        <v>32</v>
      </c>
    </row>
    <row r="2041" spans="1:16" x14ac:dyDescent="0.3">
      <c r="A2041" s="25">
        <v>2040</v>
      </c>
      <c r="B2041" s="26">
        <v>45650</v>
      </c>
      <c r="C2041" s="25" t="s">
        <v>69</v>
      </c>
      <c r="D2041" s="25" t="s">
        <v>22</v>
      </c>
      <c r="E2041" s="25" t="s">
        <v>92</v>
      </c>
      <c r="F2041" s="25">
        <v>0.25</v>
      </c>
      <c r="G2041" s="25" t="s">
        <v>91</v>
      </c>
      <c r="H2041" s="25">
        <v>260</v>
      </c>
      <c r="I2041" s="25">
        <v>220</v>
      </c>
      <c r="J2041" s="25">
        <v>65</v>
      </c>
      <c r="K2041" s="25">
        <v>55</v>
      </c>
      <c r="L2041" s="25">
        <v>10</v>
      </c>
      <c r="M2041" s="27">
        <v>18.181818181818201</v>
      </c>
      <c r="N2041" s="25" t="s">
        <v>55</v>
      </c>
      <c r="O2041" s="25" t="s">
        <v>28</v>
      </c>
      <c r="P2041" s="25" t="s">
        <v>32</v>
      </c>
    </row>
    <row r="2042" spans="1:16" x14ac:dyDescent="0.3">
      <c r="A2042" s="25">
        <v>2041</v>
      </c>
      <c r="B2042" s="26">
        <v>45651</v>
      </c>
      <c r="C2042" s="25" t="s">
        <v>69</v>
      </c>
      <c r="D2042" s="25" t="s">
        <v>22</v>
      </c>
      <c r="E2042" s="25" t="s">
        <v>90</v>
      </c>
      <c r="F2042" s="25">
        <v>2</v>
      </c>
      <c r="G2042" s="25" t="s">
        <v>91</v>
      </c>
      <c r="H2042" s="25">
        <v>280</v>
      </c>
      <c r="I2042" s="25">
        <v>240</v>
      </c>
      <c r="J2042" s="25">
        <v>560</v>
      </c>
      <c r="K2042" s="25">
        <v>480</v>
      </c>
      <c r="L2042" s="25">
        <v>80</v>
      </c>
      <c r="M2042" s="27">
        <v>16.6666666666667</v>
      </c>
      <c r="N2042" s="25" t="s">
        <v>55</v>
      </c>
      <c r="O2042" s="25" t="s">
        <v>28</v>
      </c>
      <c r="P2042" s="25" t="s">
        <v>32</v>
      </c>
    </row>
    <row r="2043" spans="1:16" x14ac:dyDescent="0.3">
      <c r="A2043" s="25">
        <v>2042</v>
      </c>
      <c r="B2043" s="26">
        <v>45651</v>
      </c>
      <c r="C2043" s="25" t="s">
        <v>69</v>
      </c>
      <c r="D2043" s="25" t="s">
        <v>22</v>
      </c>
      <c r="E2043" s="25" t="s">
        <v>103</v>
      </c>
      <c r="F2043" s="25">
        <v>1</v>
      </c>
      <c r="G2043" s="25" t="s">
        <v>102</v>
      </c>
      <c r="H2043" s="25">
        <v>30</v>
      </c>
      <c r="I2043" s="25">
        <v>20</v>
      </c>
      <c r="J2043" s="25">
        <v>30</v>
      </c>
      <c r="K2043" s="25">
        <v>20</v>
      </c>
      <c r="L2043" s="25">
        <v>10</v>
      </c>
      <c r="M2043" s="27">
        <v>50</v>
      </c>
      <c r="N2043" s="25" t="s">
        <v>55</v>
      </c>
      <c r="O2043" s="25" t="s">
        <v>28</v>
      </c>
      <c r="P2043" s="25" t="s">
        <v>33</v>
      </c>
    </row>
    <row r="2044" spans="1:16" x14ac:dyDescent="0.3">
      <c r="A2044" s="25">
        <v>2043</v>
      </c>
      <c r="B2044" s="26">
        <v>45651</v>
      </c>
      <c r="C2044" s="25" t="s">
        <v>69</v>
      </c>
      <c r="D2044" s="25" t="s">
        <v>22</v>
      </c>
      <c r="E2044" s="25" t="s">
        <v>101</v>
      </c>
      <c r="F2044" s="25">
        <v>6</v>
      </c>
      <c r="G2044" s="25" t="s">
        <v>102</v>
      </c>
      <c r="H2044" s="25">
        <v>6</v>
      </c>
      <c r="I2044" s="25">
        <v>4</v>
      </c>
      <c r="J2044" s="25">
        <v>36</v>
      </c>
      <c r="K2044" s="25">
        <v>24</v>
      </c>
      <c r="L2044" s="25">
        <v>12</v>
      </c>
      <c r="M2044" s="27">
        <v>50</v>
      </c>
      <c r="N2044" s="25" t="s">
        <v>55</v>
      </c>
      <c r="O2044" s="25" t="s">
        <v>28</v>
      </c>
      <c r="P2044" s="25" t="s">
        <v>33</v>
      </c>
    </row>
    <row r="2045" spans="1:16" x14ac:dyDescent="0.3">
      <c r="A2045" s="25">
        <v>2044</v>
      </c>
      <c r="B2045" s="26">
        <v>45651</v>
      </c>
      <c r="C2045" s="25" t="s">
        <v>69</v>
      </c>
      <c r="D2045" s="25" t="s">
        <v>22</v>
      </c>
      <c r="E2045" s="25" t="s">
        <v>90</v>
      </c>
      <c r="F2045" s="25">
        <v>1</v>
      </c>
      <c r="G2045" s="25" t="s">
        <v>91</v>
      </c>
      <c r="H2045" s="25">
        <v>280</v>
      </c>
      <c r="I2045" s="25">
        <v>240</v>
      </c>
      <c r="J2045" s="25">
        <v>280</v>
      </c>
      <c r="K2045" s="25">
        <v>240</v>
      </c>
      <c r="L2045" s="25">
        <v>40</v>
      </c>
      <c r="M2045" s="27">
        <v>16.6666666666667</v>
      </c>
      <c r="N2045" s="25" t="s">
        <v>55</v>
      </c>
      <c r="O2045" s="25" t="s">
        <v>28</v>
      </c>
      <c r="P2045" s="25" t="s">
        <v>32</v>
      </c>
    </row>
    <row r="2046" spans="1:16" x14ac:dyDescent="0.3">
      <c r="A2046" s="25">
        <v>2045</v>
      </c>
      <c r="B2046" s="26">
        <v>45651</v>
      </c>
      <c r="C2046" s="25" t="s">
        <v>69</v>
      </c>
      <c r="D2046" s="25" t="s">
        <v>22</v>
      </c>
      <c r="E2046" s="25" t="s">
        <v>101</v>
      </c>
      <c r="F2046" s="25">
        <v>6</v>
      </c>
      <c r="G2046" s="25" t="s">
        <v>102</v>
      </c>
      <c r="H2046" s="25">
        <v>6</v>
      </c>
      <c r="I2046" s="25">
        <v>4</v>
      </c>
      <c r="J2046" s="25">
        <v>36</v>
      </c>
      <c r="K2046" s="25">
        <v>24</v>
      </c>
      <c r="L2046" s="25">
        <v>12</v>
      </c>
      <c r="M2046" s="27">
        <v>50</v>
      </c>
      <c r="N2046" s="25" t="s">
        <v>55</v>
      </c>
      <c r="O2046" s="25" t="s">
        <v>28</v>
      </c>
      <c r="P2046" s="25" t="s">
        <v>32</v>
      </c>
    </row>
    <row r="2047" spans="1:16" x14ac:dyDescent="0.3">
      <c r="A2047" s="25">
        <v>2046</v>
      </c>
      <c r="B2047" s="26">
        <v>45651</v>
      </c>
      <c r="C2047" s="25" t="s">
        <v>69</v>
      </c>
      <c r="D2047" s="25" t="s">
        <v>21</v>
      </c>
      <c r="E2047" s="25" t="s">
        <v>88</v>
      </c>
      <c r="F2047" s="25">
        <v>2</v>
      </c>
      <c r="G2047" s="25" t="s">
        <v>89</v>
      </c>
      <c r="H2047" s="25">
        <v>130</v>
      </c>
      <c r="I2047" s="25">
        <v>100</v>
      </c>
      <c r="J2047" s="25">
        <v>260</v>
      </c>
      <c r="K2047" s="25">
        <v>200</v>
      </c>
      <c r="L2047" s="25">
        <v>60</v>
      </c>
      <c r="M2047" s="27">
        <v>30</v>
      </c>
      <c r="N2047" s="25" t="s">
        <v>55</v>
      </c>
      <c r="O2047" s="25" t="s">
        <v>27</v>
      </c>
      <c r="P2047" s="25" t="s">
        <v>32</v>
      </c>
    </row>
    <row r="2048" spans="1:16" x14ac:dyDescent="0.3">
      <c r="A2048" s="25">
        <v>2047</v>
      </c>
      <c r="B2048" s="26">
        <v>45652</v>
      </c>
      <c r="C2048" s="25" t="s">
        <v>69</v>
      </c>
      <c r="D2048" s="25" t="s">
        <v>22</v>
      </c>
      <c r="E2048" s="25" t="s">
        <v>90</v>
      </c>
      <c r="F2048" s="25">
        <v>2.25</v>
      </c>
      <c r="G2048" s="25" t="s">
        <v>91</v>
      </c>
      <c r="H2048" s="25">
        <v>280</v>
      </c>
      <c r="I2048" s="25">
        <v>240</v>
      </c>
      <c r="J2048" s="25">
        <v>630</v>
      </c>
      <c r="K2048" s="25">
        <v>540</v>
      </c>
      <c r="L2048" s="25">
        <v>90</v>
      </c>
      <c r="M2048" s="27">
        <v>16.6666666666667</v>
      </c>
      <c r="N2048" s="25" t="s">
        <v>55</v>
      </c>
      <c r="O2048" s="25" t="s">
        <v>28</v>
      </c>
      <c r="P2048" s="25" t="s">
        <v>32</v>
      </c>
    </row>
    <row r="2049" spans="1:16" x14ac:dyDescent="0.3">
      <c r="A2049" s="25">
        <v>2048</v>
      </c>
      <c r="B2049" s="26">
        <v>45652</v>
      </c>
      <c r="C2049" s="25" t="s">
        <v>69</v>
      </c>
      <c r="D2049" s="25" t="s">
        <v>22</v>
      </c>
      <c r="E2049" s="25" t="s">
        <v>92</v>
      </c>
      <c r="F2049" s="25">
        <v>2</v>
      </c>
      <c r="G2049" s="25" t="s">
        <v>91</v>
      </c>
      <c r="H2049" s="25">
        <v>260</v>
      </c>
      <c r="I2049" s="25">
        <v>220</v>
      </c>
      <c r="J2049" s="25">
        <v>520</v>
      </c>
      <c r="K2049" s="25">
        <v>440</v>
      </c>
      <c r="L2049" s="25">
        <v>80</v>
      </c>
      <c r="M2049" s="27">
        <v>18.181818181818201</v>
      </c>
      <c r="N2049" s="25" t="s">
        <v>55</v>
      </c>
      <c r="O2049" s="25" t="s">
        <v>28</v>
      </c>
      <c r="P2049" s="25" t="s">
        <v>33</v>
      </c>
    </row>
    <row r="2050" spans="1:16" x14ac:dyDescent="0.3">
      <c r="A2050" s="25">
        <v>2049</v>
      </c>
      <c r="B2050" s="26">
        <v>45652</v>
      </c>
      <c r="C2050" s="25" t="s">
        <v>69</v>
      </c>
      <c r="D2050" s="25" t="s">
        <v>22</v>
      </c>
      <c r="E2050" s="25" t="s">
        <v>96</v>
      </c>
      <c r="F2050" s="25">
        <v>1</v>
      </c>
      <c r="G2050" s="25" t="s">
        <v>97</v>
      </c>
      <c r="H2050" s="25">
        <v>300</v>
      </c>
      <c r="I2050" s="25">
        <v>265</v>
      </c>
      <c r="J2050" s="25">
        <v>300</v>
      </c>
      <c r="K2050" s="25">
        <v>265</v>
      </c>
      <c r="L2050" s="25">
        <v>35</v>
      </c>
      <c r="M2050" s="27">
        <v>13.207547169811299</v>
      </c>
      <c r="N2050" s="25" t="s">
        <v>55</v>
      </c>
      <c r="O2050" s="25" t="s">
        <v>28</v>
      </c>
      <c r="P2050" s="25" t="s">
        <v>33</v>
      </c>
    </row>
    <row r="2051" spans="1:16" x14ac:dyDescent="0.3">
      <c r="A2051" s="25">
        <v>2050</v>
      </c>
      <c r="B2051" s="26">
        <v>45652</v>
      </c>
      <c r="C2051" s="25" t="s">
        <v>69</v>
      </c>
      <c r="D2051" s="25" t="s">
        <v>22</v>
      </c>
      <c r="E2051" s="25" t="s">
        <v>92</v>
      </c>
      <c r="F2051" s="25">
        <v>1</v>
      </c>
      <c r="G2051" s="25" t="s">
        <v>91</v>
      </c>
      <c r="H2051" s="25">
        <v>260</v>
      </c>
      <c r="I2051" s="25">
        <v>220</v>
      </c>
      <c r="J2051" s="25">
        <v>260</v>
      </c>
      <c r="K2051" s="25">
        <v>220</v>
      </c>
      <c r="L2051" s="25">
        <v>40</v>
      </c>
      <c r="M2051" s="27">
        <v>18.181818181818201</v>
      </c>
      <c r="N2051" s="25" t="s">
        <v>55</v>
      </c>
      <c r="O2051" s="25" t="s">
        <v>28</v>
      </c>
      <c r="P2051" s="25" t="s">
        <v>32</v>
      </c>
    </row>
    <row r="2052" spans="1:16" x14ac:dyDescent="0.3">
      <c r="A2052" s="25">
        <v>2051</v>
      </c>
      <c r="B2052" s="26">
        <v>45652</v>
      </c>
      <c r="C2052" s="25" t="s">
        <v>69</v>
      </c>
      <c r="D2052" s="25" t="s">
        <v>22</v>
      </c>
      <c r="E2052" s="25" t="s">
        <v>101</v>
      </c>
      <c r="F2052" s="25">
        <v>6</v>
      </c>
      <c r="G2052" s="25" t="s">
        <v>102</v>
      </c>
      <c r="H2052" s="25">
        <v>6</v>
      </c>
      <c r="I2052" s="25">
        <v>4</v>
      </c>
      <c r="J2052" s="25">
        <v>36</v>
      </c>
      <c r="K2052" s="25">
        <v>24</v>
      </c>
      <c r="L2052" s="25">
        <v>12</v>
      </c>
      <c r="M2052" s="27">
        <v>50</v>
      </c>
      <c r="N2052" s="25" t="s">
        <v>55</v>
      </c>
      <c r="O2052" s="25" t="s">
        <v>28</v>
      </c>
      <c r="P2052" s="25" t="s">
        <v>32</v>
      </c>
    </row>
    <row r="2053" spans="1:16" x14ac:dyDescent="0.3">
      <c r="A2053" s="25">
        <v>2052</v>
      </c>
      <c r="B2053" s="26">
        <v>45652</v>
      </c>
      <c r="C2053" s="25" t="s">
        <v>69</v>
      </c>
      <c r="D2053" s="25" t="s">
        <v>21</v>
      </c>
      <c r="E2053" s="25" t="s">
        <v>88</v>
      </c>
      <c r="F2053" s="25">
        <v>2</v>
      </c>
      <c r="G2053" s="25" t="s">
        <v>89</v>
      </c>
      <c r="H2053" s="25">
        <v>130</v>
      </c>
      <c r="I2053" s="25">
        <v>100</v>
      </c>
      <c r="J2053" s="25">
        <v>260</v>
      </c>
      <c r="K2053" s="25">
        <v>200</v>
      </c>
      <c r="L2053" s="25">
        <v>60</v>
      </c>
      <c r="M2053" s="27">
        <v>30</v>
      </c>
      <c r="N2053" s="25" t="s">
        <v>55</v>
      </c>
      <c r="O2053" s="25" t="s">
        <v>27</v>
      </c>
      <c r="P2053" s="25" t="s">
        <v>32</v>
      </c>
    </row>
    <row r="2054" spans="1:16" x14ac:dyDescent="0.3">
      <c r="A2054" s="25">
        <v>2053</v>
      </c>
      <c r="B2054" s="26">
        <v>45652</v>
      </c>
      <c r="C2054" s="25" t="s">
        <v>69</v>
      </c>
      <c r="D2054" s="25" t="s">
        <v>22</v>
      </c>
      <c r="E2054" s="25" t="s">
        <v>92</v>
      </c>
      <c r="F2054" s="25">
        <v>0.25</v>
      </c>
      <c r="G2054" s="25" t="s">
        <v>91</v>
      </c>
      <c r="H2054" s="25">
        <v>260</v>
      </c>
      <c r="I2054" s="25">
        <v>220</v>
      </c>
      <c r="J2054" s="25">
        <v>65</v>
      </c>
      <c r="K2054" s="25">
        <v>55</v>
      </c>
      <c r="L2054" s="25">
        <v>10</v>
      </c>
      <c r="M2054" s="27">
        <v>18.181818181818201</v>
      </c>
      <c r="N2054" s="25" t="s">
        <v>55</v>
      </c>
      <c r="O2054" s="25" t="s">
        <v>28</v>
      </c>
      <c r="P2054" s="25" t="s">
        <v>33</v>
      </c>
    </row>
    <row r="2055" spans="1:16" x14ac:dyDescent="0.3">
      <c r="A2055" s="25">
        <v>2054</v>
      </c>
      <c r="B2055" s="26">
        <v>45652</v>
      </c>
      <c r="C2055" s="25" t="s">
        <v>69</v>
      </c>
      <c r="D2055" s="25" t="s">
        <v>21</v>
      </c>
      <c r="E2055" s="25" t="s">
        <v>88</v>
      </c>
      <c r="F2055" s="25">
        <v>2</v>
      </c>
      <c r="G2055" s="25" t="s">
        <v>89</v>
      </c>
      <c r="H2055" s="25">
        <v>130</v>
      </c>
      <c r="I2055" s="25">
        <v>100</v>
      </c>
      <c r="J2055" s="25">
        <v>260</v>
      </c>
      <c r="K2055" s="25">
        <v>200</v>
      </c>
      <c r="L2055" s="25">
        <v>60</v>
      </c>
      <c r="M2055" s="27">
        <v>30</v>
      </c>
      <c r="N2055" s="25" t="s">
        <v>55</v>
      </c>
      <c r="O2055" s="25" t="s">
        <v>27</v>
      </c>
      <c r="P2055" s="25" t="s">
        <v>32</v>
      </c>
    </row>
    <row r="2056" spans="1:16" x14ac:dyDescent="0.3">
      <c r="A2056" s="25">
        <v>2055</v>
      </c>
      <c r="B2056" s="26">
        <v>45652</v>
      </c>
      <c r="C2056" s="25" t="s">
        <v>69</v>
      </c>
      <c r="D2056" s="25" t="s">
        <v>22</v>
      </c>
      <c r="E2056" s="25" t="s">
        <v>90</v>
      </c>
      <c r="F2056" s="25">
        <v>2</v>
      </c>
      <c r="G2056" s="25" t="s">
        <v>91</v>
      </c>
      <c r="H2056" s="25">
        <v>280</v>
      </c>
      <c r="I2056" s="25">
        <v>240</v>
      </c>
      <c r="J2056" s="25">
        <v>560</v>
      </c>
      <c r="K2056" s="25">
        <v>480</v>
      </c>
      <c r="L2056" s="25">
        <v>80</v>
      </c>
      <c r="M2056" s="27">
        <v>16.6666666666667</v>
      </c>
      <c r="N2056" s="25" t="s">
        <v>55</v>
      </c>
      <c r="O2056" s="25" t="s">
        <v>28</v>
      </c>
      <c r="P2056" s="25" t="s">
        <v>33</v>
      </c>
    </row>
    <row r="2057" spans="1:16" x14ac:dyDescent="0.3">
      <c r="A2057" s="25">
        <v>2056</v>
      </c>
      <c r="B2057" s="26">
        <v>45652</v>
      </c>
      <c r="C2057" s="25" t="s">
        <v>69</v>
      </c>
      <c r="D2057" s="25" t="s">
        <v>22</v>
      </c>
      <c r="E2057" s="25" t="s">
        <v>92</v>
      </c>
      <c r="F2057" s="25">
        <v>2</v>
      </c>
      <c r="G2057" s="25" t="s">
        <v>91</v>
      </c>
      <c r="H2057" s="25">
        <v>260</v>
      </c>
      <c r="I2057" s="25">
        <v>220</v>
      </c>
      <c r="J2057" s="25">
        <v>520</v>
      </c>
      <c r="K2057" s="25">
        <v>440</v>
      </c>
      <c r="L2057" s="25">
        <v>80</v>
      </c>
      <c r="M2057" s="27">
        <v>18.181818181818201</v>
      </c>
      <c r="N2057" s="25" t="s">
        <v>55</v>
      </c>
      <c r="O2057" s="25" t="s">
        <v>28</v>
      </c>
      <c r="P2057" s="25" t="s">
        <v>32</v>
      </c>
    </row>
    <row r="2058" spans="1:16" x14ac:dyDescent="0.3">
      <c r="A2058" s="25">
        <v>2057</v>
      </c>
      <c r="B2058" s="26">
        <v>45652</v>
      </c>
      <c r="C2058" s="25" t="s">
        <v>69</v>
      </c>
      <c r="D2058" s="25" t="s">
        <v>22</v>
      </c>
      <c r="E2058" s="25" t="s">
        <v>96</v>
      </c>
      <c r="F2058" s="25">
        <v>1</v>
      </c>
      <c r="G2058" s="25" t="s">
        <v>97</v>
      </c>
      <c r="H2058" s="25">
        <v>300</v>
      </c>
      <c r="I2058" s="25">
        <v>265</v>
      </c>
      <c r="J2058" s="25">
        <v>300</v>
      </c>
      <c r="K2058" s="25">
        <v>265</v>
      </c>
      <c r="L2058" s="25">
        <v>35</v>
      </c>
      <c r="M2058" s="27">
        <v>13.207547169811299</v>
      </c>
      <c r="N2058" s="25" t="s">
        <v>55</v>
      </c>
      <c r="O2058" s="25" t="s">
        <v>28</v>
      </c>
      <c r="P2058" s="25" t="s">
        <v>32</v>
      </c>
    </row>
    <row r="2059" spans="1:16" x14ac:dyDescent="0.3">
      <c r="A2059" s="25">
        <v>2058</v>
      </c>
      <c r="B2059" s="26">
        <v>45652</v>
      </c>
      <c r="C2059" s="25" t="s">
        <v>69</v>
      </c>
      <c r="D2059" s="25" t="s">
        <v>22</v>
      </c>
      <c r="E2059" s="25" t="s">
        <v>101</v>
      </c>
      <c r="F2059" s="25">
        <v>12</v>
      </c>
      <c r="G2059" s="25" t="s">
        <v>102</v>
      </c>
      <c r="H2059" s="25">
        <v>6</v>
      </c>
      <c r="I2059" s="25">
        <v>4</v>
      </c>
      <c r="J2059" s="25">
        <v>72</v>
      </c>
      <c r="K2059" s="25">
        <v>48</v>
      </c>
      <c r="L2059" s="25">
        <v>24</v>
      </c>
      <c r="M2059" s="27">
        <v>50</v>
      </c>
      <c r="N2059" s="25" t="s">
        <v>55</v>
      </c>
      <c r="O2059" s="25" t="s">
        <v>28</v>
      </c>
      <c r="P2059" s="25" t="s">
        <v>32</v>
      </c>
    </row>
    <row r="2060" spans="1:16" x14ac:dyDescent="0.3">
      <c r="A2060" s="25">
        <v>2059</v>
      </c>
      <c r="B2060" s="26">
        <v>45652</v>
      </c>
      <c r="C2060" s="25" t="s">
        <v>69</v>
      </c>
      <c r="D2060" s="25" t="s">
        <v>22</v>
      </c>
      <c r="E2060" s="25" t="s">
        <v>92</v>
      </c>
      <c r="F2060" s="25">
        <v>2</v>
      </c>
      <c r="G2060" s="25" t="s">
        <v>91</v>
      </c>
      <c r="H2060" s="25">
        <v>260</v>
      </c>
      <c r="I2060" s="25">
        <v>220</v>
      </c>
      <c r="J2060" s="25">
        <v>520</v>
      </c>
      <c r="K2060" s="25">
        <v>440</v>
      </c>
      <c r="L2060" s="25">
        <v>80</v>
      </c>
      <c r="M2060" s="27">
        <v>18.181818181818201</v>
      </c>
      <c r="N2060" s="25" t="s">
        <v>55</v>
      </c>
      <c r="O2060" s="25" t="s">
        <v>28</v>
      </c>
      <c r="P2060" s="25" t="s">
        <v>32</v>
      </c>
    </row>
    <row r="2061" spans="1:16" x14ac:dyDescent="0.3">
      <c r="A2061" s="25">
        <v>2060</v>
      </c>
      <c r="B2061" s="26">
        <v>45653</v>
      </c>
      <c r="C2061" s="25" t="s">
        <v>69</v>
      </c>
      <c r="D2061" s="25" t="s">
        <v>22</v>
      </c>
      <c r="E2061" s="25" t="s">
        <v>90</v>
      </c>
      <c r="F2061" s="25">
        <v>2.5</v>
      </c>
      <c r="G2061" s="25" t="s">
        <v>91</v>
      </c>
      <c r="H2061" s="25">
        <v>280</v>
      </c>
      <c r="I2061" s="25">
        <v>240</v>
      </c>
      <c r="J2061" s="25">
        <v>700</v>
      </c>
      <c r="K2061" s="25">
        <v>600</v>
      </c>
      <c r="L2061" s="25">
        <v>100</v>
      </c>
      <c r="M2061" s="27">
        <v>16.6666666666667</v>
      </c>
      <c r="N2061" s="25" t="s">
        <v>55</v>
      </c>
      <c r="O2061" s="25" t="s">
        <v>28</v>
      </c>
      <c r="P2061" s="25" t="s">
        <v>32</v>
      </c>
    </row>
    <row r="2062" spans="1:16" x14ac:dyDescent="0.3">
      <c r="A2062" s="25">
        <v>2061</v>
      </c>
      <c r="B2062" s="26">
        <v>45653</v>
      </c>
      <c r="C2062" s="25" t="s">
        <v>69</v>
      </c>
      <c r="D2062" s="25" t="s">
        <v>22</v>
      </c>
      <c r="E2062" s="25" t="s">
        <v>103</v>
      </c>
      <c r="F2062" s="25">
        <v>1</v>
      </c>
      <c r="G2062" s="25" t="s">
        <v>102</v>
      </c>
      <c r="H2062" s="25">
        <v>30</v>
      </c>
      <c r="I2062" s="25">
        <v>20</v>
      </c>
      <c r="J2062" s="25">
        <v>30</v>
      </c>
      <c r="K2062" s="25">
        <v>20</v>
      </c>
      <c r="L2062" s="25">
        <v>10</v>
      </c>
      <c r="M2062" s="27">
        <v>50</v>
      </c>
      <c r="N2062" s="25" t="s">
        <v>55</v>
      </c>
      <c r="O2062" s="25" t="s">
        <v>28</v>
      </c>
      <c r="P2062" s="25" t="s">
        <v>32</v>
      </c>
    </row>
    <row r="2063" spans="1:16" x14ac:dyDescent="0.3">
      <c r="A2063" s="25">
        <v>2062</v>
      </c>
      <c r="B2063" s="26">
        <v>45653</v>
      </c>
      <c r="C2063" s="25" t="s">
        <v>69</v>
      </c>
      <c r="D2063" s="25" t="s">
        <v>22</v>
      </c>
      <c r="E2063" s="25" t="s">
        <v>96</v>
      </c>
      <c r="F2063" s="25">
        <v>0.5</v>
      </c>
      <c r="G2063" s="25" t="s">
        <v>97</v>
      </c>
      <c r="H2063" s="25">
        <v>300</v>
      </c>
      <c r="I2063" s="25">
        <v>265</v>
      </c>
      <c r="J2063" s="25">
        <v>150</v>
      </c>
      <c r="K2063" s="25">
        <v>132.5</v>
      </c>
      <c r="L2063" s="25">
        <v>17.5</v>
      </c>
      <c r="M2063" s="27">
        <v>13.207547169811299</v>
      </c>
      <c r="N2063" s="25" t="s">
        <v>55</v>
      </c>
      <c r="O2063" s="25" t="s">
        <v>28</v>
      </c>
      <c r="P2063" s="25" t="s">
        <v>32</v>
      </c>
    </row>
    <row r="2064" spans="1:16" x14ac:dyDescent="0.3">
      <c r="A2064" s="25">
        <v>2063</v>
      </c>
      <c r="B2064" s="26">
        <v>45653</v>
      </c>
      <c r="C2064" s="25" t="s">
        <v>69</v>
      </c>
      <c r="D2064" s="25" t="s">
        <v>22</v>
      </c>
      <c r="E2064" s="25" t="s">
        <v>92</v>
      </c>
      <c r="F2064" s="25">
        <v>0.25</v>
      </c>
      <c r="G2064" s="25" t="s">
        <v>91</v>
      </c>
      <c r="H2064" s="25">
        <v>260</v>
      </c>
      <c r="I2064" s="25">
        <v>220</v>
      </c>
      <c r="J2064" s="25">
        <v>65</v>
      </c>
      <c r="K2064" s="25">
        <v>55</v>
      </c>
      <c r="L2064" s="25">
        <v>10</v>
      </c>
      <c r="M2064" s="27">
        <v>18.181818181818201</v>
      </c>
      <c r="N2064" s="25" t="s">
        <v>55</v>
      </c>
      <c r="O2064" s="25" t="s">
        <v>28</v>
      </c>
      <c r="P2064" s="25" t="s">
        <v>32</v>
      </c>
    </row>
    <row r="2065" spans="1:16" x14ac:dyDescent="0.3">
      <c r="A2065" s="25">
        <v>2064</v>
      </c>
      <c r="B2065" s="26">
        <v>45653</v>
      </c>
      <c r="C2065" s="25" t="s">
        <v>69</v>
      </c>
      <c r="D2065" s="25" t="s">
        <v>22</v>
      </c>
      <c r="E2065" s="25" t="s">
        <v>101</v>
      </c>
      <c r="F2065" s="25">
        <v>6</v>
      </c>
      <c r="G2065" s="25" t="s">
        <v>102</v>
      </c>
      <c r="H2065" s="25">
        <v>6</v>
      </c>
      <c r="I2065" s="25">
        <v>4</v>
      </c>
      <c r="J2065" s="25">
        <v>36</v>
      </c>
      <c r="K2065" s="25">
        <v>24</v>
      </c>
      <c r="L2065" s="25">
        <v>12</v>
      </c>
      <c r="M2065" s="27">
        <v>50</v>
      </c>
      <c r="N2065" s="25" t="s">
        <v>55</v>
      </c>
      <c r="O2065" s="25" t="s">
        <v>28</v>
      </c>
      <c r="P2065" s="25" t="s">
        <v>32</v>
      </c>
    </row>
    <row r="2066" spans="1:16" x14ac:dyDescent="0.3">
      <c r="A2066" s="25">
        <v>2065</v>
      </c>
      <c r="B2066" s="26">
        <v>45654</v>
      </c>
      <c r="C2066" s="25" t="s">
        <v>69</v>
      </c>
      <c r="D2066" s="25" t="s">
        <v>22</v>
      </c>
      <c r="E2066" s="25" t="s">
        <v>90</v>
      </c>
      <c r="F2066" s="25">
        <v>1</v>
      </c>
      <c r="G2066" s="25" t="s">
        <v>91</v>
      </c>
      <c r="H2066" s="25">
        <v>280</v>
      </c>
      <c r="I2066" s="25">
        <v>240</v>
      </c>
      <c r="J2066" s="25">
        <v>280</v>
      </c>
      <c r="K2066" s="25">
        <v>240</v>
      </c>
      <c r="L2066" s="25">
        <v>40</v>
      </c>
      <c r="M2066" s="27">
        <v>16.6666666666667</v>
      </c>
      <c r="N2066" s="25" t="s">
        <v>55</v>
      </c>
      <c r="O2066" s="25" t="s">
        <v>28</v>
      </c>
      <c r="P2066" s="25" t="s">
        <v>32</v>
      </c>
    </row>
    <row r="2067" spans="1:16" x14ac:dyDescent="0.3">
      <c r="A2067" s="25">
        <v>2066</v>
      </c>
      <c r="B2067" s="26">
        <v>45654</v>
      </c>
      <c r="C2067" s="25" t="s">
        <v>69</v>
      </c>
      <c r="D2067" s="25" t="s">
        <v>22</v>
      </c>
      <c r="E2067" s="25" t="s">
        <v>90</v>
      </c>
      <c r="F2067" s="25">
        <v>1.5</v>
      </c>
      <c r="G2067" s="25" t="s">
        <v>91</v>
      </c>
      <c r="H2067" s="25">
        <v>280</v>
      </c>
      <c r="I2067" s="25">
        <v>240</v>
      </c>
      <c r="J2067" s="25">
        <v>420</v>
      </c>
      <c r="K2067" s="25">
        <v>360</v>
      </c>
      <c r="L2067" s="25">
        <v>60</v>
      </c>
      <c r="M2067" s="27">
        <v>16.6666666666667</v>
      </c>
      <c r="N2067" s="25" t="s">
        <v>55</v>
      </c>
      <c r="O2067" s="25" t="s">
        <v>28</v>
      </c>
      <c r="P2067" s="25" t="s">
        <v>32</v>
      </c>
    </row>
    <row r="2068" spans="1:16" x14ac:dyDescent="0.3">
      <c r="A2068" s="25">
        <v>2067</v>
      </c>
      <c r="B2068" s="26">
        <v>45654</v>
      </c>
      <c r="C2068" s="25" t="s">
        <v>69</v>
      </c>
      <c r="D2068" s="25" t="s">
        <v>22</v>
      </c>
      <c r="E2068" s="25" t="s">
        <v>92</v>
      </c>
      <c r="F2068" s="25">
        <v>0.25</v>
      </c>
      <c r="G2068" s="25" t="s">
        <v>91</v>
      </c>
      <c r="H2068" s="25">
        <v>260</v>
      </c>
      <c r="I2068" s="25">
        <v>220</v>
      </c>
      <c r="J2068" s="25">
        <v>65</v>
      </c>
      <c r="K2068" s="25">
        <v>55</v>
      </c>
      <c r="L2068" s="25">
        <v>10</v>
      </c>
      <c r="M2068" s="27">
        <v>18.181818181818201</v>
      </c>
      <c r="N2068" s="25" t="s">
        <v>55</v>
      </c>
      <c r="O2068" s="25" t="s">
        <v>28</v>
      </c>
      <c r="P2068" s="25" t="s">
        <v>32</v>
      </c>
    </row>
    <row r="2069" spans="1:16" x14ac:dyDescent="0.3">
      <c r="A2069" s="25">
        <v>2068</v>
      </c>
      <c r="B2069" s="26">
        <v>45654</v>
      </c>
      <c r="C2069" s="25" t="s">
        <v>69</v>
      </c>
      <c r="D2069" s="25" t="s">
        <v>22</v>
      </c>
      <c r="E2069" s="25" t="s">
        <v>96</v>
      </c>
      <c r="F2069" s="25">
        <v>1</v>
      </c>
      <c r="G2069" s="25" t="s">
        <v>97</v>
      </c>
      <c r="H2069" s="25">
        <v>300</v>
      </c>
      <c r="I2069" s="25">
        <v>265</v>
      </c>
      <c r="J2069" s="25">
        <v>300</v>
      </c>
      <c r="K2069" s="25">
        <v>265</v>
      </c>
      <c r="L2069" s="25">
        <v>35</v>
      </c>
      <c r="M2069" s="27">
        <v>13.207547169811299</v>
      </c>
      <c r="N2069" s="25" t="s">
        <v>55</v>
      </c>
      <c r="O2069" s="25" t="s">
        <v>28</v>
      </c>
      <c r="P2069" s="25" t="s">
        <v>32</v>
      </c>
    </row>
    <row r="2070" spans="1:16" x14ac:dyDescent="0.3">
      <c r="A2070" s="25">
        <v>2069</v>
      </c>
      <c r="B2070" s="26">
        <v>45654</v>
      </c>
      <c r="C2070" s="25" t="s">
        <v>69</v>
      </c>
      <c r="D2070" s="25" t="s">
        <v>22</v>
      </c>
      <c r="E2070" s="25" t="s">
        <v>92</v>
      </c>
      <c r="F2070" s="25">
        <v>0.25</v>
      </c>
      <c r="G2070" s="25" t="s">
        <v>91</v>
      </c>
      <c r="H2070" s="25">
        <v>260</v>
      </c>
      <c r="I2070" s="25">
        <v>220</v>
      </c>
      <c r="J2070" s="25">
        <v>65</v>
      </c>
      <c r="K2070" s="25">
        <v>55</v>
      </c>
      <c r="L2070" s="25">
        <v>10</v>
      </c>
      <c r="M2070" s="27">
        <v>18.181818181818201</v>
      </c>
      <c r="N2070" s="25" t="s">
        <v>55</v>
      </c>
      <c r="O2070" s="25" t="s">
        <v>28</v>
      </c>
      <c r="P2070" s="25" t="s">
        <v>32</v>
      </c>
    </row>
    <row r="2071" spans="1:16" x14ac:dyDescent="0.3">
      <c r="A2071" s="25">
        <v>2070</v>
      </c>
      <c r="B2071" s="26">
        <v>45655</v>
      </c>
      <c r="C2071" s="25" t="s">
        <v>69</v>
      </c>
      <c r="D2071" s="25" t="s">
        <v>22</v>
      </c>
      <c r="E2071" s="25" t="s">
        <v>101</v>
      </c>
      <c r="F2071" s="25">
        <v>6</v>
      </c>
      <c r="G2071" s="25" t="s">
        <v>102</v>
      </c>
      <c r="H2071" s="25">
        <v>6</v>
      </c>
      <c r="I2071" s="25">
        <v>4</v>
      </c>
      <c r="J2071" s="25">
        <v>36</v>
      </c>
      <c r="K2071" s="25">
        <v>24</v>
      </c>
      <c r="L2071" s="25">
        <v>12</v>
      </c>
      <c r="M2071" s="27">
        <v>50</v>
      </c>
      <c r="N2071" s="25" t="s">
        <v>55</v>
      </c>
      <c r="O2071" s="25" t="s">
        <v>28</v>
      </c>
      <c r="P2071" s="25" t="s">
        <v>32</v>
      </c>
    </row>
    <row r="2072" spans="1:16" x14ac:dyDescent="0.3">
      <c r="A2072" s="25">
        <v>2071</v>
      </c>
      <c r="B2072" s="26">
        <v>45655</v>
      </c>
      <c r="C2072" s="25" t="s">
        <v>69</v>
      </c>
      <c r="D2072" s="25" t="s">
        <v>22</v>
      </c>
      <c r="E2072" s="25" t="s">
        <v>90</v>
      </c>
      <c r="F2072" s="25">
        <v>2.5</v>
      </c>
      <c r="G2072" s="25" t="s">
        <v>91</v>
      </c>
      <c r="H2072" s="25">
        <v>280</v>
      </c>
      <c r="I2072" s="25">
        <v>240</v>
      </c>
      <c r="J2072" s="25">
        <v>700</v>
      </c>
      <c r="K2072" s="25">
        <v>600</v>
      </c>
      <c r="L2072" s="25">
        <v>100</v>
      </c>
      <c r="M2072" s="27">
        <v>16.6666666666667</v>
      </c>
      <c r="N2072" s="25" t="s">
        <v>55</v>
      </c>
      <c r="O2072" s="25" t="s">
        <v>28</v>
      </c>
      <c r="P2072" s="25" t="s">
        <v>33</v>
      </c>
    </row>
    <row r="2073" spans="1:16" x14ac:dyDescent="0.3">
      <c r="A2073" s="25">
        <v>2072</v>
      </c>
      <c r="B2073" s="26">
        <v>45655</v>
      </c>
      <c r="C2073" s="25" t="s">
        <v>69</v>
      </c>
      <c r="D2073" s="25" t="s">
        <v>22</v>
      </c>
      <c r="E2073" s="25" t="s">
        <v>90</v>
      </c>
      <c r="F2073" s="25">
        <v>2.25</v>
      </c>
      <c r="G2073" s="25" t="s">
        <v>91</v>
      </c>
      <c r="H2073" s="25">
        <v>280</v>
      </c>
      <c r="I2073" s="25">
        <v>240</v>
      </c>
      <c r="J2073" s="25">
        <v>630</v>
      </c>
      <c r="K2073" s="25">
        <v>540</v>
      </c>
      <c r="L2073" s="25">
        <v>90</v>
      </c>
      <c r="M2073" s="27">
        <v>16.6666666666667</v>
      </c>
      <c r="N2073" s="25" t="s">
        <v>55</v>
      </c>
      <c r="O2073" s="25" t="s">
        <v>28</v>
      </c>
      <c r="P2073" s="25" t="s">
        <v>33</v>
      </c>
    </row>
    <row r="2074" spans="1:16" x14ac:dyDescent="0.3">
      <c r="A2074" s="25">
        <v>2073</v>
      </c>
      <c r="B2074" s="26">
        <v>45655</v>
      </c>
      <c r="C2074" s="25" t="s">
        <v>69</v>
      </c>
      <c r="D2074" s="25" t="s">
        <v>22</v>
      </c>
      <c r="E2074" s="25" t="s">
        <v>92</v>
      </c>
      <c r="F2074" s="25">
        <v>1</v>
      </c>
      <c r="G2074" s="25" t="s">
        <v>91</v>
      </c>
      <c r="H2074" s="25">
        <v>260</v>
      </c>
      <c r="I2074" s="25">
        <v>220</v>
      </c>
      <c r="J2074" s="25">
        <v>260</v>
      </c>
      <c r="K2074" s="25">
        <v>220</v>
      </c>
      <c r="L2074" s="25">
        <v>40</v>
      </c>
      <c r="M2074" s="27">
        <v>18.181818181818201</v>
      </c>
      <c r="N2074" s="25" t="s">
        <v>55</v>
      </c>
      <c r="O2074" s="25" t="s">
        <v>28</v>
      </c>
      <c r="P2074" s="25" t="s">
        <v>33</v>
      </c>
    </row>
    <row r="2075" spans="1:16" x14ac:dyDescent="0.3">
      <c r="A2075" s="25">
        <v>2074</v>
      </c>
      <c r="B2075" s="26">
        <v>45655</v>
      </c>
      <c r="C2075" s="25" t="s">
        <v>69</v>
      </c>
      <c r="D2075" s="25" t="s">
        <v>22</v>
      </c>
      <c r="E2075" s="25" t="s">
        <v>101</v>
      </c>
      <c r="F2075" s="25">
        <v>12</v>
      </c>
      <c r="G2075" s="25" t="s">
        <v>102</v>
      </c>
      <c r="H2075" s="25">
        <v>6</v>
      </c>
      <c r="I2075" s="25">
        <v>4</v>
      </c>
      <c r="J2075" s="25">
        <v>72</v>
      </c>
      <c r="K2075" s="25">
        <v>48</v>
      </c>
      <c r="L2075" s="25">
        <v>24</v>
      </c>
      <c r="M2075" s="27">
        <v>50</v>
      </c>
      <c r="N2075" s="25" t="s">
        <v>55</v>
      </c>
      <c r="O2075" s="25" t="s">
        <v>28</v>
      </c>
      <c r="P2075" s="25" t="s">
        <v>33</v>
      </c>
    </row>
    <row r="2076" spans="1:16" x14ac:dyDescent="0.3">
      <c r="A2076" s="25">
        <v>2075</v>
      </c>
      <c r="B2076" s="26">
        <v>45655</v>
      </c>
      <c r="C2076" s="25" t="s">
        <v>69</v>
      </c>
      <c r="D2076" s="25" t="s">
        <v>21</v>
      </c>
      <c r="E2076" s="25" t="s">
        <v>88</v>
      </c>
      <c r="F2076" s="25">
        <v>4</v>
      </c>
      <c r="G2076" s="25" t="s">
        <v>89</v>
      </c>
      <c r="H2076" s="25">
        <v>130</v>
      </c>
      <c r="I2076" s="25">
        <v>100</v>
      </c>
      <c r="J2076" s="25">
        <v>520</v>
      </c>
      <c r="K2076" s="25">
        <v>400</v>
      </c>
      <c r="L2076" s="25">
        <v>120</v>
      </c>
      <c r="M2076" s="27">
        <v>30</v>
      </c>
      <c r="N2076" s="25" t="s">
        <v>55</v>
      </c>
      <c r="O2076" s="25" t="s">
        <v>27</v>
      </c>
      <c r="P2076" s="25" t="s">
        <v>32</v>
      </c>
    </row>
    <row r="2077" spans="1:16" x14ac:dyDescent="0.3">
      <c r="A2077" s="25">
        <v>2076</v>
      </c>
      <c r="B2077" s="26">
        <v>45655</v>
      </c>
      <c r="C2077" s="25" t="s">
        <v>69</v>
      </c>
      <c r="D2077" s="25" t="s">
        <v>21</v>
      </c>
      <c r="E2077" s="25" t="s">
        <v>95</v>
      </c>
      <c r="F2077" s="25">
        <v>1</v>
      </c>
      <c r="G2077" s="25" t="s">
        <v>89</v>
      </c>
      <c r="H2077" s="25">
        <v>150</v>
      </c>
      <c r="I2077" s="25">
        <v>100</v>
      </c>
      <c r="J2077" s="25">
        <v>150</v>
      </c>
      <c r="K2077" s="25">
        <v>100</v>
      </c>
      <c r="L2077" s="25">
        <v>50</v>
      </c>
      <c r="M2077" s="27">
        <v>50</v>
      </c>
      <c r="N2077" s="25" t="s">
        <v>55</v>
      </c>
      <c r="O2077" s="25" t="s">
        <v>28</v>
      </c>
      <c r="P2077" s="25" t="s">
        <v>32</v>
      </c>
    </row>
    <row r="2078" spans="1:16" x14ac:dyDescent="0.3">
      <c r="A2078" s="25">
        <v>2077</v>
      </c>
      <c r="B2078" s="26">
        <v>45655</v>
      </c>
      <c r="C2078" s="25" t="s">
        <v>69</v>
      </c>
      <c r="D2078" s="25" t="s">
        <v>22</v>
      </c>
      <c r="E2078" s="25" t="s">
        <v>92</v>
      </c>
      <c r="F2078" s="25">
        <v>1</v>
      </c>
      <c r="G2078" s="25" t="s">
        <v>91</v>
      </c>
      <c r="H2078" s="25">
        <v>260</v>
      </c>
      <c r="I2078" s="25">
        <v>220</v>
      </c>
      <c r="J2078" s="25">
        <v>260</v>
      </c>
      <c r="K2078" s="25">
        <v>220</v>
      </c>
      <c r="L2078" s="25">
        <v>40</v>
      </c>
      <c r="M2078" s="27">
        <v>18.181818181818201</v>
      </c>
      <c r="N2078" s="25" t="s">
        <v>55</v>
      </c>
      <c r="O2078" s="25" t="s">
        <v>28</v>
      </c>
      <c r="P2078" s="25" t="s">
        <v>32</v>
      </c>
    </row>
    <row r="2079" spans="1:16" x14ac:dyDescent="0.3">
      <c r="A2079" s="25">
        <v>2078</v>
      </c>
      <c r="B2079" s="26">
        <v>45655</v>
      </c>
      <c r="C2079" s="25" t="s">
        <v>69</v>
      </c>
      <c r="D2079" s="25" t="s">
        <v>22</v>
      </c>
      <c r="E2079" s="25" t="s">
        <v>90</v>
      </c>
      <c r="F2079" s="25">
        <v>1</v>
      </c>
      <c r="G2079" s="25" t="s">
        <v>91</v>
      </c>
      <c r="H2079" s="25">
        <v>280</v>
      </c>
      <c r="I2079" s="25">
        <v>240</v>
      </c>
      <c r="J2079" s="25">
        <v>280</v>
      </c>
      <c r="K2079" s="25">
        <v>240</v>
      </c>
      <c r="L2079" s="25">
        <v>40</v>
      </c>
      <c r="M2079" s="27">
        <v>16.6666666666667</v>
      </c>
      <c r="N2079" s="25" t="s">
        <v>55</v>
      </c>
      <c r="O2079" s="25" t="s">
        <v>28</v>
      </c>
      <c r="P2079" s="25" t="s">
        <v>32</v>
      </c>
    </row>
    <row r="2080" spans="1:16" x14ac:dyDescent="0.3">
      <c r="A2080" s="25">
        <v>2079</v>
      </c>
      <c r="B2080" s="26">
        <v>45656</v>
      </c>
      <c r="C2080" s="25" t="s">
        <v>69</v>
      </c>
      <c r="D2080" s="25" t="s">
        <v>22</v>
      </c>
      <c r="E2080" s="25" t="s">
        <v>103</v>
      </c>
      <c r="F2080" s="25">
        <v>1</v>
      </c>
      <c r="G2080" s="25" t="s">
        <v>102</v>
      </c>
      <c r="H2080" s="25">
        <v>30</v>
      </c>
      <c r="I2080" s="25">
        <v>20</v>
      </c>
      <c r="J2080" s="25">
        <v>30</v>
      </c>
      <c r="K2080" s="25">
        <v>20</v>
      </c>
      <c r="L2080" s="25">
        <v>10</v>
      </c>
      <c r="M2080" s="27">
        <v>50</v>
      </c>
      <c r="N2080" s="25" t="s">
        <v>55</v>
      </c>
      <c r="O2080" s="25" t="s">
        <v>28</v>
      </c>
      <c r="P2080" s="25" t="s">
        <v>32</v>
      </c>
    </row>
    <row r="2081" spans="1:16" x14ac:dyDescent="0.3">
      <c r="A2081" s="25">
        <v>2080</v>
      </c>
      <c r="B2081" s="26">
        <v>45656</v>
      </c>
      <c r="C2081" s="25" t="s">
        <v>69</v>
      </c>
      <c r="D2081" s="25" t="s">
        <v>22</v>
      </c>
      <c r="E2081" s="25" t="s">
        <v>96</v>
      </c>
      <c r="F2081" s="25">
        <v>1</v>
      </c>
      <c r="G2081" s="25" t="s">
        <v>97</v>
      </c>
      <c r="H2081" s="25">
        <v>300</v>
      </c>
      <c r="I2081" s="25">
        <v>265</v>
      </c>
      <c r="J2081" s="25">
        <v>300</v>
      </c>
      <c r="K2081" s="25">
        <v>265</v>
      </c>
      <c r="L2081" s="25">
        <v>35</v>
      </c>
      <c r="M2081" s="27">
        <v>13.207547169811299</v>
      </c>
      <c r="N2081" s="25" t="s">
        <v>55</v>
      </c>
      <c r="O2081" s="25" t="s">
        <v>28</v>
      </c>
      <c r="P2081" s="25" t="s">
        <v>32</v>
      </c>
    </row>
    <row r="2082" spans="1:16" x14ac:dyDescent="0.3">
      <c r="A2082" s="25">
        <v>2081</v>
      </c>
      <c r="B2082" s="26">
        <v>45656</v>
      </c>
      <c r="C2082" s="25" t="s">
        <v>69</v>
      </c>
      <c r="D2082" s="25" t="s">
        <v>22</v>
      </c>
      <c r="E2082" s="25" t="s">
        <v>92</v>
      </c>
      <c r="F2082" s="25">
        <v>1.5</v>
      </c>
      <c r="G2082" s="25" t="s">
        <v>91</v>
      </c>
      <c r="H2082" s="25">
        <v>260</v>
      </c>
      <c r="I2082" s="25">
        <v>220</v>
      </c>
      <c r="J2082" s="25">
        <v>390</v>
      </c>
      <c r="K2082" s="25">
        <v>330</v>
      </c>
      <c r="L2082" s="25">
        <v>60</v>
      </c>
      <c r="M2082" s="27">
        <v>18.181818181818201</v>
      </c>
      <c r="N2082" s="25" t="s">
        <v>55</v>
      </c>
      <c r="O2082" s="25" t="s">
        <v>28</v>
      </c>
      <c r="P2082" s="25" t="s">
        <v>32</v>
      </c>
    </row>
    <row r="2083" spans="1:16" x14ac:dyDescent="0.3">
      <c r="A2083" s="25">
        <v>2082</v>
      </c>
      <c r="B2083" s="26">
        <v>45656</v>
      </c>
      <c r="C2083" s="25" t="s">
        <v>69</v>
      </c>
      <c r="D2083" s="25" t="s">
        <v>22</v>
      </c>
      <c r="E2083" s="25" t="s">
        <v>90</v>
      </c>
      <c r="F2083" s="25">
        <v>0.25</v>
      </c>
      <c r="G2083" s="25" t="s">
        <v>91</v>
      </c>
      <c r="H2083" s="25">
        <v>280</v>
      </c>
      <c r="I2083" s="25">
        <v>240</v>
      </c>
      <c r="J2083" s="25">
        <v>70</v>
      </c>
      <c r="K2083" s="25">
        <v>60</v>
      </c>
      <c r="L2083" s="25">
        <v>10</v>
      </c>
      <c r="M2083" s="27">
        <v>16.6666666666667</v>
      </c>
      <c r="N2083" s="25" t="s">
        <v>55</v>
      </c>
      <c r="O2083" s="25" t="s">
        <v>28</v>
      </c>
      <c r="P2083" s="25" t="s">
        <v>32</v>
      </c>
    </row>
    <row r="2084" spans="1:16" x14ac:dyDescent="0.3">
      <c r="A2084" s="25">
        <v>2083</v>
      </c>
      <c r="B2084" s="26">
        <v>45656</v>
      </c>
      <c r="C2084" s="25" t="s">
        <v>69</v>
      </c>
      <c r="D2084" s="25" t="s">
        <v>22</v>
      </c>
      <c r="E2084" s="25" t="s">
        <v>103</v>
      </c>
      <c r="F2084" s="25">
        <v>1</v>
      </c>
      <c r="G2084" s="25" t="s">
        <v>102</v>
      </c>
      <c r="H2084" s="25">
        <v>30</v>
      </c>
      <c r="I2084" s="25">
        <v>20</v>
      </c>
      <c r="J2084" s="25">
        <v>30</v>
      </c>
      <c r="K2084" s="25">
        <v>20</v>
      </c>
      <c r="L2084" s="25">
        <v>10</v>
      </c>
      <c r="M2084" s="27">
        <v>50</v>
      </c>
      <c r="N2084" s="25" t="s">
        <v>55</v>
      </c>
      <c r="O2084" s="25" t="s">
        <v>28</v>
      </c>
      <c r="P2084" s="25" t="s">
        <v>32</v>
      </c>
    </row>
    <row r="2085" spans="1:16" x14ac:dyDescent="0.3">
      <c r="A2085" s="25">
        <v>2084</v>
      </c>
      <c r="B2085" s="26">
        <v>45656</v>
      </c>
      <c r="C2085" s="25" t="s">
        <v>69</v>
      </c>
      <c r="D2085" s="25" t="s">
        <v>22</v>
      </c>
      <c r="E2085" s="25" t="s">
        <v>96</v>
      </c>
      <c r="F2085" s="25">
        <v>1</v>
      </c>
      <c r="G2085" s="25" t="s">
        <v>97</v>
      </c>
      <c r="H2085" s="25">
        <v>300</v>
      </c>
      <c r="I2085" s="25">
        <v>265</v>
      </c>
      <c r="J2085" s="25">
        <v>300</v>
      </c>
      <c r="K2085" s="25">
        <v>265</v>
      </c>
      <c r="L2085" s="25">
        <v>35</v>
      </c>
      <c r="M2085" s="27">
        <v>13.207547169811299</v>
      </c>
      <c r="N2085" s="25" t="s">
        <v>55</v>
      </c>
      <c r="O2085" s="25" t="s">
        <v>28</v>
      </c>
      <c r="P2085" s="25" t="s">
        <v>32</v>
      </c>
    </row>
    <row r="2086" spans="1:16" x14ac:dyDescent="0.3">
      <c r="A2086" s="25">
        <v>2085</v>
      </c>
      <c r="B2086" s="26">
        <v>45656</v>
      </c>
      <c r="C2086" s="25" t="s">
        <v>69</v>
      </c>
      <c r="D2086" s="25" t="s">
        <v>22</v>
      </c>
      <c r="E2086" s="25" t="s">
        <v>90</v>
      </c>
      <c r="F2086" s="25">
        <v>1.25</v>
      </c>
      <c r="G2086" s="25" t="s">
        <v>91</v>
      </c>
      <c r="H2086" s="25">
        <v>280</v>
      </c>
      <c r="I2086" s="25">
        <v>240</v>
      </c>
      <c r="J2086" s="25">
        <v>350</v>
      </c>
      <c r="K2086" s="25">
        <v>300</v>
      </c>
      <c r="L2086" s="25">
        <v>50</v>
      </c>
      <c r="M2086" s="27">
        <v>16.6666666666667</v>
      </c>
      <c r="N2086" s="25" t="s">
        <v>55</v>
      </c>
      <c r="O2086" s="25" t="s">
        <v>28</v>
      </c>
      <c r="P2086" s="25" t="s">
        <v>32</v>
      </c>
    </row>
    <row r="2087" spans="1:16" x14ac:dyDescent="0.3">
      <c r="A2087" s="25">
        <v>2086</v>
      </c>
      <c r="B2087" s="26">
        <v>45656</v>
      </c>
      <c r="C2087" s="25" t="s">
        <v>69</v>
      </c>
      <c r="D2087" s="25" t="s">
        <v>21</v>
      </c>
      <c r="E2087" s="25" t="s">
        <v>88</v>
      </c>
      <c r="F2087" s="25">
        <v>4</v>
      </c>
      <c r="G2087" s="25" t="s">
        <v>89</v>
      </c>
      <c r="H2087" s="25">
        <v>130</v>
      </c>
      <c r="I2087" s="25">
        <v>100</v>
      </c>
      <c r="J2087" s="25">
        <v>520</v>
      </c>
      <c r="K2087" s="25">
        <v>400</v>
      </c>
      <c r="L2087" s="25">
        <v>120</v>
      </c>
      <c r="M2087" s="27">
        <v>30</v>
      </c>
      <c r="N2087" s="25" t="s">
        <v>55</v>
      </c>
      <c r="O2087" s="25" t="s">
        <v>27</v>
      </c>
      <c r="P2087" s="25" t="s">
        <v>32</v>
      </c>
    </row>
    <row r="2088" spans="1:16" x14ac:dyDescent="0.3">
      <c r="A2088" s="25">
        <v>2087</v>
      </c>
      <c r="B2088" s="26">
        <v>45656</v>
      </c>
      <c r="C2088" s="25" t="s">
        <v>69</v>
      </c>
      <c r="D2088" s="25" t="s">
        <v>21</v>
      </c>
      <c r="E2088" s="25" t="s">
        <v>88</v>
      </c>
      <c r="F2088" s="25">
        <v>2</v>
      </c>
      <c r="G2088" s="25" t="s">
        <v>89</v>
      </c>
      <c r="H2088" s="25">
        <v>130</v>
      </c>
      <c r="I2088" s="25">
        <v>100</v>
      </c>
      <c r="J2088" s="25">
        <v>260</v>
      </c>
      <c r="K2088" s="25">
        <v>200</v>
      </c>
      <c r="L2088" s="25">
        <v>60</v>
      </c>
      <c r="M2088" s="27">
        <v>30</v>
      </c>
      <c r="N2088" s="25" t="s">
        <v>55</v>
      </c>
      <c r="O2088" s="25" t="s">
        <v>27</v>
      </c>
      <c r="P2088" s="25" t="s">
        <v>32</v>
      </c>
    </row>
    <row r="2089" spans="1:16" x14ac:dyDescent="0.3">
      <c r="A2089" s="25">
        <v>2088</v>
      </c>
      <c r="B2089" s="26">
        <v>45656</v>
      </c>
      <c r="C2089" s="25" t="s">
        <v>69</v>
      </c>
      <c r="D2089" s="25" t="s">
        <v>22</v>
      </c>
      <c r="E2089" s="25" t="s">
        <v>92</v>
      </c>
      <c r="F2089" s="25">
        <v>2</v>
      </c>
      <c r="G2089" s="25" t="s">
        <v>91</v>
      </c>
      <c r="H2089" s="25">
        <v>260</v>
      </c>
      <c r="I2089" s="25">
        <v>220</v>
      </c>
      <c r="J2089" s="25">
        <v>520</v>
      </c>
      <c r="K2089" s="25">
        <v>440</v>
      </c>
      <c r="L2089" s="25">
        <v>80</v>
      </c>
      <c r="M2089" s="27">
        <v>18.181818181818201</v>
      </c>
      <c r="N2089" s="25" t="s">
        <v>55</v>
      </c>
      <c r="O2089" s="25" t="s">
        <v>28</v>
      </c>
      <c r="P2089" s="25" t="s">
        <v>32</v>
      </c>
    </row>
    <row r="2090" spans="1:16" x14ac:dyDescent="0.3">
      <c r="A2090" s="25">
        <v>2089</v>
      </c>
      <c r="B2090" s="26">
        <v>45656</v>
      </c>
      <c r="C2090" s="25" t="s">
        <v>69</v>
      </c>
      <c r="D2090" s="25" t="s">
        <v>22</v>
      </c>
      <c r="E2090" s="25" t="s">
        <v>96</v>
      </c>
      <c r="F2090" s="25">
        <v>1</v>
      </c>
      <c r="G2090" s="25" t="s">
        <v>97</v>
      </c>
      <c r="H2090" s="25">
        <v>300</v>
      </c>
      <c r="I2090" s="25">
        <v>265</v>
      </c>
      <c r="J2090" s="25">
        <v>300</v>
      </c>
      <c r="K2090" s="25">
        <v>265</v>
      </c>
      <c r="L2090" s="25">
        <v>35</v>
      </c>
      <c r="M2090" s="27">
        <v>13.207547169811299</v>
      </c>
      <c r="N2090" s="25" t="s">
        <v>55</v>
      </c>
      <c r="O2090" s="25" t="s">
        <v>28</v>
      </c>
      <c r="P2090" s="25" t="s">
        <v>32</v>
      </c>
    </row>
    <row r="2091" spans="1:16" x14ac:dyDescent="0.3">
      <c r="A2091" s="25">
        <v>2090</v>
      </c>
      <c r="B2091" s="26">
        <v>45656</v>
      </c>
      <c r="C2091" s="25" t="s">
        <v>69</v>
      </c>
      <c r="D2091" s="25" t="s">
        <v>22</v>
      </c>
      <c r="E2091" s="25" t="s">
        <v>103</v>
      </c>
      <c r="F2091" s="25">
        <v>1</v>
      </c>
      <c r="G2091" s="25" t="s">
        <v>102</v>
      </c>
      <c r="H2091" s="25">
        <v>30</v>
      </c>
      <c r="I2091" s="25">
        <v>20</v>
      </c>
      <c r="J2091" s="25">
        <v>30</v>
      </c>
      <c r="K2091" s="25">
        <v>20</v>
      </c>
      <c r="L2091" s="25">
        <v>10</v>
      </c>
      <c r="M2091" s="27">
        <v>50</v>
      </c>
      <c r="N2091" s="25" t="s">
        <v>55</v>
      </c>
      <c r="O2091" s="25" t="s">
        <v>28</v>
      </c>
      <c r="P2091" s="25" t="s">
        <v>32</v>
      </c>
    </row>
    <row r="2092" spans="1:16" x14ac:dyDescent="0.3">
      <c r="A2092" s="25">
        <v>2091</v>
      </c>
      <c r="B2092" s="26">
        <v>45656</v>
      </c>
      <c r="C2092" s="25" t="s">
        <v>69</v>
      </c>
      <c r="D2092" s="25" t="s">
        <v>21</v>
      </c>
      <c r="E2092" s="25" t="s">
        <v>88</v>
      </c>
      <c r="F2092" s="25">
        <v>2</v>
      </c>
      <c r="G2092" s="25" t="s">
        <v>89</v>
      </c>
      <c r="H2092" s="25">
        <v>130</v>
      </c>
      <c r="I2092" s="25">
        <v>100</v>
      </c>
      <c r="J2092" s="25">
        <v>260</v>
      </c>
      <c r="K2092" s="25">
        <v>200</v>
      </c>
      <c r="L2092" s="25">
        <v>60</v>
      </c>
      <c r="M2092" s="27">
        <v>30</v>
      </c>
      <c r="N2092" s="25" t="s">
        <v>55</v>
      </c>
      <c r="O2092" s="25" t="s">
        <v>27</v>
      </c>
      <c r="P2092" s="25" t="s">
        <v>32</v>
      </c>
    </row>
    <row r="2093" spans="1:16" x14ac:dyDescent="0.3">
      <c r="A2093" s="25">
        <v>2092</v>
      </c>
      <c r="B2093" s="26">
        <v>45656</v>
      </c>
      <c r="C2093" s="25" t="s">
        <v>69</v>
      </c>
      <c r="D2093" s="25" t="s">
        <v>22</v>
      </c>
      <c r="E2093" s="25" t="s">
        <v>92</v>
      </c>
      <c r="F2093" s="25">
        <v>0.25</v>
      </c>
      <c r="G2093" s="25" t="s">
        <v>91</v>
      </c>
      <c r="H2093" s="25">
        <v>260</v>
      </c>
      <c r="I2093" s="25">
        <v>220</v>
      </c>
      <c r="J2093" s="25">
        <v>65</v>
      </c>
      <c r="K2093" s="25">
        <v>55</v>
      </c>
      <c r="L2093" s="25">
        <v>10</v>
      </c>
      <c r="M2093" s="27">
        <v>18.181818181818201</v>
      </c>
      <c r="N2093" s="25" t="s">
        <v>55</v>
      </c>
      <c r="O2093" s="25" t="s">
        <v>28</v>
      </c>
      <c r="P2093" s="25" t="s">
        <v>32</v>
      </c>
    </row>
    <row r="2094" spans="1:16" x14ac:dyDescent="0.3">
      <c r="A2094" s="25">
        <v>2093</v>
      </c>
      <c r="B2094" s="26">
        <v>45656</v>
      </c>
      <c r="C2094" s="25" t="s">
        <v>69</v>
      </c>
      <c r="D2094" s="25" t="s">
        <v>22</v>
      </c>
      <c r="E2094" s="25" t="s">
        <v>96</v>
      </c>
      <c r="F2094" s="25">
        <v>1</v>
      </c>
      <c r="G2094" s="25" t="s">
        <v>97</v>
      </c>
      <c r="H2094" s="25">
        <v>300</v>
      </c>
      <c r="I2094" s="25">
        <v>265</v>
      </c>
      <c r="J2094" s="25">
        <v>300</v>
      </c>
      <c r="K2094" s="25">
        <v>265</v>
      </c>
      <c r="L2094" s="25">
        <v>35</v>
      </c>
      <c r="M2094" s="27">
        <v>13.207547169811299</v>
      </c>
      <c r="N2094" s="25" t="s">
        <v>55</v>
      </c>
      <c r="O2094" s="25" t="s">
        <v>28</v>
      </c>
      <c r="P2094" s="25" t="s">
        <v>32</v>
      </c>
    </row>
    <row r="2095" spans="1:16" x14ac:dyDescent="0.3">
      <c r="A2095" s="25">
        <v>2094</v>
      </c>
      <c r="B2095" s="26">
        <v>45657</v>
      </c>
      <c r="C2095" s="25" t="s">
        <v>69</v>
      </c>
      <c r="D2095" s="25" t="s">
        <v>22</v>
      </c>
      <c r="E2095" s="25" t="s">
        <v>101</v>
      </c>
      <c r="F2095" s="25">
        <v>6</v>
      </c>
      <c r="G2095" s="25" t="s">
        <v>102</v>
      </c>
      <c r="H2095" s="25">
        <v>6</v>
      </c>
      <c r="I2095" s="25">
        <v>4</v>
      </c>
      <c r="J2095" s="25">
        <v>36</v>
      </c>
      <c r="K2095" s="25">
        <v>24</v>
      </c>
      <c r="L2095" s="25">
        <v>12</v>
      </c>
      <c r="M2095" s="27">
        <v>50</v>
      </c>
      <c r="N2095" s="25" t="s">
        <v>55</v>
      </c>
      <c r="O2095" s="25" t="s">
        <v>28</v>
      </c>
      <c r="P2095" s="25" t="s">
        <v>33</v>
      </c>
    </row>
    <row r="2096" spans="1:16" x14ac:dyDescent="0.3">
      <c r="A2096" s="25">
        <v>2095</v>
      </c>
      <c r="B2096" s="26">
        <v>45657</v>
      </c>
      <c r="C2096" s="25" t="s">
        <v>69</v>
      </c>
      <c r="D2096" s="25" t="s">
        <v>22</v>
      </c>
      <c r="E2096" s="25" t="s">
        <v>92</v>
      </c>
      <c r="F2096" s="25">
        <v>0.25</v>
      </c>
      <c r="G2096" s="25" t="s">
        <v>91</v>
      </c>
      <c r="H2096" s="25">
        <v>260</v>
      </c>
      <c r="I2096" s="25">
        <v>220</v>
      </c>
      <c r="J2096" s="25">
        <v>65</v>
      </c>
      <c r="K2096" s="25">
        <v>55</v>
      </c>
      <c r="L2096" s="25">
        <v>10</v>
      </c>
      <c r="M2096" s="27">
        <v>18.181818181818201</v>
      </c>
      <c r="N2096" s="25" t="s">
        <v>55</v>
      </c>
      <c r="O2096" s="25" t="s">
        <v>28</v>
      </c>
      <c r="P2096" s="25" t="s">
        <v>33</v>
      </c>
    </row>
    <row r="2097" spans="1:16" x14ac:dyDescent="0.3">
      <c r="A2097" s="25">
        <v>2096</v>
      </c>
      <c r="B2097" s="26">
        <v>45657</v>
      </c>
      <c r="C2097" s="25" t="s">
        <v>69</v>
      </c>
      <c r="D2097" s="25" t="s">
        <v>21</v>
      </c>
      <c r="E2097" s="25" t="s">
        <v>88</v>
      </c>
      <c r="F2097" s="25">
        <v>3</v>
      </c>
      <c r="G2097" s="25" t="s">
        <v>89</v>
      </c>
      <c r="H2097" s="25">
        <v>130</v>
      </c>
      <c r="I2097" s="25">
        <v>100</v>
      </c>
      <c r="J2097" s="25">
        <v>390</v>
      </c>
      <c r="K2097" s="25">
        <v>300</v>
      </c>
      <c r="L2097" s="25">
        <v>90</v>
      </c>
      <c r="M2097" s="27">
        <v>30</v>
      </c>
      <c r="N2097" s="25" t="s">
        <v>55</v>
      </c>
      <c r="O2097" s="25" t="s">
        <v>27</v>
      </c>
      <c r="P2097" s="25" t="s">
        <v>32</v>
      </c>
    </row>
    <row r="2098" spans="1:16" x14ac:dyDescent="0.3">
      <c r="A2098" s="25">
        <v>2097</v>
      </c>
      <c r="B2098" s="26">
        <v>45657</v>
      </c>
      <c r="C2098" s="25" t="s">
        <v>69</v>
      </c>
      <c r="D2098" s="25" t="s">
        <v>22</v>
      </c>
      <c r="E2098" s="25" t="s">
        <v>92</v>
      </c>
      <c r="F2098" s="25">
        <v>0.25</v>
      </c>
      <c r="G2098" s="25" t="s">
        <v>91</v>
      </c>
      <c r="H2098" s="25">
        <v>260</v>
      </c>
      <c r="I2098" s="25">
        <v>220</v>
      </c>
      <c r="J2098" s="25">
        <v>65</v>
      </c>
      <c r="K2098" s="25">
        <v>55</v>
      </c>
      <c r="L2098" s="25">
        <v>10</v>
      </c>
      <c r="M2098" s="27">
        <v>18.181818181818201</v>
      </c>
      <c r="N2098" s="25" t="s">
        <v>55</v>
      </c>
      <c r="O2098" s="25" t="s">
        <v>28</v>
      </c>
      <c r="P2098" s="25" t="s">
        <v>32</v>
      </c>
    </row>
    <row r="2099" spans="1:16" x14ac:dyDescent="0.3">
      <c r="A2099" s="25">
        <v>2098</v>
      </c>
      <c r="B2099" s="26">
        <v>45657</v>
      </c>
      <c r="C2099" s="25" t="s">
        <v>69</v>
      </c>
      <c r="D2099" s="25" t="s">
        <v>21</v>
      </c>
      <c r="E2099" s="25" t="s">
        <v>88</v>
      </c>
      <c r="F2099" s="25">
        <v>3</v>
      </c>
      <c r="G2099" s="25" t="s">
        <v>89</v>
      </c>
      <c r="H2099" s="25">
        <v>130</v>
      </c>
      <c r="I2099" s="25">
        <v>100</v>
      </c>
      <c r="J2099" s="25">
        <v>390</v>
      </c>
      <c r="K2099" s="25">
        <v>300</v>
      </c>
      <c r="L2099" s="25">
        <v>90</v>
      </c>
      <c r="M2099" s="27">
        <v>30</v>
      </c>
      <c r="N2099" s="25" t="s">
        <v>55</v>
      </c>
      <c r="O2099" s="25" t="s">
        <v>27</v>
      </c>
      <c r="P2099" s="25" t="s">
        <v>32</v>
      </c>
    </row>
    <row r="2100" spans="1:16" x14ac:dyDescent="0.3">
      <c r="A2100" s="25">
        <v>2099</v>
      </c>
      <c r="B2100" s="26">
        <v>45657</v>
      </c>
      <c r="C2100" s="25" t="s">
        <v>69</v>
      </c>
      <c r="D2100" s="25" t="s">
        <v>22</v>
      </c>
      <c r="E2100" s="25" t="s">
        <v>90</v>
      </c>
      <c r="F2100" s="25">
        <v>2</v>
      </c>
      <c r="G2100" s="25" t="s">
        <v>91</v>
      </c>
      <c r="H2100" s="25">
        <v>280</v>
      </c>
      <c r="I2100" s="25">
        <v>240</v>
      </c>
      <c r="J2100" s="25">
        <v>560</v>
      </c>
      <c r="K2100" s="25">
        <v>480</v>
      </c>
      <c r="L2100" s="25">
        <v>80</v>
      </c>
      <c r="M2100" s="27">
        <v>16.6666666666667</v>
      </c>
      <c r="N2100" s="25" t="s">
        <v>55</v>
      </c>
      <c r="O2100" s="25" t="s">
        <v>28</v>
      </c>
      <c r="P2100" s="25" t="s">
        <v>32</v>
      </c>
    </row>
    <row r="2101" spans="1:16" x14ac:dyDescent="0.3">
      <c r="A2101" s="25">
        <v>2100</v>
      </c>
      <c r="B2101" s="26">
        <v>45657</v>
      </c>
      <c r="C2101" s="25" t="s">
        <v>69</v>
      </c>
      <c r="D2101" s="25" t="s">
        <v>22</v>
      </c>
      <c r="E2101" s="25" t="s">
        <v>92</v>
      </c>
      <c r="F2101" s="25">
        <v>2.5</v>
      </c>
      <c r="G2101" s="25" t="s">
        <v>91</v>
      </c>
      <c r="H2101" s="25">
        <v>260</v>
      </c>
      <c r="I2101" s="25">
        <v>220</v>
      </c>
      <c r="J2101" s="25">
        <v>650</v>
      </c>
      <c r="K2101" s="25">
        <v>550</v>
      </c>
      <c r="L2101" s="25">
        <v>100</v>
      </c>
      <c r="M2101" s="27">
        <v>18.181818181818201</v>
      </c>
      <c r="N2101" s="25" t="s">
        <v>55</v>
      </c>
      <c r="O2101" s="25" t="s">
        <v>28</v>
      </c>
      <c r="P2101" s="25" t="s">
        <v>32</v>
      </c>
    </row>
    <row r="2102" spans="1:16" x14ac:dyDescent="0.3">
      <c r="A2102" s="25">
        <v>2101</v>
      </c>
      <c r="B2102" s="26">
        <v>45657</v>
      </c>
      <c r="C2102" s="25" t="s">
        <v>69</v>
      </c>
      <c r="D2102" s="25" t="s">
        <v>22</v>
      </c>
      <c r="E2102" s="25" t="s">
        <v>101</v>
      </c>
      <c r="F2102" s="25">
        <v>6</v>
      </c>
      <c r="G2102" s="25" t="s">
        <v>102</v>
      </c>
      <c r="H2102" s="25">
        <v>6</v>
      </c>
      <c r="I2102" s="25">
        <v>4</v>
      </c>
      <c r="J2102" s="25">
        <v>36</v>
      </c>
      <c r="K2102" s="25">
        <v>24</v>
      </c>
      <c r="L2102" s="25">
        <v>12</v>
      </c>
      <c r="M2102" s="27">
        <v>50</v>
      </c>
      <c r="N2102" s="25" t="s">
        <v>55</v>
      </c>
      <c r="O2102" s="25" t="s">
        <v>28</v>
      </c>
      <c r="P2102" s="25" t="s">
        <v>32</v>
      </c>
    </row>
    <row r="2103" spans="1:16" x14ac:dyDescent="0.3">
      <c r="A2103" s="25">
        <v>2102</v>
      </c>
      <c r="B2103" s="26">
        <v>45657</v>
      </c>
      <c r="C2103" s="25" t="s">
        <v>69</v>
      </c>
      <c r="D2103" s="25" t="s">
        <v>22</v>
      </c>
      <c r="E2103" s="25" t="s">
        <v>90</v>
      </c>
      <c r="F2103" s="25">
        <v>3</v>
      </c>
      <c r="G2103" s="25" t="s">
        <v>91</v>
      </c>
      <c r="H2103" s="25">
        <v>280</v>
      </c>
      <c r="I2103" s="25">
        <v>240</v>
      </c>
      <c r="J2103" s="25">
        <v>840</v>
      </c>
      <c r="K2103" s="25">
        <v>720</v>
      </c>
      <c r="L2103" s="25">
        <v>120</v>
      </c>
      <c r="M2103" s="27">
        <v>16.6666666666667</v>
      </c>
      <c r="N2103" s="25" t="s">
        <v>55</v>
      </c>
      <c r="O2103" s="25" t="s">
        <v>28</v>
      </c>
      <c r="P2103" s="25" t="s">
        <v>32</v>
      </c>
    </row>
    <row r="2104" spans="1:16" x14ac:dyDescent="0.3">
      <c r="A2104" s="25">
        <v>2103</v>
      </c>
      <c r="B2104" s="26">
        <v>45657</v>
      </c>
      <c r="C2104" s="25" t="s">
        <v>69</v>
      </c>
      <c r="D2104" s="25" t="s">
        <v>22</v>
      </c>
      <c r="E2104" s="25" t="s">
        <v>92</v>
      </c>
      <c r="F2104" s="25">
        <v>2.5</v>
      </c>
      <c r="G2104" s="25" t="s">
        <v>91</v>
      </c>
      <c r="H2104" s="25">
        <v>260</v>
      </c>
      <c r="I2104" s="25">
        <v>220</v>
      </c>
      <c r="J2104" s="25">
        <v>650</v>
      </c>
      <c r="K2104" s="25">
        <v>550</v>
      </c>
      <c r="L2104" s="25">
        <v>100</v>
      </c>
      <c r="M2104" s="27">
        <v>18.181818181818201</v>
      </c>
      <c r="N2104" s="25" t="s">
        <v>55</v>
      </c>
      <c r="O2104" s="25" t="s">
        <v>28</v>
      </c>
      <c r="P2104" s="25" t="s">
        <v>32</v>
      </c>
    </row>
    <row r="2105" spans="1:16" x14ac:dyDescent="0.3">
      <c r="A2105" s="25">
        <v>2104</v>
      </c>
      <c r="B2105" s="26">
        <v>45657</v>
      </c>
      <c r="C2105" s="25" t="s">
        <v>69</v>
      </c>
      <c r="D2105" s="25" t="s">
        <v>21</v>
      </c>
      <c r="E2105" s="25" t="s">
        <v>88</v>
      </c>
      <c r="F2105" s="25">
        <v>5</v>
      </c>
      <c r="G2105" s="25" t="s">
        <v>89</v>
      </c>
      <c r="H2105" s="25">
        <v>130</v>
      </c>
      <c r="I2105" s="25">
        <v>100</v>
      </c>
      <c r="J2105" s="25">
        <v>650</v>
      </c>
      <c r="K2105" s="25">
        <v>500</v>
      </c>
      <c r="L2105" s="25">
        <v>150</v>
      </c>
      <c r="M2105" s="27">
        <v>30</v>
      </c>
      <c r="N2105" s="25" t="s">
        <v>55</v>
      </c>
      <c r="O2105" s="25" t="s">
        <v>27</v>
      </c>
      <c r="P2105" s="25" t="s">
        <v>32</v>
      </c>
    </row>
    <row r="2106" spans="1:16" x14ac:dyDescent="0.3">
      <c r="A2106" s="25">
        <v>2105</v>
      </c>
      <c r="B2106" s="26">
        <v>45657</v>
      </c>
      <c r="C2106" s="25" t="s">
        <v>69</v>
      </c>
      <c r="D2106" s="25" t="s">
        <v>22</v>
      </c>
      <c r="E2106" s="25" t="s">
        <v>92</v>
      </c>
      <c r="F2106" s="25">
        <v>2.5</v>
      </c>
      <c r="G2106" s="25" t="s">
        <v>91</v>
      </c>
      <c r="H2106" s="25">
        <v>260</v>
      </c>
      <c r="I2106" s="25">
        <v>220</v>
      </c>
      <c r="J2106" s="25">
        <v>650</v>
      </c>
      <c r="K2106" s="25">
        <v>550</v>
      </c>
      <c r="L2106" s="25">
        <v>100</v>
      </c>
      <c r="M2106" s="27">
        <v>18.181818181818201</v>
      </c>
      <c r="N2106" s="25" t="s">
        <v>55</v>
      </c>
      <c r="O2106" s="25" t="s">
        <v>28</v>
      </c>
      <c r="P2106" s="25" t="s">
        <v>32</v>
      </c>
    </row>
    <row r="2107" spans="1:16" x14ac:dyDescent="0.3">
      <c r="A2107" s="25">
        <v>2106</v>
      </c>
      <c r="B2107" s="26">
        <v>45657</v>
      </c>
      <c r="C2107" s="25" t="s">
        <v>69</v>
      </c>
      <c r="D2107" s="25" t="s">
        <v>22</v>
      </c>
      <c r="E2107" s="25" t="s">
        <v>96</v>
      </c>
      <c r="F2107" s="25">
        <v>1</v>
      </c>
      <c r="G2107" s="25" t="s">
        <v>97</v>
      </c>
      <c r="H2107" s="25">
        <v>300</v>
      </c>
      <c r="I2107" s="25">
        <v>265</v>
      </c>
      <c r="J2107" s="25">
        <v>300</v>
      </c>
      <c r="K2107" s="25">
        <v>265</v>
      </c>
      <c r="L2107" s="25">
        <v>35</v>
      </c>
      <c r="M2107" s="27">
        <v>13.207547169811299</v>
      </c>
      <c r="N2107" s="25" t="s">
        <v>55</v>
      </c>
      <c r="O2107" s="25" t="s">
        <v>28</v>
      </c>
      <c r="P2107" s="25" t="s">
        <v>32</v>
      </c>
    </row>
    <row r="2108" spans="1:16" x14ac:dyDescent="0.3">
      <c r="A2108" s="25">
        <v>2107</v>
      </c>
      <c r="B2108" s="26">
        <v>45658</v>
      </c>
      <c r="C2108" s="25" t="s">
        <v>70</v>
      </c>
      <c r="D2108" s="25" t="s">
        <v>22</v>
      </c>
      <c r="E2108" s="25" t="s">
        <v>101</v>
      </c>
      <c r="F2108" s="25">
        <v>12</v>
      </c>
      <c r="G2108" s="25" t="s">
        <v>102</v>
      </c>
      <c r="H2108" s="25">
        <v>6</v>
      </c>
      <c r="I2108" s="25">
        <v>4</v>
      </c>
      <c r="J2108" s="25">
        <v>72</v>
      </c>
      <c r="K2108" s="25">
        <v>48</v>
      </c>
      <c r="L2108" s="25">
        <v>24</v>
      </c>
      <c r="M2108" s="27">
        <v>50</v>
      </c>
      <c r="N2108" s="25" t="s">
        <v>55</v>
      </c>
      <c r="O2108" s="25" t="s">
        <v>28</v>
      </c>
      <c r="P2108" s="25" t="s">
        <v>32</v>
      </c>
    </row>
    <row r="2109" spans="1:16" x14ac:dyDescent="0.3">
      <c r="A2109" s="25">
        <v>2108</v>
      </c>
      <c r="B2109" s="26">
        <v>45658</v>
      </c>
      <c r="C2109" s="25" t="s">
        <v>70</v>
      </c>
      <c r="D2109" s="25" t="s">
        <v>22</v>
      </c>
      <c r="E2109" s="25" t="s">
        <v>103</v>
      </c>
      <c r="F2109" s="25">
        <v>1</v>
      </c>
      <c r="G2109" s="25" t="s">
        <v>102</v>
      </c>
      <c r="H2109" s="25">
        <v>30</v>
      </c>
      <c r="I2109" s="25">
        <v>20</v>
      </c>
      <c r="J2109" s="25">
        <v>30</v>
      </c>
      <c r="K2109" s="25">
        <v>20</v>
      </c>
      <c r="L2109" s="25">
        <v>10</v>
      </c>
      <c r="M2109" s="27">
        <v>50</v>
      </c>
      <c r="N2109" s="25" t="s">
        <v>55</v>
      </c>
      <c r="O2109" s="25" t="s">
        <v>28</v>
      </c>
      <c r="P2109" s="25" t="s">
        <v>32</v>
      </c>
    </row>
    <row r="2110" spans="1:16" x14ac:dyDescent="0.3">
      <c r="A2110" s="25">
        <v>2109</v>
      </c>
      <c r="B2110" s="26">
        <v>45658</v>
      </c>
      <c r="C2110" s="25" t="s">
        <v>70</v>
      </c>
      <c r="D2110" s="25" t="s">
        <v>22</v>
      </c>
      <c r="E2110" s="25" t="s">
        <v>96</v>
      </c>
      <c r="F2110" s="25">
        <v>1</v>
      </c>
      <c r="G2110" s="25" t="s">
        <v>97</v>
      </c>
      <c r="H2110" s="25">
        <v>300</v>
      </c>
      <c r="I2110" s="25">
        <v>265</v>
      </c>
      <c r="J2110" s="25">
        <v>300</v>
      </c>
      <c r="K2110" s="25">
        <v>265</v>
      </c>
      <c r="L2110" s="25">
        <v>35</v>
      </c>
      <c r="M2110" s="27">
        <v>13.207547169811299</v>
      </c>
      <c r="N2110" s="25" t="s">
        <v>55</v>
      </c>
      <c r="O2110" s="25" t="s">
        <v>28</v>
      </c>
      <c r="P2110" s="25" t="s">
        <v>32</v>
      </c>
    </row>
    <row r="2111" spans="1:16" x14ac:dyDescent="0.3">
      <c r="A2111" s="25">
        <v>2110</v>
      </c>
      <c r="B2111" s="26">
        <v>45658</v>
      </c>
      <c r="C2111" s="25" t="s">
        <v>70</v>
      </c>
      <c r="D2111" s="25" t="s">
        <v>21</v>
      </c>
      <c r="E2111" s="25" t="s">
        <v>88</v>
      </c>
      <c r="F2111" s="25">
        <v>3</v>
      </c>
      <c r="G2111" s="25" t="s">
        <v>89</v>
      </c>
      <c r="H2111" s="25">
        <v>130</v>
      </c>
      <c r="I2111" s="25">
        <v>100</v>
      </c>
      <c r="J2111" s="25">
        <v>390</v>
      </c>
      <c r="K2111" s="25">
        <v>300</v>
      </c>
      <c r="L2111" s="25">
        <v>90</v>
      </c>
      <c r="M2111" s="27">
        <v>30</v>
      </c>
      <c r="N2111" s="25" t="s">
        <v>55</v>
      </c>
      <c r="O2111" s="25" t="s">
        <v>27</v>
      </c>
      <c r="P2111" s="25" t="s">
        <v>32</v>
      </c>
    </row>
    <row r="2112" spans="1:16" x14ac:dyDescent="0.3">
      <c r="A2112" s="25">
        <v>2111</v>
      </c>
      <c r="B2112" s="26">
        <v>45658</v>
      </c>
      <c r="C2112" s="25" t="s">
        <v>70</v>
      </c>
      <c r="D2112" s="25" t="s">
        <v>21</v>
      </c>
      <c r="E2112" s="25" t="s">
        <v>88</v>
      </c>
      <c r="F2112" s="25">
        <v>2</v>
      </c>
      <c r="G2112" s="25" t="s">
        <v>89</v>
      </c>
      <c r="H2112" s="25">
        <v>130</v>
      </c>
      <c r="I2112" s="25">
        <v>100</v>
      </c>
      <c r="J2112" s="25">
        <v>260</v>
      </c>
      <c r="K2112" s="25">
        <v>200</v>
      </c>
      <c r="L2112" s="25">
        <v>60</v>
      </c>
      <c r="M2112" s="27">
        <v>30</v>
      </c>
      <c r="N2112" s="25" t="s">
        <v>55</v>
      </c>
      <c r="O2112" s="25" t="s">
        <v>27</v>
      </c>
      <c r="P2112" s="25" t="s">
        <v>32</v>
      </c>
    </row>
    <row r="2113" spans="1:16" x14ac:dyDescent="0.3">
      <c r="A2113" s="25">
        <v>2112</v>
      </c>
      <c r="B2113" s="26">
        <v>45659</v>
      </c>
      <c r="C2113" s="25" t="s">
        <v>70</v>
      </c>
      <c r="D2113" s="25" t="s">
        <v>22</v>
      </c>
      <c r="E2113" s="25" t="s">
        <v>92</v>
      </c>
      <c r="F2113" s="25">
        <v>1.25</v>
      </c>
      <c r="G2113" s="25" t="s">
        <v>91</v>
      </c>
      <c r="H2113" s="25">
        <v>260</v>
      </c>
      <c r="I2113" s="25">
        <v>220</v>
      </c>
      <c r="J2113" s="25">
        <v>325</v>
      </c>
      <c r="K2113" s="25">
        <v>275</v>
      </c>
      <c r="L2113" s="25">
        <v>50</v>
      </c>
      <c r="M2113" s="27">
        <v>18.181818181818201</v>
      </c>
      <c r="N2113" s="25" t="s">
        <v>55</v>
      </c>
      <c r="O2113" s="25" t="s">
        <v>28</v>
      </c>
      <c r="P2113" s="25" t="s">
        <v>32</v>
      </c>
    </row>
    <row r="2114" spans="1:16" x14ac:dyDescent="0.3">
      <c r="A2114" s="25">
        <v>2113</v>
      </c>
      <c r="B2114" s="26">
        <v>45659</v>
      </c>
      <c r="C2114" s="25" t="s">
        <v>70</v>
      </c>
      <c r="D2114" s="25" t="s">
        <v>22</v>
      </c>
      <c r="E2114" s="25" t="s">
        <v>90</v>
      </c>
      <c r="F2114" s="25">
        <v>0.25</v>
      </c>
      <c r="G2114" s="25" t="s">
        <v>91</v>
      </c>
      <c r="H2114" s="25">
        <v>280</v>
      </c>
      <c r="I2114" s="25">
        <v>240</v>
      </c>
      <c r="J2114" s="25">
        <v>70</v>
      </c>
      <c r="K2114" s="25">
        <v>60</v>
      </c>
      <c r="L2114" s="25">
        <v>10</v>
      </c>
      <c r="M2114" s="27">
        <v>16.6666666666667</v>
      </c>
      <c r="N2114" s="25" t="s">
        <v>55</v>
      </c>
      <c r="O2114" s="25" t="s">
        <v>28</v>
      </c>
      <c r="P2114" s="25" t="s">
        <v>32</v>
      </c>
    </row>
    <row r="2115" spans="1:16" x14ac:dyDescent="0.3">
      <c r="A2115" s="25">
        <v>2114</v>
      </c>
      <c r="B2115" s="26">
        <v>45659</v>
      </c>
      <c r="C2115" s="25" t="s">
        <v>70</v>
      </c>
      <c r="D2115" s="25" t="s">
        <v>22</v>
      </c>
      <c r="E2115" s="25" t="s">
        <v>101</v>
      </c>
      <c r="F2115" s="25">
        <v>6</v>
      </c>
      <c r="G2115" s="25" t="s">
        <v>102</v>
      </c>
      <c r="H2115" s="25">
        <v>6</v>
      </c>
      <c r="I2115" s="25">
        <v>4</v>
      </c>
      <c r="J2115" s="25">
        <v>36</v>
      </c>
      <c r="K2115" s="25">
        <v>24</v>
      </c>
      <c r="L2115" s="25">
        <v>12</v>
      </c>
      <c r="M2115" s="27">
        <v>50</v>
      </c>
      <c r="N2115" s="25" t="s">
        <v>55</v>
      </c>
      <c r="O2115" s="25" t="s">
        <v>28</v>
      </c>
      <c r="P2115" s="25" t="s">
        <v>32</v>
      </c>
    </row>
    <row r="2116" spans="1:16" x14ac:dyDescent="0.3">
      <c r="A2116" s="25">
        <v>2115</v>
      </c>
      <c r="B2116" s="26">
        <v>45659</v>
      </c>
      <c r="C2116" s="25" t="s">
        <v>70</v>
      </c>
      <c r="D2116" s="25" t="s">
        <v>22</v>
      </c>
      <c r="E2116" s="25" t="s">
        <v>92</v>
      </c>
      <c r="F2116" s="25">
        <v>1</v>
      </c>
      <c r="G2116" s="25" t="s">
        <v>91</v>
      </c>
      <c r="H2116" s="25">
        <v>260</v>
      </c>
      <c r="I2116" s="25">
        <v>220</v>
      </c>
      <c r="J2116" s="25">
        <v>260</v>
      </c>
      <c r="K2116" s="25">
        <v>220</v>
      </c>
      <c r="L2116" s="25">
        <v>40</v>
      </c>
      <c r="M2116" s="27">
        <v>18.181818181818201</v>
      </c>
      <c r="N2116" s="25" t="s">
        <v>55</v>
      </c>
      <c r="O2116" s="25" t="s">
        <v>28</v>
      </c>
      <c r="P2116" s="25" t="s">
        <v>32</v>
      </c>
    </row>
    <row r="2117" spans="1:16" x14ac:dyDescent="0.3">
      <c r="A2117" s="25">
        <v>2116</v>
      </c>
      <c r="B2117" s="26">
        <v>45659</v>
      </c>
      <c r="C2117" s="25" t="s">
        <v>70</v>
      </c>
      <c r="D2117" s="25" t="s">
        <v>21</v>
      </c>
      <c r="E2117" s="25" t="s">
        <v>88</v>
      </c>
      <c r="F2117" s="25">
        <v>2</v>
      </c>
      <c r="G2117" s="25" t="s">
        <v>89</v>
      </c>
      <c r="H2117" s="25">
        <v>130</v>
      </c>
      <c r="I2117" s="25">
        <v>100</v>
      </c>
      <c r="J2117" s="25">
        <v>260</v>
      </c>
      <c r="K2117" s="25">
        <v>200</v>
      </c>
      <c r="L2117" s="25">
        <v>60</v>
      </c>
      <c r="M2117" s="27">
        <v>30</v>
      </c>
      <c r="N2117" s="25" t="s">
        <v>55</v>
      </c>
      <c r="O2117" s="25" t="s">
        <v>27</v>
      </c>
      <c r="P2117" s="25" t="s">
        <v>32</v>
      </c>
    </row>
    <row r="2118" spans="1:16" x14ac:dyDescent="0.3">
      <c r="A2118" s="25">
        <v>2117</v>
      </c>
      <c r="B2118" s="26">
        <v>45659</v>
      </c>
      <c r="C2118" s="25" t="s">
        <v>70</v>
      </c>
      <c r="D2118" s="25" t="s">
        <v>22</v>
      </c>
      <c r="E2118" s="25" t="s">
        <v>90</v>
      </c>
      <c r="F2118" s="25">
        <v>0.25</v>
      </c>
      <c r="G2118" s="25" t="s">
        <v>91</v>
      </c>
      <c r="H2118" s="25">
        <v>280</v>
      </c>
      <c r="I2118" s="25">
        <v>240</v>
      </c>
      <c r="J2118" s="25">
        <v>70</v>
      </c>
      <c r="K2118" s="25">
        <v>60</v>
      </c>
      <c r="L2118" s="25">
        <v>10</v>
      </c>
      <c r="M2118" s="27">
        <v>16.6666666666667</v>
      </c>
      <c r="N2118" s="25" t="s">
        <v>55</v>
      </c>
      <c r="O2118" s="25" t="s">
        <v>28</v>
      </c>
      <c r="P2118" s="25" t="s">
        <v>32</v>
      </c>
    </row>
    <row r="2119" spans="1:16" x14ac:dyDescent="0.3">
      <c r="A2119" s="25">
        <v>2118</v>
      </c>
      <c r="B2119" s="26">
        <v>45659</v>
      </c>
      <c r="C2119" s="25" t="s">
        <v>70</v>
      </c>
      <c r="D2119" s="25" t="s">
        <v>22</v>
      </c>
      <c r="E2119" s="25" t="s">
        <v>90</v>
      </c>
      <c r="F2119" s="25">
        <v>1</v>
      </c>
      <c r="G2119" s="25" t="s">
        <v>91</v>
      </c>
      <c r="H2119" s="25">
        <v>280</v>
      </c>
      <c r="I2119" s="25">
        <v>240</v>
      </c>
      <c r="J2119" s="25">
        <v>280</v>
      </c>
      <c r="K2119" s="25">
        <v>240</v>
      </c>
      <c r="L2119" s="25">
        <v>40</v>
      </c>
      <c r="M2119" s="27">
        <v>16.6666666666667</v>
      </c>
      <c r="N2119" s="25" t="s">
        <v>55</v>
      </c>
      <c r="O2119" s="25" t="s">
        <v>28</v>
      </c>
      <c r="P2119" s="25" t="s">
        <v>32</v>
      </c>
    </row>
    <row r="2120" spans="1:16" x14ac:dyDescent="0.3">
      <c r="A2120" s="25">
        <v>2119</v>
      </c>
      <c r="B2120" s="26">
        <v>45659</v>
      </c>
      <c r="C2120" s="25" t="s">
        <v>70</v>
      </c>
      <c r="D2120" s="25" t="s">
        <v>22</v>
      </c>
      <c r="E2120" s="25" t="s">
        <v>96</v>
      </c>
      <c r="F2120" s="25">
        <v>1</v>
      </c>
      <c r="G2120" s="25" t="s">
        <v>97</v>
      </c>
      <c r="H2120" s="25">
        <v>300</v>
      </c>
      <c r="I2120" s="25">
        <v>265</v>
      </c>
      <c r="J2120" s="25">
        <v>300</v>
      </c>
      <c r="K2120" s="25">
        <v>265</v>
      </c>
      <c r="L2120" s="25">
        <v>35</v>
      </c>
      <c r="M2120" s="27">
        <v>13.207547169811299</v>
      </c>
      <c r="N2120" s="25" t="s">
        <v>55</v>
      </c>
      <c r="O2120" s="25" t="s">
        <v>28</v>
      </c>
      <c r="P2120" s="25" t="s">
        <v>32</v>
      </c>
    </row>
    <row r="2121" spans="1:16" x14ac:dyDescent="0.3">
      <c r="A2121" s="25">
        <v>2120</v>
      </c>
      <c r="B2121" s="26">
        <v>45659</v>
      </c>
      <c r="C2121" s="25" t="s">
        <v>70</v>
      </c>
      <c r="D2121" s="25" t="s">
        <v>22</v>
      </c>
      <c r="E2121" s="25" t="s">
        <v>92</v>
      </c>
      <c r="F2121" s="25">
        <v>0.5</v>
      </c>
      <c r="G2121" s="25" t="s">
        <v>91</v>
      </c>
      <c r="H2121" s="25">
        <v>260</v>
      </c>
      <c r="I2121" s="25">
        <v>220</v>
      </c>
      <c r="J2121" s="25">
        <v>130</v>
      </c>
      <c r="K2121" s="25">
        <v>110</v>
      </c>
      <c r="L2121" s="25">
        <v>20</v>
      </c>
      <c r="M2121" s="27">
        <v>18.181818181818201</v>
      </c>
      <c r="N2121" s="25" t="s">
        <v>55</v>
      </c>
      <c r="O2121" s="25" t="s">
        <v>28</v>
      </c>
      <c r="P2121" s="25" t="s">
        <v>32</v>
      </c>
    </row>
    <row r="2122" spans="1:16" x14ac:dyDescent="0.3">
      <c r="A2122" s="25">
        <v>2121</v>
      </c>
      <c r="B2122" s="26">
        <v>45659</v>
      </c>
      <c r="C2122" s="25" t="s">
        <v>70</v>
      </c>
      <c r="D2122" s="25" t="s">
        <v>22</v>
      </c>
      <c r="E2122" s="25" t="s">
        <v>101</v>
      </c>
      <c r="F2122" s="25">
        <v>10</v>
      </c>
      <c r="G2122" s="25" t="s">
        <v>102</v>
      </c>
      <c r="H2122" s="25">
        <v>6</v>
      </c>
      <c r="I2122" s="25">
        <v>4</v>
      </c>
      <c r="J2122" s="25">
        <v>60</v>
      </c>
      <c r="K2122" s="25">
        <v>40</v>
      </c>
      <c r="L2122" s="25">
        <v>20</v>
      </c>
      <c r="M2122" s="27">
        <v>50</v>
      </c>
      <c r="N2122" s="25" t="s">
        <v>55</v>
      </c>
      <c r="O2122" s="25" t="s">
        <v>28</v>
      </c>
      <c r="P2122" s="25" t="s">
        <v>32</v>
      </c>
    </row>
    <row r="2123" spans="1:16" x14ac:dyDescent="0.3">
      <c r="A2123" s="25">
        <v>2122</v>
      </c>
      <c r="B2123" s="26">
        <v>45659</v>
      </c>
      <c r="C2123" s="25" t="s">
        <v>70</v>
      </c>
      <c r="D2123" s="25" t="s">
        <v>21</v>
      </c>
      <c r="E2123" s="25" t="s">
        <v>88</v>
      </c>
      <c r="F2123" s="25">
        <v>2</v>
      </c>
      <c r="G2123" s="25" t="s">
        <v>89</v>
      </c>
      <c r="H2123" s="25">
        <v>130</v>
      </c>
      <c r="I2123" s="25">
        <v>100</v>
      </c>
      <c r="J2123" s="25">
        <v>260</v>
      </c>
      <c r="K2123" s="25">
        <v>200</v>
      </c>
      <c r="L2123" s="25">
        <v>60</v>
      </c>
      <c r="M2123" s="27">
        <v>30</v>
      </c>
      <c r="N2123" s="25" t="s">
        <v>55</v>
      </c>
      <c r="O2123" s="25" t="s">
        <v>27</v>
      </c>
      <c r="P2123" s="25" t="s">
        <v>32</v>
      </c>
    </row>
    <row r="2124" spans="1:16" x14ac:dyDescent="0.3">
      <c r="A2124" s="25">
        <v>2123</v>
      </c>
      <c r="B2124" s="26">
        <v>45659</v>
      </c>
      <c r="C2124" s="25" t="s">
        <v>70</v>
      </c>
      <c r="D2124" s="25" t="s">
        <v>22</v>
      </c>
      <c r="E2124" s="25" t="s">
        <v>90</v>
      </c>
      <c r="F2124" s="25">
        <v>2.5</v>
      </c>
      <c r="G2124" s="25" t="s">
        <v>91</v>
      </c>
      <c r="H2124" s="25">
        <v>280</v>
      </c>
      <c r="I2124" s="25">
        <v>240</v>
      </c>
      <c r="J2124" s="25">
        <v>700</v>
      </c>
      <c r="K2124" s="25">
        <v>600</v>
      </c>
      <c r="L2124" s="25">
        <v>100</v>
      </c>
      <c r="M2124" s="27">
        <v>16.6666666666667</v>
      </c>
      <c r="N2124" s="25" t="s">
        <v>55</v>
      </c>
      <c r="O2124" s="25" t="s">
        <v>28</v>
      </c>
      <c r="P2124" s="25" t="s">
        <v>32</v>
      </c>
    </row>
    <row r="2125" spans="1:16" x14ac:dyDescent="0.3">
      <c r="A2125" s="25">
        <v>2124</v>
      </c>
      <c r="B2125" s="26">
        <v>45659</v>
      </c>
      <c r="C2125" s="25" t="s">
        <v>70</v>
      </c>
      <c r="D2125" s="25" t="s">
        <v>22</v>
      </c>
      <c r="E2125" s="25" t="s">
        <v>101</v>
      </c>
      <c r="F2125" s="25">
        <v>6</v>
      </c>
      <c r="G2125" s="25" t="s">
        <v>102</v>
      </c>
      <c r="H2125" s="25">
        <v>6</v>
      </c>
      <c r="I2125" s="25">
        <v>4</v>
      </c>
      <c r="J2125" s="25">
        <v>36</v>
      </c>
      <c r="K2125" s="25">
        <v>24</v>
      </c>
      <c r="L2125" s="25">
        <v>12</v>
      </c>
      <c r="M2125" s="27">
        <v>50</v>
      </c>
      <c r="N2125" s="25" t="s">
        <v>55</v>
      </c>
      <c r="O2125" s="25" t="s">
        <v>28</v>
      </c>
      <c r="P2125" s="25" t="s">
        <v>32</v>
      </c>
    </row>
    <row r="2126" spans="1:16" x14ac:dyDescent="0.3">
      <c r="A2126" s="25">
        <v>2125</v>
      </c>
      <c r="B2126" s="26">
        <v>45660</v>
      </c>
      <c r="C2126" s="25" t="s">
        <v>70</v>
      </c>
      <c r="D2126" s="25" t="s">
        <v>21</v>
      </c>
      <c r="E2126" s="25" t="s">
        <v>88</v>
      </c>
      <c r="F2126" s="25">
        <v>2</v>
      </c>
      <c r="G2126" s="25" t="s">
        <v>89</v>
      </c>
      <c r="H2126" s="25">
        <v>130</v>
      </c>
      <c r="I2126" s="25">
        <v>100</v>
      </c>
      <c r="J2126" s="25">
        <v>260</v>
      </c>
      <c r="K2126" s="25">
        <v>200</v>
      </c>
      <c r="L2126" s="25">
        <v>60</v>
      </c>
      <c r="M2126" s="27">
        <v>30</v>
      </c>
      <c r="N2126" s="25" t="s">
        <v>55</v>
      </c>
      <c r="O2126" s="25" t="s">
        <v>27</v>
      </c>
      <c r="P2126" s="25" t="s">
        <v>32</v>
      </c>
    </row>
    <row r="2127" spans="1:16" x14ac:dyDescent="0.3">
      <c r="A2127" s="25">
        <v>2126</v>
      </c>
      <c r="B2127" s="26">
        <v>45660</v>
      </c>
      <c r="C2127" s="25" t="s">
        <v>70</v>
      </c>
      <c r="D2127" s="25" t="s">
        <v>21</v>
      </c>
      <c r="E2127" s="25" t="s">
        <v>88</v>
      </c>
      <c r="F2127" s="25">
        <v>3</v>
      </c>
      <c r="G2127" s="25" t="s">
        <v>89</v>
      </c>
      <c r="H2127" s="25">
        <v>130</v>
      </c>
      <c r="I2127" s="25">
        <v>100</v>
      </c>
      <c r="J2127" s="25">
        <v>390</v>
      </c>
      <c r="K2127" s="25">
        <v>300</v>
      </c>
      <c r="L2127" s="25">
        <v>90</v>
      </c>
      <c r="M2127" s="27">
        <v>30</v>
      </c>
      <c r="N2127" s="25" t="s">
        <v>55</v>
      </c>
      <c r="O2127" s="25" t="s">
        <v>27</v>
      </c>
      <c r="P2127" s="25" t="s">
        <v>32</v>
      </c>
    </row>
    <row r="2128" spans="1:16" x14ac:dyDescent="0.3">
      <c r="A2128" s="25">
        <v>2127</v>
      </c>
      <c r="B2128" s="26">
        <v>45660</v>
      </c>
      <c r="C2128" s="25" t="s">
        <v>70</v>
      </c>
      <c r="D2128" s="25" t="s">
        <v>22</v>
      </c>
      <c r="E2128" s="25" t="s">
        <v>92</v>
      </c>
      <c r="F2128" s="25">
        <v>2</v>
      </c>
      <c r="G2128" s="25" t="s">
        <v>91</v>
      </c>
      <c r="H2128" s="25">
        <v>260</v>
      </c>
      <c r="I2128" s="25">
        <v>220</v>
      </c>
      <c r="J2128" s="25">
        <v>520</v>
      </c>
      <c r="K2128" s="25">
        <v>440</v>
      </c>
      <c r="L2128" s="25">
        <v>80</v>
      </c>
      <c r="M2128" s="27">
        <v>18.181818181818201</v>
      </c>
      <c r="N2128" s="25" t="s">
        <v>55</v>
      </c>
      <c r="O2128" s="25" t="s">
        <v>28</v>
      </c>
      <c r="P2128" s="25" t="s">
        <v>32</v>
      </c>
    </row>
    <row r="2129" spans="1:16" x14ac:dyDescent="0.3">
      <c r="A2129" s="25">
        <v>2128</v>
      </c>
      <c r="B2129" s="26">
        <v>45660</v>
      </c>
      <c r="C2129" s="25" t="s">
        <v>70</v>
      </c>
      <c r="D2129" s="25" t="s">
        <v>22</v>
      </c>
      <c r="E2129" s="25" t="s">
        <v>96</v>
      </c>
      <c r="F2129" s="25">
        <v>1</v>
      </c>
      <c r="G2129" s="25" t="s">
        <v>97</v>
      </c>
      <c r="H2129" s="25">
        <v>300</v>
      </c>
      <c r="I2129" s="25">
        <v>265</v>
      </c>
      <c r="J2129" s="25">
        <v>300</v>
      </c>
      <c r="K2129" s="25">
        <v>265</v>
      </c>
      <c r="L2129" s="25">
        <v>35</v>
      </c>
      <c r="M2129" s="27">
        <v>13.207547169811299</v>
      </c>
      <c r="N2129" s="25" t="s">
        <v>55</v>
      </c>
      <c r="O2129" s="25" t="s">
        <v>28</v>
      </c>
      <c r="P2129" s="25" t="s">
        <v>32</v>
      </c>
    </row>
    <row r="2130" spans="1:16" x14ac:dyDescent="0.3">
      <c r="A2130" s="25">
        <v>2129</v>
      </c>
      <c r="B2130" s="26">
        <v>45660</v>
      </c>
      <c r="C2130" s="25" t="s">
        <v>70</v>
      </c>
      <c r="D2130" s="25" t="s">
        <v>22</v>
      </c>
      <c r="E2130" s="25" t="s">
        <v>103</v>
      </c>
      <c r="F2130" s="25">
        <v>2</v>
      </c>
      <c r="G2130" s="25" t="s">
        <v>102</v>
      </c>
      <c r="H2130" s="25">
        <v>30</v>
      </c>
      <c r="I2130" s="25">
        <v>20</v>
      </c>
      <c r="J2130" s="25">
        <v>60</v>
      </c>
      <c r="K2130" s="25">
        <v>40</v>
      </c>
      <c r="L2130" s="25">
        <v>20</v>
      </c>
      <c r="M2130" s="27">
        <v>50</v>
      </c>
      <c r="N2130" s="25" t="s">
        <v>55</v>
      </c>
      <c r="O2130" s="25" t="s">
        <v>28</v>
      </c>
      <c r="P2130" s="25" t="s">
        <v>32</v>
      </c>
    </row>
    <row r="2131" spans="1:16" x14ac:dyDescent="0.3">
      <c r="A2131" s="25">
        <v>2130</v>
      </c>
      <c r="B2131" s="26">
        <v>45660</v>
      </c>
      <c r="C2131" s="25" t="s">
        <v>70</v>
      </c>
      <c r="D2131" s="25" t="s">
        <v>22</v>
      </c>
      <c r="E2131" s="25" t="s">
        <v>101</v>
      </c>
      <c r="F2131" s="25">
        <v>6</v>
      </c>
      <c r="G2131" s="25" t="s">
        <v>102</v>
      </c>
      <c r="H2131" s="25">
        <v>6</v>
      </c>
      <c r="I2131" s="25">
        <v>4</v>
      </c>
      <c r="J2131" s="25">
        <v>36</v>
      </c>
      <c r="K2131" s="25">
        <v>24</v>
      </c>
      <c r="L2131" s="25">
        <v>12</v>
      </c>
      <c r="M2131" s="27">
        <v>50</v>
      </c>
      <c r="N2131" s="25" t="s">
        <v>55</v>
      </c>
      <c r="O2131" s="25" t="s">
        <v>28</v>
      </c>
      <c r="P2131" s="25" t="s">
        <v>32</v>
      </c>
    </row>
    <row r="2132" spans="1:16" x14ac:dyDescent="0.3">
      <c r="A2132" s="25">
        <v>2131</v>
      </c>
      <c r="B2132" s="26">
        <v>45660</v>
      </c>
      <c r="C2132" s="25" t="s">
        <v>70</v>
      </c>
      <c r="D2132" s="25" t="s">
        <v>21</v>
      </c>
      <c r="E2132" s="25" t="s">
        <v>88</v>
      </c>
      <c r="F2132" s="25">
        <v>4</v>
      </c>
      <c r="G2132" s="25" t="s">
        <v>89</v>
      </c>
      <c r="H2132" s="25">
        <v>130</v>
      </c>
      <c r="I2132" s="25">
        <v>100</v>
      </c>
      <c r="J2132" s="25">
        <v>520</v>
      </c>
      <c r="K2132" s="25">
        <v>400</v>
      </c>
      <c r="L2132" s="25">
        <v>120</v>
      </c>
      <c r="M2132" s="27">
        <v>30</v>
      </c>
      <c r="N2132" s="25" t="s">
        <v>55</v>
      </c>
      <c r="O2132" s="25" t="s">
        <v>27</v>
      </c>
      <c r="P2132" s="25" t="s">
        <v>32</v>
      </c>
    </row>
    <row r="2133" spans="1:16" x14ac:dyDescent="0.3">
      <c r="A2133" s="25">
        <v>2132</v>
      </c>
      <c r="B2133" s="26">
        <v>45660</v>
      </c>
      <c r="C2133" s="25" t="s">
        <v>70</v>
      </c>
      <c r="D2133" s="25" t="s">
        <v>22</v>
      </c>
      <c r="E2133" s="25" t="s">
        <v>92</v>
      </c>
      <c r="F2133" s="25">
        <v>2.5</v>
      </c>
      <c r="G2133" s="25" t="s">
        <v>91</v>
      </c>
      <c r="H2133" s="25">
        <v>260</v>
      </c>
      <c r="I2133" s="25">
        <v>220</v>
      </c>
      <c r="J2133" s="25">
        <v>650</v>
      </c>
      <c r="K2133" s="25">
        <v>550</v>
      </c>
      <c r="L2133" s="25">
        <v>100</v>
      </c>
      <c r="M2133" s="27">
        <v>18.181818181818201</v>
      </c>
      <c r="N2133" s="25" t="s">
        <v>55</v>
      </c>
      <c r="O2133" s="25" t="s">
        <v>28</v>
      </c>
      <c r="P2133" s="25" t="s">
        <v>32</v>
      </c>
    </row>
    <row r="2134" spans="1:16" x14ac:dyDescent="0.3">
      <c r="A2134" s="25">
        <v>2133</v>
      </c>
      <c r="B2134" s="26">
        <v>45660</v>
      </c>
      <c r="C2134" s="25" t="s">
        <v>70</v>
      </c>
      <c r="D2134" s="25" t="s">
        <v>22</v>
      </c>
      <c r="E2134" s="25" t="s">
        <v>90</v>
      </c>
      <c r="F2134" s="25">
        <v>2</v>
      </c>
      <c r="G2134" s="25" t="s">
        <v>91</v>
      </c>
      <c r="H2134" s="25">
        <v>280</v>
      </c>
      <c r="I2134" s="25">
        <v>240</v>
      </c>
      <c r="J2134" s="25">
        <v>560</v>
      </c>
      <c r="K2134" s="25">
        <v>480</v>
      </c>
      <c r="L2134" s="25">
        <v>80</v>
      </c>
      <c r="M2134" s="27">
        <v>16.6666666666667</v>
      </c>
      <c r="N2134" s="25" t="s">
        <v>55</v>
      </c>
      <c r="O2134" s="25" t="s">
        <v>28</v>
      </c>
      <c r="P2134" s="25" t="s">
        <v>32</v>
      </c>
    </row>
    <row r="2135" spans="1:16" x14ac:dyDescent="0.3">
      <c r="A2135" s="25">
        <v>2134</v>
      </c>
      <c r="B2135" s="26">
        <v>45660</v>
      </c>
      <c r="C2135" s="25" t="s">
        <v>70</v>
      </c>
      <c r="D2135" s="25" t="s">
        <v>22</v>
      </c>
      <c r="E2135" s="25" t="s">
        <v>101</v>
      </c>
      <c r="F2135" s="25">
        <v>5</v>
      </c>
      <c r="G2135" s="25" t="s">
        <v>102</v>
      </c>
      <c r="H2135" s="25">
        <v>6</v>
      </c>
      <c r="I2135" s="25">
        <v>4</v>
      </c>
      <c r="J2135" s="25">
        <v>30</v>
      </c>
      <c r="K2135" s="25">
        <v>20</v>
      </c>
      <c r="L2135" s="25">
        <v>10</v>
      </c>
      <c r="M2135" s="27">
        <v>50</v>
      </c>
      <c r="N2135" s="25" t="s">
        <v>55</v>
      </c>
      <c r="O2135" s="25" t="s">
        <v>28</v>
      </c>
      <c r="P2135" s="25" t="s">
        <v>32</v>
      </c>
    </row>
    <row r="2136" spans="1:16" x14ac:dyDescent="0.3">
      <c r="A2136" s="25">
        <v>2135</v>
      </c>
      <c r="B2136" s="26">
        <v>45660</v>
      </c>
      <c r="C2136" s="25" t="s">
        <v>70</v>
      </c>
      <c r="D2136" s="25" t="s">
        <v>22</v>
      </c>
      <c r="E2136" s="25" t="s">
        <v>90</v>
      </c>
      <c r="F2136" s="25">
        <v>0.25</v>
      </c>
      <c r="G2136" s="25" t="s">
        <v>91</v>
      </c>
      <c r="H2136" s="25">
        <v>280</v>
      </c>
      <c r="I2136" s="25">
        <v>240</v>
      </c>
      <c r="J2136" s="25">
        <v>70</v>
      </c>
      <c r="K2136" s="25">
        <v>60</v>
      </c>
      <c r="L2136" s="25">
        <v>10</v>
      </c>
      <c r="M2136" s="27">
        <v>16.6666666666667</v>
      </c>
      <c r="N2136" s="25" t="s">
        <v>55</v>
      </c>
      <c r="O2136" s="25" t="s">
        <v>28</v>
      </c>
      <c r="P2136" s="25" t="s">
        <v>32</v>
      </c>
    </row>
    <row r="2137" spans="1:16" x14ac:dyDescent="0.3">
      <c r="A2137" s="25">
        <v>2136</v>
      </c>
      <c r="B2137" s="26">
        <v>45660</v>
      </c>
      <c r="C2137" s="25" t="s">
        <v>70</v>
      </c>
      <c r="D2137" s="25" t="s">
        <v>22</v>
      </c>
      <c r="E2137" s="25" t="s">
        <v>103</v>
      </c>
      <c r="F2137" s="25">
        <v>1</v>
      </c>
      <c r="G2137" s="25" t="s">
        <v>102</v>
      </c>
      <c r="H2137" s="25">
        <v>30</v>
      </c>
      <c r="I2137" s="25">
        <v>20</v>
      </c>
      <c r="J2137" s="25">
        <v>30</v>
      </c>
      <c r="K2137" s="25">
        <v>20</v>
      </c>
      <c r="L2137" s="25">
        <v>10</v>
      </c>
      <c r="M2137" s="27">
        <v>50</v>
      </c>
      <c r="N2137" s="25" t="s">
        <v>55</v>
      </c>
      <c r="O2137" s="25" t="s">
        <v>28</v>
      </c>
      <c r="P2137" s="25" t="s">
        <v>32</v>
      </c>
    </row>
    <row r="2138" spans="1:16" x14ac:dyDescent="0.3">
      <c r="A2138" s="25">
        <v>2137</v>
      </c>
      <c r="B2138" s="26">
        <v>45660</v>
      </c>
      <c r="C2138" s="25" t="s">
        <v>70</v>
      </c>
      <c r="D2138" s="25" t="s">
        <v>21</v>
      </c>
      <c r="E2138" s="25" t="s">
        <v>88</v>
      </c>
      <c r="F2138" s="25">
        <v>2</v>
      </c>
      <c r="G2138" s="25" t="s">
        <v>89</v>
      </c>
      <c r="H2138" s="25">
        <v>130</v>
      </c>
      <c r="I2138" s="25">
        <v>100</v>
      </c>
      <c r="J2138" s="25">
        <v>260</v>
      </c>
      <c r="K2138" s="25">
        <v>200</v>
      </c>
      <c r="L2138" s="25">
        <v>60</v>
      </c>
      <c r="M2138" s="27">
        <v>30</v>
      </c>
      <c r="N2138" s="25" t="s">
        <v>55</v>
      </c>
      <c r="O2138" s="25" t="s">
        <v>27</v>
      </c>
      <c r="P2138" s="25" t="s">
        <v>33</v>
      </c>
    </row>
    <row r="2139" spans="1:16" x14ac:dyDescent="0.3">
      <c r="A2139" s="25">
        <v>2138</v>
      </c>
      <c r="B2139" s="26">
        <v>45660</v>
      </c>
      <c r="C2139" s="25" t="s">
        <v>70</v>
      </c>
      <c r="D2139" s="25" t="s">
        <v>22</v>
      </c>
      <c r="E2139" s="25" t="s">
        <v>90</v>
      </c>
      <c r="F2139" s="25">
        <v>1</v>
      </c>
      <c r="G2139" s="25" t="s">
        <v>91</v>
      </c>
      <c r="H2139" s="25">
        <v>280</v>
      </c>
      <c r="I2139" s="25">
        <v>240</v>
      </c>
      <c r="J2139" s="25">
        <v>280</v>
      </c>
      <c r="K2139" s="25">
        <v>240</v>
      </c>
      <c r="L2139" s="25">
        <v>40</v>
      </c>
      <c r="M2139" s="27">
        <v>16.6666666666667</v>
      </c>
      <c r="N2139" s="25" t="s">
        <v>55</v>
      </c>
      <c r="O2139" s="25" t="s">
        <v>28</v>
      </c>
      <c r="P2139" s="25" t="s">
        <v>32</v>
      </c>
    </row>
    <row r="2140" spans="1:16" x14ac:dyDescent="0.3">
      <c r="A2140" s="25">
        <v>2139</v>
      </c>
      <c r="B2140" s="26">
        <v>45661</v>
      </c>
      <c r="C2140" s="25" t="s">
        <v>70</v>
      </c>
      <c r="D2140" s="25" t="s">
        <v>22</v>
      </c>
      <c r="E2140" s="25" t="s">
        <v>101</v>
      </c>
      <c r="F2140" s="25">
        <v>6</v>
      </c>
      <c r="G2140" s="25" t="s">
        <v>102</v>
      </c>
      <c r="H2140" s="25">
        <v>6</v>
      </c>
      <c r="I2140" s="25">
        <v>4</v>
      </c>
      <c r="J2140" s="25">
        <v>36</v>
      </c>
      <c r="K2140" s="25">
        <v>24</v>
      </c>
      <c r="L2140" s="25">
        <v>12</v>
      </c>
      <c r="M2140" s="27">
        <v>50</v>
      </c>
      <c r="N2140" s="25" t="s">
        <v>55</v>
      </c>
      <c r="O2140" s="25" t="s">
        <v>28</v>
      </c>
      <c r="P2140" s="25" t="s">
        <v>32</v>
      </c>
    </row>
    <row r="2141" spans="1:16" x14ac:dyDescent="0.3">
      <c r="A2141" s="25">
        <v>2140</v>
      </c>
      <c r="B2141" s="26">
        <v>45661</v>
      </c>
      <c r="C2141" s="25" t="s">
        <v>70</v>
      </c>
      <c r="D2141" s="25" t="s">
        <v>22</v>
      </c>
      <c r="E2141" s="25" t="s">
        <v>96</v>
      </c>
      <c r="F2141" s="25">
        <v>1</v>
      </c>
      <c r="G2141" s="25" t="s">
        <v>97</v>
      </c>
      <c r="H2141" s="25">
        <v>300</v>
      </c>
      <c r="I2141" s="25">
        <v>265</v>
      </c>
      <c r="J2141" s="25">
        <v>300</v>
      </c>
      <c r="K2141" s="25">
        <v>265</v>
      </c>
      <c r="L2141" s="25">
        <v>35</v>
      </c>
      <c r="M2141" s="27">
        <v>13.207547169811299</v>
      </c>
      <c r="N2141" s="25" t="s">
        <v>55</v>
      </c>
      <c r="O2141" s="25" t="s">
        <v>28</v>
      </c>
      <c r="P2141" s="25" t="s">
        <v>32</v>
      </c>
    </row>
    <row r="2142" spans="1:16" x14ac:dyDescent="0.3">
      <c r="A2142" s="25">
        <v>2141</v>
      </c>
      <c r="B2142" s="26">
        <v>45661</v>
      </c>
      <c r="C2142" s="25" t="s">
        <v>70</v>
      </c>
      <c r="D2142" s="25" t="s">
        <v>21</v>
      </c>
      <c r="E2142" s="25" t="s">
        <v>88</v>
      </c>
      <c r="F2142" s="25">
        <v>3</v>
      </c>
      <c r="G2142" s="25" t="s">
        <v>89</v>
      </c>
      <c r="H2142" s="25">
        <v>130</v>
      </c>
      <c r="I2142" s="25">
        <v>100</v>
      </c>
      <c r="J2142" s="25">
        <v>390</v>
      </c>
      <c r="K2142" s="25">
        <v>300</v>
      </c>
      <c r="L2142" s="25">
        <v>90</v>
      </c>
      <c r="M2142" s="27">
        <v>30</v>
      </c>
      <c r="N2142" s="25" t="s">
        <v>55</v>
      </c>
      <c r="O2142" s="25" t="s">
        <v>27</v>
      </c>
      <c r="P2142" s="25" t="s">
        <v>32</v>
      </c>
    </row>
    <row r="2143" spans="1:16" x14ac:dyDescent="0.3">
      <c r="A2143" s="25">
        <v>2142</v>
      </c>
      <c r="B2143" s="26">
        <v>45661</v>
      </c>
      <c r="C2143" s="25" t="s">
        <v>70</v>
      </c>
      <c r="D2143" s="25" t="s">
        <v>21</v>
      </c>
      <c r="E2143" s="25" t="s">
        <v>88</v>
      </c>
      <c r="F2143" s="25">
        <v>2</v>
      </c>
      <c r="G2143" s="25" t="s">
        <v>89</v>
      </c>
      <c r="H2143" s="25">
        <v>130</v>
      </c>
      <c r="I2143" s="25">
        <v>100</v>
      </c>
      <c r="J2143" s="25">
        <v>260</v>
      </c>
      <c r="K2143" s="25">
        <v>200</v>
      </c>
      <c r="L2143" s="25">
        <v>60</v>
      </c>
      <c r="M2143" s="27">
        <v>30</v>
      </c>
      <c r="N2143" s="25" t="s">
        <v>55</v>
      </c>
      <c r="O2143" s="25" t="s">
        <v>27</v>
      </c>
      <c r="P2143" s="25" t="s">
        <v>32</v>
      </c>
    </row>
    <row r="2144" spans="1:16" x14ac:dyDescent="0.3">
      <c r="A2144" s="25">
        <v>2143</v>
      </c>
      <c r="B2144" s="26">
        <v>45661</v>
      </c>
      <c r="C2144" s="25" t="s">
        <v>70</v>
      </c>
      <c r="D2144" s="25" t="s">
        <v>22</v>
      </c>
      <c r="E2144" s="25" t="s">
        <v>92</v>
      </c>
      <c r="F2144" s="25">
        <v>1</v>
      </c>
      <c r="G2144" s="25" t="s">
        <v>91</v>
      </c>
      <c r="H2144" s="25">
        <v>260</v>
      </c>
      <c r="I2144" s="25">
        <v>220</v>
      </c>
      <c r="J2144" s="25">
        <v>260</v>
      </c>
      <c r="K2144" s="25">
        <v>220</v>
      </c>
      <c r="L2144" s="25">
        <v>40</v>
      </c>
      <c r="M2144" s="27">
        <v>18.181818181818201</v>
      </c>
      <c r="N2144" s="25" t="s">
        <v>55</v>
      </c>
      <c r="O2144" s="25" t="s">
        <v>28</v>
      </c>
      <c r="P2144" s="25" t="s">
        <v>32</v>
      </c>
    </row>
    <row r="2145" spans="1:16" x14ac:dyDescent="0.3">
      <c r="A2145" s="25">
        <v>2144</v>
      </c>
      <c r="B2145" s="26">
        <v>45661</v>
      </c>
      <c r="C2145" s="25" t="s">
        <v>70</v>
      </c>
      <c r="D2145" s="25" t="s">
        <v>22</v>
      </c>
      <c r="E2145" s="25" t="s">
        <v>90</v>
      </c>
      <c r="F2145" s="25">
        <v>1</v>
      </c>
      <c r="G2145" s="25" t="s">
        <v>91</v>
      </c>
      <c r="H2145" s="25">
        <v>280</v>
      </c>
      <c r="I2145" s="25">
        <v>240</v>
      </c>
      <c r="J2145" s="25">
        <v>280</v>
      </c>
      <c r="K2145" s="25">
        <v>240</v>
      </c>
      <c r="L2145" s="25">
        <v>40</v>
      </c>
      <c r="M2145" s="27">
        <v>16.6666666666667</v>
      </c>
      <c r="N2145" s="25" t="s">
        <v>55</v>
      </c>
      <c r="O2145" s="25" t="s">
        <v>28</v>
      </c>
      <c r="P2145" s="25" t="s">
        <v>32</v>
      </c>
    </row>
    <row r="2146" spans="1:16" x14ac:dyDescent="0.3">
      <c r="A2146" s="25">
        <v>2145</v>
      </c>
      <c r="B2146" s="26">
        <v>45661</v>
      </c>
      <c r="C2146" s="25" t="s">
        <v>70</v>
      </c>
      <c r="D2146" s="25" t="s">
        <v>22</v>
      </c>
      <c r="E2146" s="25" t="s">
        <v>101</v>
      </c>
      <c r="F2146" s="25">
        <v>15</v>
      </c>
      <c r="G2146" s="25" t="s">
        <v>102</v>
      </c>
      <c r="H2146" s="25">
        <v>6</v>
      </c>
      <c r="I2146" s="25">
        <v>4</v>
      </c>
      <c r="J2146" s="25">
        <v>90</v>
      </c>
      <c r="K2146" s="25">
        <v>60</v>
      </c>
      <c r="L2146" s="25">
        <v>30</v>
      </c>
      <c r="M2146" s="27">
        <v>50</v>
      </c>
      <c r="N2146" s="25" t="s">
        <v>55</v>
      </c>
      <c r="O2146" s="25" t="s">
        <v>28</v>
      </c>
      <c r="P2146" s="25" t="s">
        <v>32</v>
      </c>
    </row>
    <row r="2147" spans="1:16" x14ac:dyDescent="0.3">
      <c r="A2147" s="25">
        <v>2146</v>
      </c>
      <c r="B2147" s="26">
        <v>45661</v>
      </c>
      <c r="C2147" s="25" t="s">
        <v>70</v>
      </c>
      <c r="D2147" s="25" t="s">
        <v>22</v>
      </c>
      <c r="E2147" s="25" t="s">
        <v>90</v>
      </c>
      <c r="F2147" s="25">
        <v>2</v>
      </c>
      <c r="G2147" s="25" t="s">
        <v>91</v>
      </c>
      <c r="H2147" s="25">
        <v>280</v>
      </c>
      <c r="I2147" s="25">
        <v>240</v>
      </c>
      <c r="J2147" s="25">
        <v>560</v>
      </c>
      <c r="K2147" s="25">
        <v>480</v>
      </c>
      <c r="L2147" s="25">
        <v>80</v>
      </c>
      <c r="M2147" s="27">
        <v>16.6666666666667</v>
      </c>
      <c r="N2147" s="25" t="s">
        <v>55</v>
      </c>
      <c r="O2147" s="25" t="s">
        <v>28</v>
      </c>
      <c r="P2147" s="25" t="s">
        <v>32</v>
      </c>
    </row>
    <row r="2148" spans="1:16" x14ac:dyDescent="0.3">
      <c r="A2148" s="25">
        <v>2147</v>
      </c>
      <c r="B2148" s="26">
        <v>45661</v>
      </c>
      <c r="C2148" s="25" t="s">
        <v>70</v>
      </c>
      <c r="D2148" s="25" t="s">
        <v>22</v>
      </c>
      <c r="E2148" s="25" t="s">
        <v>90</v>
      </c>
      <c r="F2148" s="25">
        <v>2.5</v>
      </c>
      <c r="G2148" s="25" t="s">
        <v>91</v>
      </c>
      <c r="H2148" s="25">
        <v>280</v>
      </c>
      <c r="I2148" s="25">
        <v>240</v>
      </c>
      <c r="J2148" s="25">
        <v>700</v>
      </c>
      <c r="K2148" s="25">
        <v>600</v>
      </c>
      <c r="L2148" s="25">
        <v>100</v>
      </c>
      <c r="M2148" s="27">
        <v>16.6666666666667</v>
      </c>
      <c r="N2148" s="25" t="s">
        <v>55</v>
      </c>
      <c r="O2148" s="25" t="s">
        <v>28</v>
      </c>
      <c r="P2148" s="25" t="s">
        <v>32</v>
      </c>
    </row>
    <row r="2149" spans="1:16" x14ac:dyDescent="0.3">
      <c r="A2149" s="25">
        <v>2148</v>
      </c>
      <c r="B2149" s="26">
        <v>45662</v>
      </c>
      <c r="C2149" s="25" t="s">
        <v>70</v>
      </c>
      <c r="D2149" s="25" t="s">
        <v>22</v>
      </c>
      <c r="E2149" s="25" t="s">
        <v>101</v>
      </c>
      <c r="F2149" s="25">
        <v>6</v>
      </c>
      <c r="G2149" s="25" t="s">
        <v>102</v>
      </c>
      <c r="H2149" s="25">
        <v>6</v>
      </c>
      <c r="I2149" s="25">
        <v>4</v>
      </c>
      <c r="J2149" s="25">
        <v>36</v>
      </c>
      <c r="K2149" s="25">
        <v>24</v>
      </c>
      <c r="L2149" s="25">
        <v>12</v>
      </c>
      <c r="M2149" s="27">
        <v>50</v>
      </c>
      <c r="N2149" s="25" t="s">
        <v>55</v>
      </c>
      <c r="O2149" s="25" t="s">
        <v>28</v>
      </c>
      <c r="P2149" s="25" t="s">
        <v>32</v>
      </c>
    </row>
    <row r="2150" spans="1:16" x14ac:dyDescent="0.3">
      <c r="A2150" s="25">
        <v>2149</v>
      </c>
      <c r="B2150" s="26">
        <v>45662</v>
      </c>
      <c r="C2150" s="25" t="s">
        <v>70</v>
      </c>
      <c r="D2150" s="25" t="s">
        <v>21</v>
      </c>
      <c r="E2150" s="25" t="s">
        <v>88</v>
      </c>
      <c r="F2150" s="25">
        <v>3</v>
      </c>
      <c r="G2150" s="25" t="s">
        <v>89</v>
      </c>
      <c r="H2150" s="25">
        <v>130</v>
      </c>
      <c r="I2150" s="25">
        <v>100</v>
      </c>
      <c r="J2150" s="25">
        <v>390</v>
      </c>
      <c r="K2150" s="25">
        <v>300</v>
      </c>
      <c r="L2150" s="25">
        <v>90</v>
      </c>
      <c r="M2150" s="27">
        <v>30</v>
      </c>
      <c r="N2150" s="25" t="s">
        <v>55</v>
      </c>
      <c r="O2150" s="25" t="s">
        <v>27</v>
      </c>
      <c r="P2150" s="25" t="s">
        <v>33</v>
      </c>
    </row>
    <row r="2151" spans="1:16" x14ac:dyDescent="0.3">
      <c r="A2151" s="25">
        <v>2150</v>
      </c>
      <c r="B2151" s="26">
        <v>45662</v>
      </c>
      <c r="C2151" s="25" t="s">
        <v>70</v>
      </c>
      <c r="D2151" s="25" t="s">
        <v>22</v>
      </c>
      <c r="E2151" s="25" t="s">
        <v>90</v>
      </c>
      <c r="F2151" s="25">
        <v>0.25</v>
      </c>
      <c r="G2151" s="25" t="s">
        <v>91</v>
      </c>
      <c r="H2151" s="25">
        <v>280</v>
      </c>
      <c r="I2151" s="25">
        <v>240</v>
      </c>
      <c r="J2151" s="25">
        <v>70</v>
      </c>
      <c r="K2151" s="25">
        <v>60</v>
      </c>
      <c r="L2151" s="25">
        <v>10</v>
      </c>
      <c r="M2151" s="27">
        <v>16.6666666666667</v>
      </c>
      <c r="N2151" s="25" t="s">
        <v>55</v>
      </c>
      <c r="O2151" s="25" t="s">
        <v>28</v>
      </c>
      <c r="P2151" s="25" t="s">
        <v>33</v>
      </c>
    </row>
    <row r="2152" spans="1:16" x14ac:dyDescent="0.3">
      <c r="A2152" s="25">
        <v>2151</v>
      </c>
      <c r="B2152" s="26">
        <v>45662</v>
      </c>
      <c r="C2152" s="25" t="s">
        <v>70</v>
      </c>
      <c r="D2152" s="25" t="s">
        <v>22</v>
      </c>
      <c r="E2152" s="25" t="s">
        <v>101</v>
      </c>
      <c r="F2152" s="25">
        <v>10</v>
      </c>
      <c r="G2152" s="25" t="s">
        <v>102</v>
      </c>
      <c r="H2152" s="25">
        <v>6</v>
      </c>
      <c r="I2152" s="25">
        <v>4</v>
      </c>
      <c r="J2152" s="25">
        <v>60</v>
      </c>
      <c r="K2152" s="25">
        <v>40</v>
      </c>
      <c r="L2152" s="25">
        <v>20</v>
      </c>
      <c r="M2152" s="27">
        <v>50</v>
      </c>
      <c r="N2152" s="25" t="s">
        <v>55</v>
      </c>
      <c r="O2152" s="25" t="s">
        <v>28</v>
      </c>
      <c r="P2152" s="25" t="s">
        <v>32</v>
      </c>
    </row>
    <row r="2153" spans="1:16" x14ac:dyDescent="0.3">
      <c r="A2153" s="25">
        <v>2152</v>
      </c>
      <c r="B2153" s="26">
        <v>45662</v>
      </c>
      <c r="C2153" s="25" t="s">
        <v>70</v>
      </c>
      <c r="D2153" s="25" t="s">
        <v>22</v>
      </c>
      <c r="E2153" s="25" t="s">
        <v>96</v>
      </c>
      <c r="F2153" s="25">
        <v>1</v>
      </c>
      <c r="G2153" s="25" t="s">
        <v>97</v>
      </c>
      <c r="H2153" s="25">
        <v>300</v>
      </c>
      <c r="I2153" s="25">
        <v>265</v>
      </c>
      <c r="J2153" s="25">
        <v>300</v>
      </c>
      <c r="K2153" s="25">
        <v>265</v>
      </c>
      <c r="L2153" s="25">
        <v>35</v>
      </c>
      <c r="M2153" s="27">
        <v>13.207547169811299</v>
      </c>
      <c r="N2153" s="25" t="s">
        <v>55</v>
      </c>
      <c r="O2153" s="25" t="s">
        <v>28</v>
      </c>
      <c r="P2153" s="25" t="s">
        <v>32</v>
      </c>
    </row>
    <row r="2154" spans="1:16" x14ac:dyDescent="0.3">
      <c r="A2154" s="25">
        <v>2153</v>
      </c>
      <c r="B2154" s="26">
        <v>45662</v>
      </c>
      <c r="C2154" s="25" t="s">
        <v>70</v>
      </c>
      <c r="D2154" s="25" t="s">
        <v>22</v>
      </c>
      <c r="E2154" s="25" t="s">
        <v>90</v>
      </c>
      <c r="F2154" s="25">
        <v>0.25</v>
      </c>
      <c r="G2154" s="25" t="s">
        <v>91</v>
      </c>
      <c r="H2154" s="25">
        <v>280</v>
      </c>
      <c r="I2154" s="25">
        <v>240</v>
      </c>
      <c r="J2154" s="25">
        <v>70</v>
      </c>
      <c r="K2154" s="25">
        <v>60</v>
      </c>
      <c r="L2154" s="25">
        <v>10</v>
      </c>
      <c r="M2154" s="27">
        <v>16.6666666666667</v>
      </c>
      <c r="N2154" s="25" t="s">
        <v>55</v>
      </c>
      <c r="O2154" s="25" t="s">
        <v>28</v>
      </c>
      <c r="P2154" s="25" t="s">
        <v>32</v>
      </c>
    </row>
    <row r="2155" spans="1:16" x14ac:dyDescent="0.3">
      <c r="A2155" s="25">
        <v>2154</v>
      </c>
      <c r="B2155" s="26">
        <v>45663</v>
      </c>
      <c r="C2155" s="25" t="s">
        <v>70</v>
      </c>
      <c r="D2155" s="25" t="s">
        <v>22</v>
      </c>
      <c r="E2155" s="25" t="s">
        <v>90</v>
      </c>
      <c r="F2155" s="25">
        <v>2.25</v>
      </c>
      <c r="G2155" s="25" t="s">
        <v>91</v>
      </c>
      <c r="H2155" s="25">
        <v>280</v>
      </c>
      <c r="I2155" s="25">
        <v>240</v>
      </c>
      <c r="J2155" s="25">
        <v>630</v>
      </c>
      <c r="K2155" s="25">
        <v>540</v>
      </c>
      <c r="L2155" s="25">
        <v>90</v>
      </c>
      <c r="M2155" s="27">
        <v>16.6666666666667</v>
      </c>
      <c r="N2155" s="25" t="s">
        <v>55</v>
      </c>
      <c r="O2155" s="25" t="s">
        <v>28</v>
      </c>
      <c r="P2155" s="25" t="s">
        <v>32</v>
      </c>
    </row>
    <row r="2156" spans="1:16" x14ac:dyDescent="0.3">
      <c r="A2156" s="25">
        <v>2155</v>
      </c>
      <c r="B2156" s="26">
        <v>45663</v>
      </c>
      <c r="C2156" s="25" t="s">
        <v>70</v>
      </c>
      <c r="D2156" s="25" t="s">
        <v>22</v>
      </c>
      <c r="E2156" s="25" t="s">
        <v>99</v>
      </c>
      <c r="F2156" s="25">
        <v>2</v>
      </c>
      <c r="G2156" s="25" t="s">
        <v>100</v>
      </c>
      <c r="H2156" s="25">
        <v>200</v>
      </c>
      <c r="I2156" s="25">
        <v>160</v>
      </c>
      <c r="J2156" s="25">
        <v>400</v>
      </c>
      <c r="K2156" s="25">
        <v>320</v>
      </c>
      <c r="L2156" s="25">
        <v>80</v>
      </c>
      <c r="M2156" s="27">
        <v>25</v>
      </c>
      <c r="N2156" s="25" t="s">
        <v>55</v>
      </c>
      <c r="O2156" s="25" t="s">
        <v>28</v>
      </c>
      <c r="P2156" s="25" t="s">
        <v>33</v>
      </c>
    </row>
    <row r="2157" spans="1:16" x14ac:dyDescent="0.3">
      <c r="A2157" s="25">
        <v>2156</v>
      </c>
      <c r="B2157" s="26">
        <v>45663</v>
      </c>
      <c r="C2157" s="25" t="s">
        <v>70</v>
      </c>
      <c r="D2157" s="25" t="s">
        <v>22</v>
      </c>
      <c r="E2157" s="25" t="s">
        <v>92</v>
      </c>
      <c r="F2157" s="25">
        <v>1</v>
      </c>
      <c r="G2157" s="25" t="s">
        <v>91</v>
      </c>
      <c r="H2157" s="25">
        <v>260</v>
      </c>
      <c r="I2157" s="25">
        <v>220</v>
      </c>
      <c r="J2157" s="25">
        <v>260</v>
      </c>
      <c r="K2157" s="25">
        <v>220</v>
      </c>
      <c r="L2157" s="25">
        <v>40</v>
      </c>
      <c r="M2157" s="27">
        <v>18.181818181818201</v>
      </c>
      <c r="N2157" s="25" t="s">
        <v>55</v>
      </c>
      <c r="O2157" s="25" t="s">
        <v>28</v>
      </c>
      <c r="P2157" s="25" t="s">
        <v>33</v>
      </c>
    </row>
    <row r="2158" spans="1:16" x14ac:dyDescent="0.3">
      <c r="A2158" s="25">
        <v>2157</v>
      </c>
      <c r="B2158" s="26">
        <v>45663</v>
      </c>
      <c r="C2158" s="25" t="s">
        <v>70</v>
      </c>
      <c r="D2158" s="25" t="s">
        <v>22</v>
      </c>
      <c r="E2158" s="25" t="s">
        <v>101</v>
      </c>
      <c r="F2158" s="25">
        <v>6</v>
      </c>
      <c r="G2158" s="25" t="s">
        <v>102</v>
      </c>
      <c r="H2158" s="25">
        <v>6</v>
      </c>
      <c r="I2158" s="25">
        <v>4</v>
      </c>
      <c r="J2158" s="25">
        <v>36</v>
      </c>
      <c r="K2158" s="25">
        <v>24</v>
      </c>
      <c r="L2158" s="25">
        <v>12</v>
      </c>
      <c r="M2158" s="27">
        <v>50</v>
      </c>
      <c r="N2158" s="25" t="s">
        <v>55</v>
      </c>
      <c r="O2158" s="25" t="s">
        <v>28</v>
      </c>
      <c r="P2158" s="25" t="s">
        <v>32</v>
      </c>
    </row>
    <row r="2159" spans="1:16" x14ac:dyDescent="0.3">
      <c r="A2159" s="25">
        <v>2158</v>
      </c>
      <c r="B2159" s="26">
        <v>45663</v>
      </c>
      <c r="C2159" s="25" t="s">
        <v>70</v>
      </c>
      <c r="D2159" s="25" t="s">
        <v>22</v>
      </c>
      <c r="E2159" s="25" t="s">
        <v>92</v>
      </c>
      <c r="F2159" s="25">
        <v>0.25</v>
      </c>
      <c r="G2159" s="25" t="s">
        <v>91</v>
      </c>
      <c r="H2159" s="25">
        <v>260</v>
      </c>
      <c r="I2159" s="25">
        <v>220</v>
      </c>
      <c r="J2159" s="25">
        <v>65</v>
      </c>
      <c r="K2159" s="25">
        <v>55</v>
      </c>
      <c r="L2159" s="25">
        <v>10</v>
      </c>
      <c r="M2159" s="27">
        <v>18.181818181818201</v>
      </c>
      <c r="N2159" s="25" t="s">
        <v>55</v>
      </c>
      <c r="O2159" s="25" t="s">
        <v>28</v>
      </c>
      <c r="P2159" s="25" t="s">
        <v>32</v>
      </c>
    </row>
    <row r="2160" spans="1:16" x14ac:dyDescent="0.3">
      <c r="A2160" s="25">
        <v>2159</v>
      </c>
      <c r="B2160" s="26">
        <v>45663</v>
      </c>
      <c r="C2160" s="25" t="s">
        <v>70</v>
      </c>
      <c r="D2160" s="25" t="s">
        <v>22</v>
      </c>
      <c r="E2160" s="25" t="s">
        <v>92</v>
      </c>
      <c r="F2160" s="25">
        <v>2.5</v>
      </c>
      <c r="G2160" s="25" t="s">
        <v>91</v>
      </c>
      <c r="H2160" s="25">
        <v>260</v>
      </c>
      <c r="I2160" s="25">
        <v>220</v>
      </c>
      <c r="J2160" s="25">
        <v>650</v>
      </c>
      <c r="K2160" s="25">
        <v>550</v>
      </c>
      <c r="L2160" s="25">
        <v>100</v>
      </c>
      <c r="M2160" s="27">
        <v>18.181818181818201</v>
      </c>
      <c r="N2160" s="25" t="s">
        <v>55</v>
      </c>
      <c r="O2160" s="25" t="s">
        <v>28</v>
      </c>
      <c r="P2160" s="25" t="s">
        <v>32</v>
      </c>
    </row>
    <row r="2161" spans="1:16" x14ac:dyDescent="0.3">
      <c r="A2161" s="25">
        <v>2160</v>
      </c>
      <c r="B2161" s="26">
        <v>45663</v>
      </c>
      <c r="C2161" s="25" t="s">
        <v>70</v>
      </c>
      <c r="D2161" s="25" t="s">
        <v>22</v>
      </c>
      <c r="E2161" s="25" t="s">
        <v>103</v>
      </c>
      <c r="F2161" s="25">
        <v>1</v>
      </c>
      <c r="G2161" s="25" t="s">
        <v>102</v>
      </c>
      <c r="H2161" s="25">
        <v>30</v>
      </c>
      <c r="I2161" s="25">
        <v>20</v>
      </c>
      <c r="J2161" s="25">
        <v>30</v>
      </c>
      <c r="K2161" s="25">
        <v>20</v>
      </c>
      <c r="L2161" s="25">
        <v>10</v>
      </c>
      <c r="M2161" s="27">
        <v>50</v>
      </c>
      <c r="N2161" s="25" t="s">
        <v>55</v>
      </c>
      <c r="O2161" s="25" t="s">
        <v>28</v>
      </c>
      <c r="P2161" s="25" t="s">
        <v>33</v>
      </c>
    </row>
    <row r="2162" spans="1:16" x14ac:dyDescent="0.3">
      <c r="A2162" s="25">
        <v>2161</v>
      </c>
      <c r="B2162" s="26">
        <v>45663</v>
      </c>
      <c r="C2162" s="25" t="s">
        <v>70</v>
      </c>
      <c r="D2162" s="25" t="s">
        <v>22</v>
      </c>
      <c r="E2162" s="25" t="s">
        <v>101</v>
      </c>
      <c r="F2162" s="25">
        <v>6</v>
      </c>
      <c r="G2162" s="25" t="s">
        <v>102</v>
      </c>
      <c r="H2162" s="25">
        <v>6</v>
      </c>
      <c r="I2162" s="25">
        <v>4</v>
      </c>
      <c r="J2162" s="25">
        <v>36</v>
      </c>
      <c r="K2162" s="25">
        <v>24</v>
      </c>
      <c r="L2162" s="25">
        <v>12</v>
      </c>
      <c r="M2162" s="27">
        <v>50</v>
      </c>
      <c r="N2162" s="25" t="s">
        <v>55</v>
      </c>
      <c r="O2162" s="25" t="s">
        <v>28</v>
      </c>
      <c r="P2162" s="25" t="s">
        <v>33</v>
      </c>
    </row>
    <row r="2163" spans="1:16" x14ac:dyDescent="0.3">
      <c r="A2163" s="25">
        <v>2162</v>
      </c>
      <c r="B2163" s="26">
        <v>45663</v>
      </c>
      <c r="C2163" s="25" t="s">
        <v>70</v>
      </c>
      <c r="D2163" s="25" t="s">
        <v>22</v>
      </c>
      <c r="E2163" s="25" t="s">
        <v>103</v>
      </c>
      <c r="F2163" s="25">
        <v>1</v>
      </c>
      <c r="G2163" s="25" t="s">
        <v>102</v>
      </c>
      <c r="H2163" s="25">
        <v>30</v>
      </c>
      <c r="I2163" s="25">
        <v>20</v>
      </c>
      <c r="J2163" s="25">
        <v>30</v>
      </c>
      <c r="K2163" s="25">
        <v>20</v>
      </c>
      <c r="L2163" s="25">
        <v>10</v>
      </c>
      <c r="M2163" s="27">
        <v>50</v>
      </c>
      <c r="N2163" s="25" t="s">
        <v>55</v>
      </c>
      <c r="O2163" s="25" t="s">
        <v>28</v>
      </c>
      <c r="P2163" s="25" t="s">
        <v>32</v>
      </c>
    </row>
    <row r="2164" spans="1:16" x14ac:dyDescent="0.3">
      <c r="A2164" s="25">
        <v>2163</v>
      </c>
      <c r="B2164" s="26">
        <v>45663</v>
      </c>
      <c r="C2164" s="25" t="s">
        <v>70</v>
      </c>
      <c r="D2164" s="25" t="s">
        <v>21</v>
      </c>
      <c r="E2164" s="25" t="s">
        <v>88</v>
      </c>
      <c r="F2164" s="25">
        <v>5</v>
      </c>
      <c r="G2164" s="25" t="s">
        <v>89</v>
      </c>
      <c r="H2164" s="25">
        <v>130</v>
      </c>
      <c r="I2164" s="25">
        <v>100</v>
      </c>
      <c r="J2164" s="25">
        <v>650</v>
      </c>
      <c r="K2164" s="25">
        <v>500</v>
      </c>
      <c r="L2164" s="25">
        <v>150</v>
      </c>
      <c r="M2164" s="27">
        <v>30</v>
      </c>
      <c r="N2164" s="25" t="s">
        <v>55</v>
      </c>
      <c r="O2164" s="25" t="s">
        <v>27</v>
      </c>
      <c r="P2164" s="25" t="s">
        <v>32</v>
      </c>
    </row>
    <row r="2165" spans="1:16" x14ac:dyDescent="0.3">
      <c r="A2165" s="25">
        <v>2164</v>
      </c>
      <c r="B2165" s="26">
        <v>45663</v>
      </c>
      <c r="C2165" s="25" t="s">
        <v>70</v>
      </c>
      <c r="D2165" s="25" t="s">
        <v>22</v>
      </c>
      <c r="E2165" s="25" t="s">
        <v>90</v>
      </c>
      <c r="F2165" s="25">
        <v>1.25</v>
      </c>
      <c r="G2165" s="25" t="s">
        <v>91</v>
      </c>
      <c r="H2165" s="25">
        <v>280</v>
      </c>
      <c r="I2165" s="25">
        <v>240</v>
      </c>
      <c r="J2165" s="25">
        <v>350</v>
      </c>
      <c r="K2165" s="25">
        <v>300</v>
      </c>
      <c r="L2165" s="25">
        <v>50</v>
      </c>
      <c r="M2165" s="27">
        <v>16.6666666666667</v>
      </c>
      <c r="N2165" s="25" t="s">
        <v>55</v>
      </c>
      <c r="O2165" s="25" t="s">
        <v>28</v>
      </c>
      <c r="P2165" s="25" t="s">
        <v>32</v>
      </c>
    </row>
    <row r="2166" spans="1:16" x14ac:dyDescent="0.3">
      <c r="A2166" s="25">
        <v>2165</v>
      </c>
      <c r="B2166" s="26">
        <v>45664</v>
      </c>
      <c r="C2166" s="25" t="s">
        <v>70</v>
      </c>
      <c r="D2166" s="25" t="s">
        <v>22</v>
      </c>
      <c r="E2166" s="25" t="s">
        <v>90</v>
      </c>
      <c r="F2166" s="25">
        <v>2.25</v>
      </c>
      <c r="G2166" s="25" t="s">
        <v>91</v>
      </c>
      <c r="H2166" s="25">
        <v>280</v>
      </c>
      <c r="I2166" s="25">
        <v>240</v>
      </c>
      <c r="J2166" s="25">
        <v>630</v>
      </c>
      <c r="K2166" s="25">
        <v>540</v>
      </c>
      <c r="L2166" s="25">
        <v>90</v>
      </c>
      <c r="M2166" s="27">
        <v>16.6666666666667</v>
      </c>
      <c r="N2166" s="25" t="s">
        <v>55</v>
      </c>
      <c r="O2166" s="25" t="s">
        <v>28</v>
      </c>
      <c r="P2166" s="25" t="s">
        <v>32</v>
      </c>
    </row>
    <row r="2167" spans="1:16" x14ac:dyDescent="0.3">
      <c r="A2167" s="25">
        <v>2166</v>
      </c>
      <c r="B2167" s="26">
        <v>45664</v>
      </c>
      <c r="C2167" s="25" t="s">
        <v>70</v>
      </c>
      <c r="D2167" s="25" t="s">
        <v>22</v>
      </c>
      <c r="E2167" s="25" t="s">
        <v>103</v>
      </c>
      <c r="F2167" s="25">
        <v>1</v>
      </c>
      <c r="G2167" s="25" t="s">
        <v>102</v>
      </c>
      <c r="H2167" s="25">
        <v>30</v>
      </c>
      <c r="I2167" s="25">
        <v>20</v>
      </c>
      <c r="J2167" s="25">
        <v>30</v>
      </c>
      <c r="K2167" s="25">
        <v>20</v>
      </c>
      <c r="L2167" s="25">
        <v>10</v>
      </c>
      <c r="M2167" s="27">
        <v>50</v>
      </c>
      <c r="N2167" s="25" t="s">
        <v>55</v>
      </c>
      <c r="O2167" s="25" t="s">
        <v>28</v>
      </c>
      <c r="P2167" s="25" t="s">
        <v>32</v>
      </c>
    </row>
    <row r="2168" spans="1:16" x14ac:dyDescent="0.3">
      <c r="A2168" s="25">
        <v>2167</v>
      </c>
      <c r="B2168" s="26">
        <v>45664</v>
      </c>
      <c r="C2168" s="25" t="s">
        <v>70</v>
      </c>
      <c r="D2168" s="25" t="s">
        <v>22</v>
      </c>
      <c r="E2168" s="25" t="s">
        <v>96</v>
      </c>
      <c r="F2168" s="25">
        <v>1</v>
      </c>
      <c r="G2168" s="25" t="s">
        <v>97</v>
      </c>
      <c r="H2168" s="25">
        <v>300</v>
      </c>
      <c r="I2168" s="25">
        <v>265</v>
      </c>
      <c r="J2168" s="25">
        <v>300</v>
      </c>
      <c r="K2168" s="25">
        <v>265</v>
      </c>
      <c r="L2168" s="25">
        <v>35</v>
      </c>
      <c r="M2168" s="27">
        <v>13.207547169811299</v>
      </c>
      <c r="N2168" s="25" t="s">
        <v>55</v>
      </c>
      <c r="O2168" s="25" t="s">
        <v>28</v>
      </c>
      <c r="P2168" s="25" t="s">
        <v>32</v>
      </c>
    </row>
    <row r="2169" spans="1:16" x14ac:dyDescent="0.3">
      <c r="A2169" s="25">
        <v>2168</v>
      </c>
      <c r="B2169" s="26">
        <v>45664</v>
      </c>
      <c r="C2169" s="25" t="s">
        <v>70</v>
      </c>
      <c r="D2169" s="25" t="s">
        <v>22</v>
      </c>
      <c r="E2169" s="25" t="s">
        <v>92</v>
      </c>
      <c r="F2169" s="25">
        <v>0.25</v>
      </c>
      <c r="G2169" s="25" t="s">
        <v>91</v>
      </c>
      <c r="H2169" s="25">
        <v>260</v>
      </c>
      <c r="I2169" s="25">
        <v>220</v>
      </c>
      <c r="J2169" s="25">
        <v>65</v>
      </c>
      <c r="K2169" s="25">
        <v>55</v>
      </c>
      <c r="L2169" s="25">
        <v>10</v>
      </c>
      <c r="M2169" s="27">
        <v>18.181818181818201</v>
      </c>
      <c r="N2169" s="25" t="s">
        <v>55</v>
      </c>
      <c r="O2169" s="25" t="s">
        <v>28</v>
      </c>
      <c r="P2169" s="25" t="s">
        <v>32</v>
      </c>
    </row>
    <row r="2170" spans="1:16" x14ac:dyDescent="0.3">
      <c r="A2170" s="25">
        <v>2169</v>
      </c>
      <c r="B2170" s="26">
        <v>45664</v>
      </c>
      <c r="C2170" s="25" t="s">
        <v>70</v>
      </c>
      <c r="D2170" s="25" t="s">
        <v>22</v>
      </c>
      <c r="E2170" s="25" t="s">
        <v>101</v>
      </c>
      <c r="F2170" s="25">
        <v>6</v>
      </c>
      <c r="G2170" s="25" t="s">
        <v>102</v>
      </c>
      <c r="H2170" s="25">
        <v>6</v>
      </c>
      <c r="I2170" s="25">
        <v>4</v>
      </c>
      <c r="J2170" s="25">
        <v>36</v>
      </c>
      <c r="K2170" s="25">
        <v>24</v>
      </c>
      <c r="L2170" s="25">
        <v>12</v>
      </c>
      <c r="M2170" s="27">
        <v>50</v>
      </c>
      <c r="N2170" s="25" t="s">
        <v>55</v>
      </c>
      <c r="O2170" s="25" t="s">
        <v>28</v>
      </c>
      <c r="P2170" s="25" t="s">
        <v>32</v>
      </c>
    </row>
    <row r="2171" spans="1:16" x14ac:dyDescent="0.3">
      <c r="A2171" s="25">
        <v>2170</v>
      </c>
      <c r="B2171" s="26">
        <v>45664</v>
      </c>
      <c r="C2171" s="25" t="s">
        <v>70</v>
      </c>
      <c r="D2171" s="25" t="s">
        <v>22</v>
      </c>
      <c r="E2171" s="25" t="s">
        <v>90</v>
      </c>
      <c r="F2171" s="25">
        <v>2.5</v>
      </c>
      <c r="G2171" s="25" t="s">
        <v>91</v>
      </c>
      <c r="H2171" s="25">
        <v>280</v>
      </c>
      <c r="I2171" s="25">
        <v>240</v>
      </c>
      <c r="J2171" s="25">
        <v>700</v>
      </c>
      <c r="K2171" s="25">
        <v>600</v>
      </c>
      <c r="L2171" s="25">
        <v>100</v>
      </c>
      <c r="M2171" s="27">
        <v>16.6666666666667</v>
      </c>
      <c r="N2171" s="25" t="s">
        <v>55</v>
      </c>
      <c r="O2171" s="25" t="s">
        <v>28</v>
      </c>
      <c r="P2171" s="25" t="s">
        <v>32</v>
      </c>
    </row>
    <row r="2172" spans="1:16" x14ac:dyDescent="0.3">
      <c r="A2172" s="25">
        <v>2171</v>
      </c>
      <c r="B2172" s="26">
        <v>45664</v>
      </c>
      <c r="C2172" s="25" t="s">
        <v>70</v>
      </c>
      <c r="D2172" s="25" t="s">
        <v>22</v>
      </c>
      <c r="E2172" s="25" t="s">
        <v>92</v>
      </c>
      <c r="F2172" s="25">
        <v>2</v>
      </c>
      <c r="G2172" s="25" t="s">
        <v>91</v>
      </c>
      <c r="H2172" s="25">
        <v>260</v>
      </c>
      <c r="I2172" s="25">
        <v>220</v>
      </c>
      <c r="J2172" s="25">
        <v>520</v>
      </c>
      <c r="K2172" s="25">
        <v>440</v>
      </c>
      <c r="L2172" s="25">
        <v>80</v>
      </c>
      <c r="M2172" s="27">
        <v>18.181818181818201</v>
      </c>
      <c r="N2172" s="25" t="s">
        <v>55</v>
      </c>
      <c r="O2172" s="25" t="s">
        <v>28</v>
      </c>
      <c r="P2172" s="25" t="s">
        <v>32</v>
      </c>
    </row>
    <row r="2173" spans="1:16" x14ac:dyDescent="0.3">
      <c r="A2173" s="25">
        <v>2172</v>
      </c>
      <c r="B2173" s="26">
        <v>45664</v>
      </c>
      <c r="C2173" s="25" t="s">
        <v>70</v>
      </c>
      <c r="D2173" s="25" t="s">
        <v>21</v>
      </c>
      <c r="E2173" s="25" t="s">
        <v>88</v>
      </c>
      <c r="F2173" s="25">
        <v>2</v>
      </c>
      <c r="G2173" s="25" t="s">
        <v>89</v>
      </c>
      <c r="H2173" s="25">
        <v>130</v>
      </c>
      <c r="I2173" s="25">
        <v>100</v>
      </c>
      <c r="J2173" s="25">
        <v>260</v>
      </c>
      <c r="K2173" s="25">
        <v>200</v>
      </c>
      <c r="L2173" s="25">
        <v>60</v>
      </c>
      <c r="M2173" s="27">
        <v>30</v>
      </c>
      <c r="N2173" s="25" t="s">
        <v>55</v>
      </c>
      <c r="O2173" s="25" t="s">
        <v>27</v>
      </c>
      <c r="P2173" s="25" t="s">
        <v>32</v>
      </c>
    </row>
    <row r="2174" spans="1:16" x14ac:dyDescent="0.3">
      <c r="A2174" s="25">
        <v>2173</v>
      </c>
      <c r="B2174" s="26">
        <v>45664</v>
      </c>
      <c r="C2174" s="25" t="s">
        <v>70</v>
      </c>
      <c r="D2174" s="25" t="s">
        <v>22</v>
      </c>
      <c r="E2174" s="25" t="s">
        <v>92</v>
      </c>
      <c r="F2174" s="25">
        <v>2.25</v>
      </c>
      <c r="G2174" s="25" t="s">
        <v>91</v>
      </c>
      <c r="H2174" s="25">
        <v>260</v>
      </c>
      <c r="I2174" s="25">
        <v>220</v>
      </c>
      <c r="J2174" s="25">
        <v>585</v>
      </c>
      <c r="K2174" s="25">
        <v>495</v>
      </c>
      <c r="L2174" s="25">
        <v>90</v>
      </c>
      <c r="M2174" s="27">
        <v>18.181818181818201</v>
      </c>
      <c r="N2174" s="25" t="s">
        <v>55</v>
      </c>
      <c r="O2174" s="25" t="s">
        <v>28</v>
      </c>
      <c r="P2174" s="25" t="s">
        <v>32</v>
      </c>
    </row>
    <row r="2175" spans="1:16" x14ac:dyDescent="0.3">
      <c r="A2175" s="25">
        <v>2174</v>
      </c>
      <c r="B2175" s="26">
        <v>45664</v>
      </c>
      <c r="C2175" s="25" t="s">
        <v>70</v>
      </c>
      <c r="D2175" s="25" t="s">
        <v>22</v>
      </c>
      <c r="E2175" s="25" t="s">
        <v>96</v>
      </c>
      <c r="F2175" s="25">
        <v>1</v>
      </c>
      <c r="G2175" s="25" t="s">
        <v>97</v>
      </c>
      <c r="H2175" s="25">
        <v>300</v>
      </c>
      <c r="I2175" s="25">
        <v>265</v>
      </c>
      <c r="J2175" s="25">
        <v>300</v>
      </c>
      <c r="K2175" s="25">
        <v>265</v>
      </c>
      <c r="L2175" s="25">
        <v>35</v>
      </c>
      <c r="M2175" s="27">
        <v>13.207547169811299</v>
      </c>
      <c r="N2175" s="25" t="s">
        <v>55</v>
      </c>
      <c r="O2175" s="25" t="s">
        <v>28</v>
      </c>
      <c r="P2175" s="25" t="s">
        <v>32</v>
      </c>
    </row>
    <row r="2176" spans="1:16" x14ac:dyDescent="0.3">
      <c r="A2176" s="25">
        <v>2175</v>
      </c>
      <c r="B2176" s="26">
        <v>45664</v>
      </c>
      <c r="C2176" s="25" t="s">
        <v>70</v>
      </c>
      <c r="D2176" s="25" t="s">
        <v>22</v>
      </c>
      <c r="E2176" s="25" t="s">
        <v>103</v>
      </c>
      <c r="F2176" s="25">
        <v>1</v>
      </c>
      <c r="G2176" s="25" t="s">
        <v>102</v>
      </c>
      <c r="H2176" s="25">
        <v>30</v>
      </c>
      <c r="I2176" s="25">
        <v>20</v>
      </c>
      <c r="J2176" s="25">
        <v>30</v>
      </c>
      <c r="K2176" s="25">
        <v>20</v>
      </c>
      <c r="L2176" s="25">
        <v>10</v>
      </c>
      <c r="M2176" s="27">
        <v>50</v>
      </c>
      <c r="N2176" s="25" t="s">
        <v>55</v>
      </c>
      <c r="O2176" s="25" t="s">
        <v>28</v>
      </c>
      <c r="P2176" s="25" t="s">
        <v>32</v>
      </c>
    </row>
    <row r="2177" spans="1:16" x14ac:dyDescent="0.3">
      <c r="A2177" s="25">
        <v>2176</v>
      </c>
      <c r="B2177" s="26">
        <v>45665</v>
      </c>
      <c r="C2177" s="25" t="s">
        <v>70</v>
      </c>
      <c r="D2177" s="25" t="s">
        <v>21</v>
      </c>
      <c r="E2177" s="25" t="s">
        <v>88</v>
      </c>
      <c r="F2177" s="25">
        <v>3</v>
      </c>
      <c r="G2177" s="25" t="s">
        <v>89</v>
      </c>
      <c r="H2177" s="25">
        <v>130</v>
      </c>
      <c r="I2177" s="25">
        <v>100</v>
      </c>
      <c r="J2177" s="25">
        <v>390</v>
      </c>
      <c r="K2177" s="25">
        <v>300</v>
      </c>
      <c r="L2177" s="25">
        <v>90</v>
      </c>
      <c r="M2177" s="27">
        <v>30</v>
      </c>
      <c r="N2177" s="25" t="s">
        <v>55</v>
      </c>
      <c r="O2177" s="25" t="s">
        <v>27</v>
      </c>
      <c r="P2177" s="25" t="s">
        <v>32</v>
      </c>
    </row>
    <row r="2178" spans="1:16" x14ac:dyDescent="0.3">
      <c r="A2178" s="25">
        <v>2177</v>
      </c>
      <c r="B2178" s="26">
        <v>45665</v>
      </c>
      <c r="C2178" s="25" t="s">
        <v>70</v>
      </c>
      <c r="D2178" s="25" t="s">
        <v>22</v>
      </c>
      <c r="E2178" s="25" t="s">
        <v>90</v>
      </c>
      <c r="F2178" s="25">
        <v>1</v>
      </c>
      <c r="G2178" s="25" t="s">
        <v>91</v>
      </c>
      <c r="H2178" s="25">
        <v>280</v>
      </c>
      <c r="I2178" s="25">
        <v>240</v>
      </c>
      <c r="J2178" s="25">
        <v>280</v>
      </c>
      <c r="K2178" s="25">
        <v>240</v>
      </c>
      <c r="L2178" s="25">
        <v>40</v>
      </c>
      <c r="M2178" s="27">
        <v>16.6666666666667</v>
      </c>
      <c r="N2178" s="25" t="s">
        <v>55</v>
      </c>
      <c r="O2178" s="25" t="s">
        <v>28</v>
      </c>
      <c r="P2178" s="25" t="s">
        <v>32</v>
      </c>
    </row>
    <row r="2179" spans="1:16" x14ac:dyDescent="0.3">
      <c r="A2179" s="25">
        <v>2178</v>
      </c>
      <c r="B2179" s="26">
        <v>45665</v>
      </c>
      <c r="C2179" s="25" t="s">
        <v>70</v>
      </c>
      <c r="D2179" s="25" t="s">
        <v>22</v>
      </c>
      <c r="E2179" s="25" t="s">
        <v>90</v>
      </c>
      <c r="F2179" s="25">
        <v>1.25</v>
      </c>
      <c r="G2179" s="25" t="s">
        <v>91</v>
      </c>
      <c r="H2179" s="25">
        <v>280</v>
      </c>
      <c r="I2179" s="25">
        <v>240</v>
      </c>
      <c r="J2179" s="25">
        <v>350</v>
      </c>
      <c r="K2179" s="25">
        <v>300</v>
      </c>
      <c r="L2179" s="25">
        <v>50</v>
      </c>
      <c r="M2179" s="27">
        <v>16.6666666666667</v>
      </c>
      <c r="N2179" s="25" t="s">
        <v>55</v>
      </c>
      <c r="O2179" s="25" t="s">
        <v>28</v>
      </c>
      <c r="P2179" s="25" t="s">
        <v>32</v>
      </c>
    </row>
    <row r="2180" spans="1:16" x14ac:dyDescent="0.3">
      <c r="A2180" s="25">
        <v>2179</v>
      </c>
      <c r="B2180" s="26">
        <v>45665</v>
      </c>
      <c r="C2180" s="25" t="s">
        <v>70</v>
      </c>
      <c r="D2180" s="25" t="s">
        <v>22</v>
      </c>
      <c r="E2180" s="25" t="s">
        <v>99</v>
      </c>
      <c r="F2180" s="25">
        <v>1</v>
      </c>
      <c r="G2180" s="25" t="s">
        <v>100</v>
      </c>
      <c r="H2180" s="25">
        <v>200</v>
      </c>
      <c r="I2180" s="25">
        <v>160</v>
      </c>
      <c r="J2180" s="25">
        <v>200</v>
      </c>
      <c r="K2180" s="25">
        <v>160</v>
      </c>
      <c r="L2180" s="25">
        <v>40</v>
      </c>
      <c r="M2180" s="27">
        <v>25</v>
      </c>
      <c r="N2180" s="25" t="s">
        <v>55</v>
      </c>
      <c r="O2180" s="25" t="s">
        <v>28</v>
      </c>
      <c r="P2180" s="25" t="s">
        <v>32</v>
      </c>
    </row>
    <row r="2181" spans="1:16" x14ac:dyDescent="0.3">
      <c r="A2181" s="25">
        <v>2180</v>
      </c>
      <c r="B2181" s="26">
        <v>45666</v>
      </c>
      <c r="C2181" s="25" t="s">
        <v>70</v>
      </c>
      <c r="D2181" s="25" t="s">
        <v>22</v>
      </c>
      <c r="E2181" s="25" t="s">
        <v>96</v>
      </c>
      <c r="F2181" s="25">
        <v>1</v>
      </c>
      <c r="G2181" s="25" t="s">
        <v>97</v>
      </c>
      <c r="H2181" s="25">
        <v>300</v>
      </c>
      <c r="I2181" s="25">
        <v>265</v>
      </c>
      <c r="J2181" s="25">
        <v>300</v>
      </c>
      <c r="K2181" s="25">
        <v>265</v>
      </c>
      <c r="L2181" s="25">
        <v>35</v>
      </c>
      <c r="M2181" s="27">
        <v>13.207547169811299</v>
      </c>
      <c r="N2181" s="25" t="s">
        <v>55</v>
      </c>
      <c r="O2181" s="25" t="s">
        <v>28</v>
      </c>
      <c r="P2181" s="25" t="s">
        <v>32</v>
      </c>
    </row>
    <row r="2182" spans="1:16" x14ac:dyDescent="0.3">
      <c r="A2182" s="25">
        <v>2181</v>
      </c>
      <c r="B2182" s="26">
        <v>45666</v>
      </c>
      <c r="C2182" s="25" t="s">
        <v>70</v>
      </c>
      <c r="D2182" s="25" t="s">
        <v>22</v>
      </c>
      <c r="E2182" s="25" t="s">
        <v>101</v>
      </c>
      <c r="F2182" s="25">
        <v>12</v>
      </c>
      <c r="G2182" s="25" t="s">
        <v>102</v>
      </c>
      <c r="H2182" s="25">
        <v>6</v>
      </c>
      <c r="I2182" s="25">
        <v>4</v>
      </c>
      <c r="J2182" s="25">
        <v>72</v>
      </c>
      <c r="K2182" s="25">
        <v>48</v>
      </c>
      <c r="L2182" s="25">
        <v>24</v>
      </c>
      <c r="M2182" s="27">
        <v>50</v>
      </c>
      <c r="N2182" s="25" t="s">
        <v>55</v>
      </c>
      <c r="O2182" s="25" t="s">
        <v>28</v>
      </c>
      <c r="P2182" s="25" t="s">
        <v>32</v>
      </c>
    </row>
    <row r="2183" spans="1:16" x14ac:dyDescent="0.3">
      <c r="A2183" s="25">
        <v>2182</v>
      </c>
      <c r="B2183" s="26">
        <v>45666</v>
      </c>
      <c r="C2183" s="25" t="s">
        <v>70</v>
      </c>
      <c r="D2183" s="25" t="s">
        <v>22</v>
      </c>
      <c r="E2183" s="25" t="s">
        <v>90</v>
      </c>
      <c r="F2183" s="25">
        <v>0.25</v>
      </c>
      <c r="G2183" s="25" t="s">
        <v>91</v>
      </c>
      <c r="H2183" s="25">
        <v>280</v>
      </c>
      <c r="I2183" s="25">
        <v>240</v>
      </c>
      <c r="J2183" s="25">
        <v>70</v>
      </c>
      <c r="K2183" s="25">
        <v>60</v>
      </c>
      <c r="L2183" s="25">
        <v>10</v>
      </c>
      <c r="M2183" s="27">
        <v>16.6666666666667</v>
      </c>
      <c r="N2183" s="25" t="s">
        <v>55</v>
      </c>
      <c r="O2183" s="25" t="s">
        <v>28</v>
      </c>
      <c r="P2183" s="25" t="s">
        <v>33</v>
      </c>
    </row>
    <row r="2184" spans="1:16" x14ac:dyDescent="0.3">
      <c r="A2184" s="25">
        <v>2183</v>
      </c>
      <c r="B2184" s="26">
        <v>45666</v>
      </c>
      <c r="C2184" s="25" t="s">
        <v>70</v>
      </c>
      <c r="D2184" s="25" t="s">
        <v>22</v>
      </c>
      <c r="E2184" s="25" t="s">
        <v>92</v>
      </c>
      <c r="F2184" s="25">
        <v>2.5</v>
      </c>
      <c r="G2184" s="25" t="s">
        <v>91</v>
      </c>
      <c r="H2184" s="25">
        <v>260</v>
      </c>
      <c r="I2184" s="25">
        <v>220</v>
      </c>
      <c r="J2184" s="25">
        <v>650</v>
      </c>
      <c r="K2184" s="25">
        <v>550</v>
      </c>
      <c r="L2184" s="25">
        <v>100</v>
      </c>
      <c r="M2184" s="27">
        <v>18.181818181818201</v>
      </c>
      <c r="N2184" s="25" t="s">
        <v>55</v>
      </c>
      <c r="O2184" s="25" t="s">
        <v>28</v>
      </c>
      <c r="P2184" s="25" t="s">
        <v>33</v>
      </c>
    </row>
    <row r="2185" spans="1:16" x14ac:dyDescent="0.3">
      <c r="A2185" s="25">
        <v>2184</v>
      </c>
      <c r="B2185" s="26">
        <v>45666</v>
      </c>
      <c r="C2185" s="25" t="s">
        <v>70</v>
      </c>
      <c r="D2185" s="25" t="s">
        <v>21</v>
      </c>
      <c r="E2185" s="25" t="s">
        <v>88</v>
      </c>
      <c r="F2185" s="25">
        <v>4</v>
      </c>
      <c r="G2185" s="25" t="s">
        <v>89</v>
      </c>
      <c r="H2185" s="25">
        <v>130</v>
      </c>
      <c r="I2185" s="25">
        <v>100</v>
      </c>
      <c r="J2185" s="25">
        <v>520</v>
      </c>
      <c r="K2185" s="25">
        <v>400</v>
      </c>
      <c r="L2185" s="25">
        <v>120</v>
      </c>
      <c r="M2185" s="27">
        <v>30</v>
      </c>
      <c r="N2185" s="25" t="s">
        <v>55</v>
      </c>
      <c r="O2185" s="25" t="s">
        <v>27</v>
      </c>
      <c r="P2185" s="25" t="s">
        <v>32</v>
      </c>
    </row>
    <row r="2186" spans="1:16" x14ac:dyDescent="0.3">
      <c r="A2186" s="25">
        <v>2185</v>
      </c>
      <c r="B2186" s="26">
        <v>45666</v>
      </c>
      <c r="C2186" s="25" t="s">
        <v>70</v>
      </c>
      <c r="D2186" s="25" t="s">
        <v>22</v>
      </c>
      <c r="E2186" s="25" t="s">
        <v>92</v>
      </c>
      <c r="F2186" s="25">
        <v>1</v>
      </c>
      <c r="G2186" s="25" t="s">
        <v>91</v>
      </c>
      <c r="H2186" s="25">
        <v>260</v>
      </c>
      <c r="I2186" s="25">
        <v>220</v>
      </c>
      <c r="J2186" s="25">
        <v>260</v>
      </c>
      <c r="K2186" s="25">
        <v>220</v>
      </c>
      <c r="L2186" s="25">
        <v>40</v>
      </c>
      <c r="M2186" s="27">
        <v>18.181818181818201</v>
      </c>
      <c r="N2186" s="25" t="s">
        <v>55</v>
      </c>
      <c r="O2186" s="25" t="s">
        <v>28</v>
      </c>
      <c r="P2186" s="25" t="s">
        <v>32</v>
      </c>
    </row>
    <row r="2187" spans="1:16" x14ac:dyDescent="0.3">
      <c r="A2187" s="25">
        <v>2186</v>
      </c>
      <c r="B2187" s="26">
        <v>45666</v>
      </c>
      <c r="C2187" s="25" t="s">
        <v>70</v>
      </c>
      <c r="D2187" s="25" t="s">
        <v>22</v>
      </c>
      <c r="E2187" s="25" t="s">
        <v>96</v>
      </c>
      <c r="F2187" s="25">
        <v>1</v>
      </c>
      <c r="G2187" s="25" t="s">
        <v>97</v>
      </c>
      <c r="H2187" s="25">
        <v>300</v>
      </c>
      <c r="I2187" s="25">
        <v>265</v>
      </c>
      <c r="J2187" s="25">
        <v>300</v>
      </c>
      <c r="K2187" s="25">
        <v>265</v>
      </c>
      <c r="L2187" s="25">
        <v>35</v>
      </c>
      <c r="M2187" s="27">
        <v>13.207547169811299</v>
      </c>
      <c r="N2187" s="25" t="s">
        <v>55</v>
      </c>
      <c r="O2187" s="25" t="s">
        <v>28</v>
      </c>
      <c r="P2187" s="25" t="s">
        <v>32</v>
      </c>
    </row>
    <row r="2188" spans="1:16" x14ac:dyDescent="0.3">
      <c r="A2188" s="25">
        <v>2187</v>
      </c>
      <c r="B2188" s="26">
        <v>45666</v>
      </c>
      <c r="C2188" s="25" t="s">
        <v>70</v>
      </c>
      <c r="D2188" s="25" t="s">
        <v>22</v>
      </c>
      <c r="E2188" s="25" t="s">
        <v>103</v>
      </c>
      <c r="F2188" s="25">
        <v>1</v>
      </c>
      <c r="G2188" s="25" t="s">
        <v>102</v>
      </c>
      <c r="H2188" s="25">
        <v>30</v>
      </c>
      <c r="I2188" s="25">
        <v>20</v>
      </c>
      <c r="J2188" s="25">
        <v>30</v>
      </c>
      <c r="K2188" s="25">
        <v>20</v>
      </c>
      <c r="L2188" s="25">
        <v>10</v>
      </c>
      <c r="M2188" s="27">
        <v>50</v>
      </c>
      <c r="N2188" s="25" t="s">
        <v>55</v>
      </c>
      <c r="O2188" s="25" t="s">
        <v>28</v>
      </c>
      <c r="P2188" s="25" t="s">
        <v>32</v>
      </c>
    </row>
    <row r="2189" spans="1:16" x14ac:dyDescent="0.3">
      <c r="A2189" s="25">
        <v>2188</v>
      </c>
      <c r="B2189" s="26">
        <v>45667</v>
      </c>
      <c r="C2189" s="25" t="s">
        <v>70</v>
      </c>
      <c r="D2189" s="25" t="s">
        <v>22</v>
      </c>
      <c r="E2189" s="25" t="s">
        <v>101</v>
      </c>
      <c r="F2189" s="25">
        <v>6</v>
      </c>
      <c r="G2189" s="25" t="s">
        <v>102</v>
      </c>
      <c r="H2189" s="25">
        <v>6</v>
      </c>
      <c r="I2189" s="25">
        <v>4</v>
      </c>
      <c r="J2189" s="25">
        <v>36</v>
      </c>
      <c r="K2189" s="25">
        <v>24</v>
      </c>
      <c r="L2189" s="25">
        <v>12</v>
      </c>
      <c r="M2189" s="27">
        <v>50</v>
      </c>
      <c r="N2189" s="25" t="s">
        <v>55</v>
      </c>
      <c r="O2189" s="25" t="s">
        <v>28</v>
      </c>
      <c r="P2189" s="25" t="s">
        <v>32</v>
      </c>
    </row>
    <row r="2190" spans="1:16" x14ac:dyDescent="0.3">
      <c r="A2190" s="25">
        <v>2189</v>
      </c>
      <c r="B2190" s="26">
        <v>45667</v>
      </c>
      <c r="C2190" s="25" t="s">
        <v>70</v>
      </c>
      <c r="D2190" s="25" t="s">
        <v>22</v>
      </c>
      <c r="E2190" s="25" t="s">
        <v>96</v>
      </c>
      <c r="F2190" s="25">
        <v>1</v>
      </c>
      <c r="G2190" s="25" t="s">
        <v>97</v>
      </c>
      <c r="H2190" s="25">
        <v>300</v>
      </c>
      <c r="I2190" s="25">
        <v>265</v>
      </c>
      <c r="J2190" s="25">
        <v>300</v>
      </c>
      <c r="K2190" s="25">
        <v>265</v>
      </c>
      <c r="L2190" s="25">
        <v>35</v>
      </c>
      <c r="M2190" s="27">
        <v>13.207547169811299</v>
      </c>
      <c r="N2190" s="25" t="s">
        <v>55</v>
      </c>
      <c r="O2190" s="25" t="s">
        <v>28</v>
      </c>
      <c r="P2190" s="25" t="s">
        <v>32</v>
      </c>
    </row>
    <row r="2191" spans="1:16" x14ac:dyDescent="0.3">
      <c r="A2191" s="25">
        <v>2190</v>
      </c>
      <c r="B2191" s="26">
        <v>45667</v>
      </c>
      <c r="C2191" s="25" t="s">
        <v>70</v>
      </c>
      <c r="D2191" s="25" t="s">
        <v>22</v>
      </c>
      <c r="E2191" s="25" t="s">
        <v>92</v>
      </c>
      <c r="F2191" s="25">
        <v>2.25</v>
      </c>
      <c r="G2191" s="25" t="s">
        <v>91</v>
      </c>
      <c r="H2191" s="25">
        <v>260</v>
      </c>
      <c r="I2191" s="25">
        <v>220</v>
      </c>
      <c r="J2191" s="25">
        <v>585</v>
      </c>
      <c r="K2191" s="25">
        <v>495</v>
      </c>
      <c r="L2191" s="25">
        <v>90</v>
      </c>
      <c r="M2191" s="27">
        <v>18.181818181818201</v>
      </c>
      <c r="N2191" s="25" t="s">
        <v>55</v>
      </c>
      <c r="O2191" s="25" t="s">
        <v>28</v>
      </c>
      <c r="P2191" s="25" t="s">
        <v>32</v>
      </c>
    </row>
    <row r="2192" spans="1:16" x14ac:dyDescent="0.3">
      <c r="A2192" s="25">
        <v>2191</v>
      </c>
      <c r="B2192" s="26">
        <v>45667</v>
      </c>
      <c r="C2192" s="25" t="s">
        <v>70</v>
      </c>
      <c r="D2192" s="25" t="s">
        <v>22</v>
      </c>
      <c r="E2192" s="25" t="s">
        <v>92</v>
      </c>
      <c r="F2192" s="25">
        <v>2.5</v>
      </c>
      <c r="G2192" s="25" t="s">
        <v>91</v>
      </c>
      <c r="H2192" s="25">
        <v>260</v>
      </c>
      <c r="I2192" s="25">
        <v>220</v>
      </c>
      <c r="J2192" s="25">
        <v>650</v>
      </c>
      <c r="K2192" s="25">
        <v>550</v>
      </c>
      <c r="L2192" s="25">
        <v>100</v>
      </c>
      <c r="M2192" s="27">
        <v>18.181818181818201</v>
      </c>
      <c r="N2192" s="25" t="s">
        <v>55</v>
      </c>
      <c r="O2192" s="25" t="s">
        <v>28</v>
      </c>
      <c r="P2192" s="25" t="s">
        <v>32</v>
      </c>
    </row>
    <row r="2193" spans="1:16" x14ac:dyDescent="0.3">
      <c r="A2193" s="25">
        <v>2192</v>
      </c>
      <c r="B2193" s="26">
        <v>45667</v>
      </c>
      <c r="C2193" s="25" t="s">
        <v>70</v>
      </c>
      <c r="D2193" s="25" t="s">
        <v>22</v>
      </c>
      <c r="E2193" s="25" t="s">
        <v>96</v>
      </c>
      <c r="F2193" s="25">
        <v>1</v>
      </c>
      <c r="G2193" s="25" t="s">
        <v>97</v>
      </c>
      <c r="H2193" s="25">
        <v>300</v>
      </c>
      <c r="I2193" s="25">
        <v>265</v>
      </c>
      <c r="J2193" s="25">
        <v>300</v>
      </c>
      <c r="K2193" s="25">
        <v>265</v>
      </c>
      <c r="L2193" s="25">
        <v>35</v>
      </c>
      <c r="M2193" s="27">
        <v>13.207547169811299</v>
      </c>
      <c r="N2193" s="25" t="s">
        <v>55</v>
      </c>
      <c r="O2193" s="25" t="s">
        <v>28</v>
      </c>
      <c r="P2193" s="25" t="s">
        <v>32</v>
      </c>
    </row>
    <row r="2194" spans="1:16" x14ac:dyDescent="0.3">
      <c r="A2194" s="25">
        <v>2193</v>
      </c>
      <c r="B2194" s="26">
        <v>45667</v>
      </c>
      <c r="C2194" s="25" t="s">
        <v>70</v>
      </c>
      <c r="D2194" s="25" t="s">
        <v>22</v>
      </c>
      <c r="E2194" s="25" t="s">
        <v>92</v>
      </c>
      <c r="F2194" s="25">
        <v>2</v>
      </c>
      <c r="G2194" s="25" t="s">
        <v>91</v>
      </c>
      <c r="H2194" s="25">
        <v>260</v>
      </c>
      <c r="I2194" s="25">
        <v>220</v>
      </c>
      <c r="J2194" s="25">
        <v>520</v>
      </c>
      <c r="K2194" s="25">
        <v>440</v>
      </c>
      <c r="L2194" s="25">
        <v>80</v>
      </c>
      <c r="M2194" s="27">
        <v>18.181818181818201</v>
      </c>
      <c r="N2194" s="25" t="s">
        <v>55</v>
      </c>
      <c r="O2194" s="25" t="s">
        <v>28</v>
      </c>
      <c r="P2194" s="25" t="s">
        <v>32</v>
      </c>
    </row>
    <row r="2195" spans="1:16" x14ac:dyDescent="0.3">
      <c r="A2195" s="25">
        <v>2194</v>
      </c>
      <c r="B2195" s="26">
        <v>45667</v>
      </c>
      <c r="C2195" s="25" t="s">
        <v>70</v>
      </c>
      <c r="D2195" s="25" t="s">
        <v>21</v>
      </c>
      <c r="E2195" s="25" t="s">
        <v>88</v>
      </c>
      <c r="F2195" s="25">
        <v>3</v>
      </c>
      <c r="G2195" s="25" t="s">
        <v>89</v>
      </c>
      <c r="H2195" s="25">
        <v>130</v>
      </c>
      <c r="I2195" s="25">
        <v>100</v>
      </c>
      <c r="J2195" s="25">
        <v>390</v>
      </c>
      <c r="K2195" s="25">
        <v>300</v>
      </c>
      <c r="L2195" s="25">
        <v>90</v>
      </c>
      <c r="M2195" s="27">
        <v>30</v>
      </c>
      <c r="N2195" s="25" t="s">
        <v>55</v>
      </c>
      <c r="O2195" s="25" t="s">
        <v>27</v>
      </c>
      <c r="P2195" s="25" t="s">
        <v>32</v>
      </c>
    </row>
    <row r="2196" spans="1:16" x14ac:dyDescent="0.3">
      <c r="A2196" s="25">
        <v>2195</v>
      </c>
      <c r="B2196" s="26">
        <v>45667</v>
      </c>
      <c r="C2196" s="25" t="s">
        <v>70</v>
      </c>
      <c r="D2196" s="25" t="s">
        <v>22</v>
      </c>
      <c r="E2196" s="25" t="s">
        <v>92</v>
      </c>
      <c r="F2196" s="25">
        <v>2</v>
      </c>
      <c r="G2196" s="25" t="s">
        <v>91</v>
      </c>
      <c r="H2196" s="25">
        <v>260</v>
      </c>
      <c r="I2196" s="25">
        <v>220</v>
      </c>
      <c r="J2196" s="25">
        <v>520</v>
      </c>
      <c r="K2196" s="25">
        <v>440</v>
      </c>
      <c r="L2196" s="25">
        <v>80</v>
      </c>
      <c r="M2196" s="27">
        <v>18.181818181818201</v>
      </c>
      <c r="N2196" s="25" t="s">
        <v>55</v>
      </c>
      <c r="O2196" s="25" t="s">
        <v>28</v>
      </c>
      <c r="P2196" s="25" t="s">
        <v>32</v>
      </c>
    </row>
    <row r="2197" spans="1:16" x14ac:dyDescent="0.3">
      <c r="A2197" s="25">
        <v>2196</v>
      </c>
      <c r="B2197" s="26">
        <v>45667</v>
      </c>
      <c r="C2197" s="25" t="s">
        <v>70</v>
      </c>
      <c r="D2197" s="25" t="s">
        <v>22</v>
      </c>
      <c r="E2197" s="25" t="s">
        <v>96</v>
      </c>
      <c r="F2197" s="25">
        <v>1</v>
      </c>
      <c r="G2197" s="25" t="s">
        <v>97</v>
      </c>
      <c r="H2197" s="25">
        <v>300</v>
      </c>
      <c r="I2197" s="25">
        <v>265</v>
      </c>
      <c r="J2197" s="25">
        <v>300</v>
      </c>
      <c r="K2197" s="25">
        <v>265</v>
      </c>
      <c r="L2197" s="25">
        <v>35</v>
      </c>
      <c r="M2197" s="27">
        <v>13.207547169811299</v>
      </c>
      <c r="N2197" s="25" t="s">
        <v>55</v>
      </c>
      <c r="O2197" s="25" t="s">
        <v>28</v>
      </c>
      <c r="P2197" s="25" t="s">
        <v>32</v>
      </c>
    </row>
    <row r="2198" spans="1:16" x14ac:dyDescent="0.3">
      <c r="A2198" s="25">
        <v>2197</v>
      </c>
      <c r="B2198" s="26">
        <v>45668</v>
      </c>
      <c r="C2198" s="25" t="s">
        <v>70</v>
      </c>
      <c r="D2198" s="25" t="s">
        <v>21</v>
      </c>
      <c r="E2198" s="25" t="s">
        <v>88</v>
      </c>
      <c r="F2198" s="25">
        <v>2</v>
      </c>
      <c r="G2198" s="25" t="s">
        <v>89</v>
      </c>
      <c r="H2198" s="25">
        <v>130</v>
      </c>
      <c r="I2198" s="25">
        <v>100</v>
      </c>
      <c r="J2198" s="25">
        <v>260</v>
      </c>
      <c r="K2198" s="25">
        <v>200</v>
      </c>
      <c r="L2198" s="25">
        <v>60</v>
      </c>
      <c r="M2198" s="27">
        <v>30</v>
      </c>
      <c r="N2198" s="25" t="s">
        <v>55</v>
      </c>
      <c r="O2198" s="25" t="s">
        <v>27</v>
      </c>
      <c r="P2198" s="25" t="s">
        <v>32</v>
      </c>
    </row>
    <row r="2199" spans="1:16" x14ac:dyDescent="0.3">
      <c r="A2199" s="25">
        <v>2198</v>
      </c>
      <c r="B2199" s="26">
        <v>45668</v>
      </c>
      <c r="C2199" s="25" t="s">
        <v>70</v>
      </c>
      <c r="D2199" s="25" t="s">
        <v>21</v>
      </c>
      <c r="E2199" s="25" t="s">
        <v>88</v>
      </c>
      <c r="F2199" s="25">
        <v>3</v>
      </c>
      <c r="G2199" s="25" t="s">
        <v>89</v>
      </c>
      <c r="H2199" s="25">
        <v>130</v>
      </c>
      <c r="I2199" s="25">
        <v>100</v>
      </c>
      <c r="J2199" s="25">
        <v>390</v>
      </c>
      <c r="K2199" s="25">
        <v>300</v>
      </c>
      <c r="L2199" s="25">
        <v>90</v>
      </c>
      <c r="M2199" s="27">
        <v>30</v>
      </c>
      <c r="N2199" s="25" t="s">
        <v>55</v>
      </c>
      <c r="O2199" s="25" t="s">
        <v>27</v>
      </c>
      <c r="P2199" s="25" t="s">
        <v>32</v>
      </c>
    </row>
    <row r="2200" spans="1:16" x14ac:dyDescent="0.3">
      <c r="A2200" s="25">
        <v>2199</v>
      </c>
      <c r="B2200" s="26">
        <v>45668</v>
      </c>
      <c r="C2200" s="25" t="s">
        <v>70</v>
      </c>
      <c r="D2200" s="25" t="s">
        <v>22</v>
      </c>
      <c r="E2200" s="25" t="s">
        <v>90</v>
      </c>
      <c r="F2200" s="25">
        <v>1</v>
      </c>
      <c r="G2200" s="25" t="s">
        <v>91</v>
      </c>
      <c r="H2200" s="25">
        <v>280</v>
      </c>
      <c r="I2200" s="25">
        <v>240</v>
      </c>
      <c r="J2200" s="25">
        <v>280</v>
      </c>
      <c r="K2200" s="25">
        <v>240</v>
      </c>
      <c r="L2200" s="25">
        <v>40</v>
      </c>
      <c r="M2200" s="27">
        <v>16.6666666666667</v>
      </c>
      <c r="N2200" s="25" t="s">
        <v>55</v>
      </c>
      <c r="O2200" s="25" t="s">
        <v>28</v>
      </c>
      <c r="P2200" s="25" t="s">
        <v>32</v>
      </c>
    </row>
    <row r="2201" spans="1:16" x14ac:dyDescent="0.3">
      <c r="A2201" s="25">
        <v>2200</v>
      </c>
      <c r="B2201" s="26">
        <v>45668</v>
      </c>
      <c r="C2201" s="25" t="s">
        <v>70</v>
      </c>
      <c r="D2201" s="25" t="s">
        <v>22</v>
      </c>
      <c r="E2201" s="25" t="s">
        <v>90</v>
      </c>
      <c r="F2201" s="25">
        <v>1.25</v>
      </c>
      <c r="G2201" s="25" t="s">
        <v>91</v>
      </c>
      <c r="H2201" s="25">
        <v>280</v>
      </c>
      <c r="I2201" s="25">
        <v>240</v>
      </c>
      <c r="J2201" s="25">
        <v>350</v>
      </c>
      <c r="K2201" s="25">
        <v>300</v>
      </c>
      <c r="L2201" s="25">
        <v>50</v>
      </c>
      <c r="M2201" s="27">
        <v>16.6666666666667</v>
      </c>
      <c r="N2201" s="25" t="s">
        <v>55</v>
      </c>
      <c r="O2201" s="25" t="s">
        <v>28</v>
      </c>
      <c r="P2201" s="25" t="s">
        <v>32</v>
      </c>
    </row>
    <row r="2202" spans="1:16" x14ac:dyDescent="0.3">
      <c r="A2202" s="25">
        <v>2201</v>
      </c>
      <c r="B2202" s="26">
        <v>45668</v>
      </c>
      <c r="C2202" s="25" t="s">
        <v>70</v>
      </c>
      <c r="D2202" s="25" t="s">
        <v>22</v>
      </c>
      <c r="E2202" s="25" t="s">
        <v>103</v>
      </c>
      <c r="F2202" s="25">
        <v>1</v>
      </c>
      <c r="G2202" s="25" t="s">
        <v>102</v>
      </c>
      <c r="H2202" s="25">
        <v>30</v>
      </c>
      <c r="I2202" s="25">
        <v>20</v>
      </c>
      <c r="J2202" s="25">
        <v>30</v>
      </c>
      <c r="K2202" s="25">
        <v>20</v>
      </c>
      <c r="L2202" s="25">
        <v>10</v>
      </c>
      <c r="M2202" s="27">
        <v>50</v>
      </c>
      <c r="N2202" s="25" t="s">
        <v>55</v>
      </c>
      <c r="O2202" s="25" t="s">
        <v>28</v>
      </c>
      <c r="P2202" s="25" t="s">
        <v>32</v>
      </c>
    </row>
    <row r="2203" spans="1:16" x14ac:dyDescent="0.3">
      <c r="A2203" s="25">
        <v>2202</v>
      </c>
      <c r="B2203" s="26">
        <v>45668</v>
      </c>
      <c r="C2203" s="25" t="s">
        <v>70</v>
      </c>
      <c r="D2203" s="25" t="s">
        <v>22</v>
      </c>
      <c r="E2203" s="25" t="s">
        <v>96</v>
      </c>
      <c r="F2203" s="25">
        <v>1</v>
      </c>
      <c r="G2203" s="25" t="s">
        <v>97</v>
      </c>
      <c r="H2203" s="25">
        <v>300</v>
      </c>
      <c r="I2203" s="25">
        <v>265</v>
      </c>
      <c r="J2203" s="25">
        <v>300</v>
      </c>
      <c r="K2203" s="25">
        <v>265</v>
      </c>
      <c r="L2203" s="25">
        <v>35</v>
      </c>
      <c r="M2203" s="27">
        <v>13.207547169811299</v>
      </c>
      <c r="N2203" s="25" t="s">
        <v>55</v>
      </c>
      <c r="O2203" s="25" t="s">
        <v>28</v>
      </c>
      <c r="P2203" s="25" t="s">
        <v>32</v>
      </c>
    </row>
    <row r="2204" spans="1:16" x14ac:dyDescent="0.3">
      <c r="A2204" s="25">
        <v>2203</v>
      </c>
      <c r="B2204" s="26">
        <v>45669</v>
      </c>
      <c r="C2204" s="25" t="s">
        <v>70</v>
      </c>
      <c r="D2204" s="25" t="s">
        <v>22</v>
      </c>
      <c r="E2204" s="25" t="s">
        <v>101</v>
      </c>
      <c r="F2204" s="25">
        <v>6</v>
      </c>
      <c r="G2204" s="25" t="s">
        <v>102</v>
      </c>
      <c r="H2204" s="25">
        <v>6</v>
      </c>
      <c r="I2204" s="25">
        <v>4</v>
      </c>
      <c r="J2204" s="25">
        <v>36</v>
      </c>
      <c r="K2204" s="25">
        <v>24</v>
      </c>
      <c r="L2204" s="25">
        <v>12</v>
      </c>
      <c r="M2204" s="27">
        <v>50</v>
      </c>
      <c r="N2204" s="25" t="s">
        <v>55</v>
      </c>
      <c r="O2204" s="25" t="s">
        <v>28</v>
      </c>
      <c r="P2204" s="25" t="s">
        <v>32</v>
      </c>
    </row>
    <row r="2205" spans="1:16" x14ac:dyDescent="0.3">
      <c r="A2205" s="25">
        <v>2204</v>
      </c>
      <c r="B2205" s="26">
        <v>45669</v>
      </c>
      <c r="C2205" s="25" t="s">
        <v>70</v>
      </c>
      <c r="D2205" s="25" t="s">
        <v>22</v>
      </c>
      <c r="E2205" s="25" t="s">
        <v>92</v>
      </c>
      <c r="F2205" s="25">
        <v>1.5</v>
      </c>
      <c r="G2205" s="25" t="s">
        <v>91</v>
      </c>
      <c r="H2205" s="25">
        <v>260</v>
      </c>
      <c r="I2205" s="25">
        <v>220</v>
      </c>
      <c r="J2205" s="25">
        <v>390</v>
      </c>
      <c r="K2205" s="25">
        <v>330</v>
      </c>
      <c r="L2205" s="25">
        <v>60</v>
      </c>
      <c r="M2205" s="27">
        <v>18.181818181818201</v>
      </c>
      <c r="N2205" s="25" t="s">
        <v>55</v>
      </c>
      <c r="O2205" s="25" t="s">
        <v>28</v>
      </c>
      <c r="P2205" s="25" t="s">
        <v>32</v>
      </c>
    </row>
    <row r="2206" spans="1:16" x14ac:dyDescent="0.3">
      <c r="A2206" s="25">
        <v>2205</v>
      </c>
      <c r="B2206" s="26">
        <v>45669</v>
      </c>
      <c r="C2206" s="25" t="s">
        <v>70</v>
      </c>
      <c r="D2206" s="25" t="s">
        <v>22</v>
      </c>
      <c r="E2206" s="25" t="s">
        <v>103</v>
      </c>
      <c r="F2206" s="25">
        <v>1</v>
      </c>
      <c r="G2206" s="25" t="s">
        <v>102</v>
      </c>
      <c r="H2206" s="25">
        <v>30</v>
      </c>
      <c r="I2206" s="25">
        <v>20</v>
      </c>
      <c r="J2206" s="25">
        <v>30</v>
      </c>
      <c r="K2206" s="25">
        <v>20</v>
      </c>
      <c r="L2206" s="25">
        <v>10</v>
      </c>
      <c r="M2206" s="27">
        <v>50</v>
      </c>
      <c r="N2206" s="25" t="s">
        <v>55</v>
      </c>
      <c r="O2206" s="25" t="s">
        <v>28</v>
      </c>
      <c r="P2206" s="25" t="s">
        <v>32</v>
      </c>
    </row>
    <row r="2207" spans="1:16" x14ac:dyDescent="0.3">
      <c r="A2207" s="25">
        <v>2206</v>
      </c>
      <c r="B2207" s="26">
        <v>45669</v>
      </c>
      <c r="C2207" s="25" t="s">
        <v>70</v>
      </c>
      <c r="D2207" s="25" t="s">
        <v>21</v>
      </c>
      <c r="E2207" s="25" t="s">
        <v>88</v>
      </c>
      <c r="F2207" s="25">
        <v>4</v>
      </c>
      <c r="G2207" s="25" t="s">
        <v>89</v>
      </c>
      <c r="H2207" s="25">
        <v>130</v>
      </c>
      <c r="I2207" s="25">
        <v>100</v>
      </c>
      <c r="J2207" s="25">
        <v>520</v>
      </c>
      <c r="K2207" s="25">
        <v>400</v>
      </c>
      <c r="L2207" s="25">
        <v>120</v>
      </c>
      <c r="M2207" s="27">
        <v>30</v>
      </c>
      <c r="N2207" s="25" t="s">
        <v>55</v>
      </c>
      <c r="O2207" s="25" t="s">
        <v>27</v>
      </c>
      <c r="P2207" s="25" t="s">
        <v>32</v>
      </c>
    </row>
    <row r="2208" spans="1:16" x14ac:dyDescent="0.3">
      <c r="A2208" s="25">
        <v>2207</v>
      </c>
      <c r="B2208" s="26">
        <v>45669</v>
      </c>
      <c r="C2208" s="25" t="s">
        <v>70</v>
      </c>
      <c r="D2208" s="25" t="s">
        <v>21</v>
      </c>
      <c r="E2208" s="25" t="s">
        <v>88</v>
      </c>
      <c r="F2208" s="25">
        <v>2</v>
      </c>
      <c r="G2208" s="25" t="s">
        <v>89</v>
      </c>
      <c r="H2208" s="25">
        <v>130</v>
      </c>
      <c r="I2208" s="25">
        <v>100</v>
      </c>
      <c r="J2208" s="25">
        <v>260</v>
      </c>
      <c r="K2208" s="25">
        <v>200</v>
      </c>
      <c r="L2208" s="25">
        <v>60</v>
      </c>
      <c r="M2208" s="27">
        <v>30</v>
      </c>
      <c r="N2208" s="25" t="s">
        <v>55</v>
      </c>
      <c r="O2208" s="25" t="s">
        <v>27</v>
      </c>
      <c r="P2208" s="25" t="s">
        <v>32</v>
      </c>
    </row>
    <row r="2209" spans="1:16" x14ac:dyDescent="0.3">
      <c r="A2209" s="25">
        <v>2208</v>
      </c>
      <c r="B2209" s="26">
        <v>45669</v>
      </c>
      <c r="C2209" s="25" t="s">
        <v>70</v>
      </c>
      <c r="D2209" s="25" t="s">
        <v>22</v>
      </c>
      <c r="E2209" s="25" t="s">
        <v>92</v>
      </c>
      <c r="F2209" s="25">
        <v>2</v>
      </c>
      <c r="G2209" s="25" t="s">
        <v>91</v>
      </c>
      <c r="H2209" s="25">
        <v>260</v>
      </c>
      <c r="I2209" s="25">
        <v>220</v>
      </c>
      <c r="J2209" s="25">
        <v>520</v>
      </c>
      <c r="K2209" s="25">
        <v>440</v>
      </c>
      <c r="L2209" s="25">
        <v>80</v>
      </c>
      <c r="M2209" s="27">
        <v>18.181818181818201</v>
      </c>
      <c r="N2209" s="25" t="s">
        <v>55</v>
      </c>
      <c r="O2209" s="25" t="s">
        <v>28</v>
      </c>
      <c r="P2209" s="25" t="s">
        <v>32</v>
      </c>
    </row>
    <row r="2210" spans="1:16" x14ac:dyDescent="0.3">
      <c r="A2210" s="25">
        <v>2209</v>
      </c>
      <c r="B2210" s="26">
        <v>45669</v>
      </c>
      <c r="C2210" s="25" t="s">
        <v>70</v>
      </c>
      <c r="D2210" s="25" t="s">
        <v>22</v>
      </c>
      <c r="E2210" s="25" t="s">
        <v>96</v>
      </c>
      <c r="F2210" s="25">
        <v>1</v>
      </c>
      <c r="G2210" s="25" t="s">
        <v>97</v>
      </c>
      <c r="H2210" s="25">
        <v>300</v>
      </c>
      <c r="I2210" s="25">
        <v>265</v>
      </c>
      <c r="J2210" s="25">
        <v>300</v>
      </c>
      <c r="K2210" s="25">
        <v>265</v>
      </c>
      <c r="L2210" s="25">
        <v>35</v>
      </c>
      <c r="M2210" s="27">
        <v>13.207547169811299</v>
      </c>
      <c r="N2210" s="25" t="s">
        <v>55</v>
      </c>
      <c r="O2210" s="25" t="s">
        <v>28</v>
      </c>
      <c r="P2210" s="25" t="s">
        <v>32</v>
      </c>
    </row>
    <row r="2211" spans="1:16" x14ac:dyDescent="0.3">
      <c r="A2211" s="25">
        <v>2210</v>
      </c>
      <c r="B2211" s="26">
        <v>45669</v>
      </c>
      <c r="C2211" s="25" t="s">
        <v>70</v>
      </c>
      <c r="D2211" s="25" t="s">
        <v>22</v>
      </c>
      <c r="E2211" s="25" t="s">
        <v>103</v>
      </c>
      <c r="F2211" s="25">
        <v>1</v>
      </c>
      <c r="G2211" s="25" t="s">
        <v>102</v>
      </c>
      <c r="H2211" s="25">
        <v>30</v>
      </c>
      <c r="I2211" s="25">
        <v>20</v>
      </c>
      <c r="J2211" s="25">
        <v>30</v>
      </c>
      <c r="K2211" s="25">
        <v>20</v>
      </c>
      <c r="L2211" s="25">
        <v>10</v>
      </c>
      <c r="M2211" s="27">
        <v>50</v>
      </c>
      <c r="N2211" s="25" t="s">
        <v>55</v>
      </c>
      <c r="O2211" s="25" t="s">
        <v>28</v>
      </c>
      <c r="P2211" s="25" t="s">
        <v>33</v>
      </c>
    </row>
    <row r="2212" spans="1:16" x14ac:dyDescent="0.3">
      <c r="A2212" s="25">
        <v>2211</v>
      </c>
      <c r="B2212" s="26">
        <v>45669</v>
      </c>
      <c r="C2212" s="25" t="s">
        <v>70</v>
      </c>
      <c r="D2212" s="25" t="s">
        <v>22</v>
      </c>
      <c r="E2212" s="25" t="s">
        <v>101</v>
      </c>
      <c r="F2212" s="25">
        <v>5</v>
      </c>
      <c r="G2212" s="25" t="s">
        <v>102</v>
      </c>
      <c r="H2212" s="25">
        <v>6</v>
      </c>
      <c r="I2212" s="25">
        <v>4</v>
      </c>
      <c r="J2212" s="25">
        <v>30</v>
      </c>
      <c r="K2212" s="25">
        <v>20</v>
      </c>
      <c r="L2212" s="25">
        <v>10</v>
      </c>
      <c r="M2212" s="27">
        <v>50</v>
      </c>
      <c r="N2212" s="25" t="s">
        <v>55</v>
      </c>
      <c r="O2212" s="25" t="s">
        <v>28</v>
      </c>
      <c r="P2212" s="25" t="s">
        <v>33</v>
      </c>
    </row>
    <row r="2213" spans="1:16" x14ac:dyDescent="0.3">
      <c r="A2213" s="25">
        <v>2212</v>
      </c>
      <c r="B2213" s="26">
        <v>45670</v>
      </c>
      <c r="C2213" s="25" t="s">
        <v>70</v>
      </c>
      <c r="D2213" s="25" t="s">
        <v>22</v>
      </c>
      <c r="E2213" s="25" t="s">
        <v>90</v>
      </c>
      <c r="F2213" s="25">
        <v>1</v>
      </c>
      <c r="G2213" s="25" t="s">
        <v>91</v>
      </c>
      <c r="H2213" s="25">
        <v>280</v>
      </c>
      <c r="I2213" s="25">
        <v>240</v>
      </c>
      <c r="J2213" s="25">
        <v>280</v>
      </c>
      <c r="K2213" s="25">
        <v>240</v>
      </c>
      <c r="L2213" s="25">
        <v>40</v>
      </c>
      <c r="M2213" s="27">
        <v>16.6666666666667</v>
      </c>
      <c r="N2213" s="25" t="s">
        <v>55</v>
      </c>
      <c r="O2213" s="25" t="s">
        <v>28</v>
      </c>
      <c r="P2213" s="25" t="s">
        <v>33</v>
      </c>
    </row>
    <row r="2214" spans="1:16" x14ac:dyDescent="0.3">
      <c r="A2214" s="25">
        <v>2213</v>
      </c>
      <c r="B2214" s="26">
        <v>45670</v>
      </c>
      <c r="C2214" s="25" t="s">
        <v>70</v>
      </c>
      <c r="D2214" s="25" t="s">
        <v>22</v>
      </c>
      <c r="E2214" s="25" t="s">
        <v>99</v>
      </c>
      <c r="F2214" s="25">
        <v>1</v>
      </c>
      <c r="G2214" s="25" t="s">
        <v>100</v>
      </c>
      <c r="H2214" s="25">
        <v>200</v>
      </c>
      <c r="I2214" s="25">
        <v>160</v>
      </c>
      <c r="J2214" s="25">
        <v>200</v>
      </c>
      <c r="K2214" s="25">
        <v>160</v>
      </c>
      <c r="L2214" s="25">
        <v>40</v>
      </c>
      <c r="M2214" s="27">
        <v>25</v>
      </c>
      <c r="N2214" s="25" t="s">
        <v>55</v>
      </c>
      <c r="O2214" s="25" t="s">
        <v>28</v>
      </c>
      <c r="P2214" s="25" t="s">
        <v>32</v>
      </c>
    </row>
    <row r="2215" spans="1:16" x14ac:dyDescent="0.3">
      <c r="A2215" s="25">
        <v>2214</v>
      </c>
      <c r="B2215" s="26">
        <v>45670</v>
      </c>
      <c r="C2215" s="25" t="s">
        <v>70</v>
      </c>
      <c r="D2215" s="25" t="s">
        <v>22</v>
      </c>
      <c r="E2215" s="25" t="s">
        <v>103</v>
      </c>
      <c r="F2215" s="25">
        <v>1</v>
      </c>
      <c r="G2215" s="25" t="s">
        <v>102</v>
      </c>
      <c r="H2215" s="25">
        <v>30</v>
      </c>
      <c r="I2215" s="25">
        <v>20</v>
      </c>
      <c r="J2215" s="25">
        <v>30</v>
      </c>
      <c r="K2215" s="25">
        <v>20</v>
      </c>
      <c r="L2215" s="25">
        <v>10</v>
      </c>
      <c r="M2215" s="27">
        <v>50</v>
      </c>
      <c r="N2215" s="25" t="s">
        <v>55</v>
      </c>
      <c r="O2215" s="25" t="s">
        <v>28</v>
      </c>
      <c r="P2215" s="25" t="s">
        <v>32</v>
      </c>
    </row>
    <row r="2216" spans="1:16" x14ac:dyDescent="0.3">
      <c r="A2216" s="25">
        <v>2215</v>
      </c>
      <c r="B2216" s="26">
        <v>45670</v>
      </c>
      <c r="C2216" s="25" t="s">
        <v>70</v>
      </c>
      <c r="D2216" s="25" t="s">
        <v>22</v>
      </c>
      <c r="E2216" s="25" t="s">
        <v>96</v>
      </c>
      <c r="F2216" s="25">
        <v>1</v>
      </c>
      <c r="G2216" s="25" t="s">
        <v>97</v>
      </c>
      <c r="H2216" s="25">
        <v>300</v>
      </c>
      <c r="I2216" s="25">
        <v>265</v>
      </c>
      <c r="J2216" s="25">
        <v>300</v>
      </c>
      <c r="K2216" s="25">
        <v>265</v>
      </c>
      <c r="L2216" s="25">
        <v>35</v>
      </c>
      <c r="M2216" s="27">
        <v>13.207547169811299</v>
      </c>
      <c r="N2216" s="25" t="s">
        <v>55</v>
      </c>
      <c r="O2216" s="25" t="s">
        <v>28</v>
      </c>
      <c r="P2216" s="25" t="s">
        <v>32</v>
      </c>
    </row>
    <row r="2217" spans="1:16" x14ac:dyDescent="0.3">
      <c r="A2217" s="25">
        <v>2216</v>
      </c>
      <c r="B2217" s="26">
        <v>45670</v>
      </c>
      <c r="C2217" s="25" t="s">
        <v>70</v>
      </c>
      <c r="D2217" s="25" t="s">
        <v>22</v>
      </c>
      <c r="E2217" s="25" t="s">
        <v>101</v>
      </c>
      <c r="F2217" s="25">
        <v>12</v>
      </c>
      <c r="G2217" s="25" t="s">
        <v>102</v>
      </c>
      <c r="H2217" s="25">
        <v>6</v>
      </c>
      <c r="I2217" s="25">
        <v>4</v>
      </c>
      <c r="J2217" s="25">
        <v>72</v>
      </c>
      <c r="K2217" s="25">
        <v>48</v>
      </c>
      <c r="L2217" s="25">
        <v>24</v>
      </c>
      <c r="M2217" s="27">
        <v>50</v>
      </c>
      <c r="N2217" s="25" t="s">
        <v>55</v>
      </c>
      <c r="O2217" s="25" t="s">
        <v>28</v>
      </c>
      <c r="P2217" s="25" t="s">
        <v>32</v>
      </c>
    </row>
    <row r="2218" spans="1:16" x14ac:dyDescent="0.3">
      <c r="A2218" s="25">
        <v>2217</v>
      </c>
      <c r="B2218" s="26">
        <v>45670</v>
      </c>
      <c r="C2218" s="25" t="s">
        <v>70</v>
      </c>
      <c r="D2218" s="25" t="s">
        <v>22</v>
      </c>
      <c r="E2218" s="25" t="s">
        <v>90</v>
      </c>
      <c r="F2218" s="25">
        <v>0.25</v>
      </c>
      <c r="G2218" s="25" t="s">
        <v>91</v>
      </c>
      <c r="H2218" s="25">
        <v>280</v>
      </c>
      <c r="I2218" s="25">
        <v>240</v>
      </c>
      <c r="J2218" s="25">
        <v>70</v>
      </c>
      <c r="K2218" s="25">
        <v>60</v>
      </c>
      <c r="L2218" s="25">
        <v>10</v>
      </c>
      <c r="M2218" s="27">
        <v>16.6666666666667</v>
      </c>
      <c r="N2218" s="25" t="s">
        <v>55</v>
      </c>
      <c r="O2218" s="25" t="s">
        <v>28</v>
      </c>
      <c r="P2218" s="25" t="s">
        <v>32</v>
      </c>
    </row>
    <row r="2219" spans="1:16" x14ac:dyDescent="0.3">
      <c r="A2219" s="25">
        <v>2218</v>
      </c>
      <c r="B2219" s="26">
        <v>45670</v>
      </c>
      <c r="C2219" s="25" t="s">
        <v>70</v>
      </c>
      <c r="D2219" s="25" t="s">
        <v>22</v>
      </c>
      <c r="E2219" s="25" t="s">
        <v>92</v>
      </c>
      <c r="F2219" s="25">
        <v>2.5</v>
      </c>
      <c r="G2219" s="25" t="s">
        <v>91</v>
      </c>
      <c r="H2219" s="25">
        <v>260</v>
      </c>
      <c r="I2219" s="25">
        <v>220</v>
      </c>
      <c r="J2219" s="25">
        <v>650</v>
      </c>
      <c r="K2219" s="25">
        <v>550</v>
      </c>
      <c r="L2219" s="25">
        <v>100</v>
      </c>
      <c r="M2219" s="27">
        <v>18.181818181818201</v>
      </c>
      <c r="N2219" s="25" t="s">
        <v>55</v>
      </c>
      <c r="O2219" s="25" t="s">
        <v>28</v>
      </c>
      <c r="P2219" s="25" t="s">
        <v>32</v>
      </c>
    </row>
    <row r="2220" spans="1:16" x14ac:dyDescent="0.3">
      <c r="A2220" s="25">
        <v>2219</v>
      </c>
      <c r="B2220" s="26">
        <v>45670</v>
      </c>
      <c r="C2220" s="25" t="s">
        <v>70</v>
      </c>
      <c r="D2220" s="25" t="s">
        <v>22</v>
      </c>
      <c r="E2220" s="25" t="s">
        <v>96</v>
      </c>
      <c r="F2220" s="25">
        <v>1</v>
      </c>
      <c r="G2220" s="25" t="s">
        <v>97</v>
      </c>
      <c r="H2220" s="25">
        <v>300</v>
      </c>
      <c r="I2220" s="25">
        <v>265</v>
      </c>
      <c r="J2220" s="25">
        <v>300</v>
      </c>
      <c r="K2220" s="25">
        <v>265</v>
      </c>
      <c r="L2220" s="25">
        <v>35</v>
      </c>
      <c r="M2220" s="27">
        <v>13.207547169811299</v>
      </c>
      <c r="N2220" s="25" t="s">
        <v>55</v>
      </c>
      <c r="O2220" s="25" t="s">
        <v>28</v>
      </c>
      <c r="P2220" s="25" t="s">
        <v>32</v>
      </c>
    </row>
    <row r="2221" spans="1:16" x14ac:dyDescent="0.3">
      <c r="A2221" s="25">
        <v>2220</v>
      </c>
      <c r="B2221" s="26">
        <v>45670</v>
      </c>
      <c r="C2221" s="25" t="s">
        <v>70</v>
      </c>
      <c r="D2221" s="25" t="s">
        <v>22</v>
      </c>
      <c r="E2221" s="25" t="s">
        <v>92</v>
      </c>
      <c r="F2221" s="25">
        <v>2.25</v>
      </c>
      <c r="G2221" s="25" t="s">
        <v>91</v>
      </c>
      <c r="H2221" s="25">
        <v>260</v>
      </c>
      <c r="I2221" s="25">
        <v>220</v>
      </c>
      <c r="J2221" s="25">
        <v>585</v>
      </c>
      <c r="K2221" s="25">
        <v>495</v>
      </c>
      <c r="L2221" s="25">
        <v>90</v>
      </c>
      <c r="M2221" s="27">
        <v>18.181818181818201</v>
      </c>
      <c r="N2221" s="25" t="s">
        <v>55</v>
      </c>
      <c r="O2221" s="25" t="s">
        <v>28</v>
      </c>
      <c r="P2221" s="25" t="s">
        <v>32</v>
      </c>
    </row>
    <row r="2222" spans="1:16" x14ac:dyDescent="0.3">
      <c r="A2222" s="25">
        <v>2221</v>
      </c>
      <c r="B2222" s="26">
        <v>45670</v>
      </c>
      <c r="C2222" s="25" t="s">
        <v>70</v>
      </c>
      <c r="D2222" s="25" t="s">
        <v>22</v>
      </c>
      <c r="E2222" s="25" t="s">
        <v>103</v>
      </c>
      <c r="F2222" s="25">
        <v>1</v>
      </c>
      <c r="G2222" s="25" t="s">
        <v>102</v>
      </c>
      <c r="H2222" s="25">
        <v>30</v>
      </c>
      <c r="I2222" s="25">
        <v>20</v>
      </c>
      <c r="J2222" s="25">
        <v>30</v>
      </c>
      <c r="K2222" s="25">
        <v>20</v>
      </c>
      <c r="L2222" s="25">
        <v>10</v>
      </c>
      <c r="M2222" s="27">
        <v>50</v>
      </c>
      <c r="N2222" s="25" t="s">
        <v>55</v>
      </c>
      <c r="O2222" s="25" t="s">
        <v>28</v>
      </c>
      <c r="P2222" s="25" t="s">
        <v>32</v>
      </c>
    </row>
    <row r="2223" spans="1:16" x14ac:dyDescent="0.3">
      <c r="A2223" s="25">
        <v>2222</v>
      </c>
      <c r="B2223" s="26">
        <v>45670</v>
      </c>
      <c r="C2223" s="25" t="s">
        <v>70</v>
      </c>
      <c r="D2223" s="25" t="s">
        <v>22</v>
      </c>
      <c r="E2223" s="25" t="s">
        <v>96</v>
      </c>
      <c r="F2223" s="25">
        <v>1</v>
      </c>
      <c r="G2223" s="25" t="s">
        <v>97</v>
      </c>
      <c r="H2223" s="25">
        <v>300</v>
      </c>
      <c r="I2223" s="25">
        <v>265</v>
      </c>
      <c r="J2223" s="25">
        <v>300</v>
      </c>
      <c r="K2223" s="25">
        <v>265</v>
      </c>
      <c r="L2223" s="25">
        <v>35</v>
      </c>
      <c r="M2223" s="27">
        <v>13.207547169811299</v>
      </c>
      <c r="N2223" s="25" t="s">
        <v>55</v>
      </c>
      <c r="O2223" s="25" t="s">
        <v>28</v>
      </c>
      <c r="P2223" s="25" t="s">
        <v>32</v>
      </c>
    </row>
    <row r="2224" spans="1:16" x14ac:dyDescent="0.3">
      <c r="A2224" s="25">
        <v>2223</v>
      </c>
      <c r="B2224" s="26">
        <v>45670</v>
      </c>
      <c r="C2224" s="25" t="s">
        <v>70</v>
      </c>
      <c r="D2224" s="25" t="s">
        <v>22</v>
      </c>
      <c r="E2224" s="25" t="s">
        <v>90</v>
      </c>
      <c r="F2224" s="25">
        <v>1</v>
      </c>
      <c r="G2224" s="25" t="s">
        <v>91</v>
      </c>
      <c r="H2224" s="25">
        <v>280</v>
      </c>
      <c r="I2224" s="25">
        <v>240</v>
      </c>
      <c r="J2224" s="25">
        <v>280</v>
      </c>
      <c r="K2224" s="25">
        <v>240</v>
      </c>
      <c r="L2224" s="25">
        <v>40</v>
      </c>
      <c r="M2224" s="27">
        <v>16.6666666666667</v>
      </c>
      <c r="N2224" s="25" t="s">
        <v>55</v>
      </c>
      <c r="O2224" s="25" t="s">
        <v>28</v>
      </c>
      <c r="P2224" s="25" t="s">
        <v>32</v>
      </c>
    </row>
    <row r="2225" spans="1:16" x14ac:dyDescent="0.3">
      <c r="A2225" s="25">
        <v>2224</v>
      </c>
      <c r="B2225" s="26">
        <v>45670</v>
      </c>
      <c r="C2225" s="25" t="s">
        <v>70</v>
      </c>
      <c r="D2225" s="25" t="s">
        <v>22</v>
      </c>
      <c r="E2225" s="25" t="s">
        <v>101</v>
      </c>
      <c r="F2225" s="25">
        <v>6</v>
      </c>
      <c r="G2225" s="25" t="s">
        <v>102</v>
      </c>
      <c r="H2225" s="25">
        <v>6</v>
      </c>
      <c r="I2225" s="25">
        <v>4</v>
      </c>
      <c r="J2225" s="25">
        <v>36</v>
      </c>
      <c r="K2225" s="25">
        <v>24</v>
      </c>
      <c r="L2225" s="25">
        <v>12</v>
      </c>
      <c r="M2225" s="27">
        <v>50</v>
      </c>
      <c r="N2225" s="25" t="s">
        <v>55</v>
      </c>
      <c r="O2225" s="25" t="s">
        <v>28</v>
      </c>
      <c r="P2225" s="25" t="s">
        <v>32</v>
      </c>
    </row>
    <row r="2226" spans="1:16" x14ac:dyDescent="0.3">
      <c r="A2226" s="25">
        <v>2225</v>
      </c>
      <c r="B2226" s="26">
        <v>45671</v>
      </c>
      <c r="C2226" s="25" t="s">
        <v>70</v>
      </c>
      <c r="D2226" s="25" t="s">
        <v>22</v>
      </c>
      <c r="E2226" s="25" t="s">
        <v>96</v>
      </c>
      <c r="F2226" s="25">
        <v>0.5</v>
      </c>
      <c r="G2226" s="25" t="s">
        <v>97</v>
      </c>
      <c r="H2226" s="25">
        <v>300</v>
      </c>
      <c r="I2226" s="25">
        <v>265</v>
      </c>
      <c r="J2226" s="25">
        <v>150</v>
      </c>
      <c r="K2226" s="25">
        <v>132.5</v>
      </c>
      <c r="L2226" s="25">
        <v>17.5</v>
      </c>
      <c r="M2226" s="27">
        <v>13.207547169811299</v>
      </c>
      <c r="N2226" s="25" t="s">
        <v>55</v>
      </c>
      <c r="O2226" s="25" t="s">
        <v>28</v>
      </c>
      <c r="P2226" s="25" t="s">
        <v>32</v>
      </c>
    </row>
    <row r="2227" spans="1:16" x14ac:dyDescent="0.3">
      <c r="A2227" s="25">
        <v>2226</v>
      </c>
      <c r="B2227" s="26">
        <v>45671</v>
      </c>
      <c r="C2227" s="25" t="s">
        <v>70</v>
      </c>
      <c r="D2227" s="25" t="s">
        <v>22</v>
      </c>
      <c r="E2227" s="25" t="s">
        <v>92</v>
      </c>
      <c r="F2227" s="25">
        <v>0.25</v>
      </c>
      <c r="G2227" s="25" t="s">
        <v>91</v>
      </c>
      <c r="H2227" s="25">
        <v>260</v>
      </c>
      <c r="I2227" s="25">
        <v>220</v>
      </c>
      <c r="J2227" s="25">
        <v>65</v>
      </c>
      <c r="K2227" s="25">
        <v>55</v>
      </c>
      <c r="L2227" s="25">
        <v>10</v>
      </c>
      <c r="M2227" s="27">
        <v>18.181818181818201</v>
      </c>
      <c r="N2227" s="25" t="s">
        <v>55</v>
      </c>
      <c r="O2227" s="25" t="s">
        <v>28</v>
      </c>
      <c r="P2227" s="25" t="s">
        <v>32</v>
      </c>
    </row>
    <row r="2228" spans="1:16" x14ac:dyDescent="0.3">
      <c r="A2228" s="25">
        <v>2227</v>
      </c>
      <c r="B2228" s="26">
        <v>45671</v>
      </c>
      <c r="C2228" s="25" t="s">
        <v>70</v>
      </c>
      <c r="D2228" s="25" t="s">
        <v>22</v>
      </c>
      <c r="E2228" s="25" t="s">
        <v>90</v>
      </c>
      <c r="F2228" s="25">
        <v>2</v>
      </c>
      <c r="G2228" s="25" t="s">
        <v>91</v>
      </c>
      <c r="H2228" s="25">
        <v>280</v>
      </c>
      <c r="I2228" s="25">
        <v>240</v>
      </c>
      <c r="J2228" s="25">
        <v>560</v>
      </c>
      <c r="K2228" s="25">
        <v>480</v>
      </c>
      <c r="L2228" s="25">
        <v>80</v>
      </c>
      <c r="M2228" s="27">
        <v>16.6666666666667</v>
      </c>
      <c r="N2228" s="25" t="s">
        <v>55</v>
      </c>
      <c r="O2228" s="25" t="s">
        <v>28</v>
      </c>
      <c r="P2228" s="25" t="s">
        <v>32</v>
      </c>
    </row>
    <row r="2229" spans="1:16" x14ac:dyDescent="0.3">
      <c r="A2229" s="25">
        <v>2228</v>
      </c>
      <c r="B2229" s="26">
        <v>45671</v>
      </c>
      <c r="C2229" s="25" t="s">
        <v>70</v>
      </c>
      <c r="D2229" s="25" t="s">
        <v>22</v>
      </c>
      <c r="E2229" s="25" t="s">
        <v>90</v>
      </c>
      <c r="F2229" s="25">
        <v>1.25</v>
      </c>
      <c r="G2229" s="25" t="s">
        <v>91</v>
      </c>
      <c r="H2229" s="25">
        <v>280</v>
      </c>
      <c r="I2229" s="25">
        <v>240</v>
      </c>
      <c r="J2229" s="25">
        <v>350</v>
      </c>
      <c r="K2229" s="25">
        <v>300</v>
      </c>
      <c r="L2229" s="25">
        <v>50</v>
      </c>
      <c r="M2229" s="27">
        <v>16.6666666666667</v>
      </c>
      <c r="N2229" s="25" t="s">
        <v>55</v>
      </c>
      <c r="O2229" s="25" t="s">
        <v>28</v>
      </c>
      <c r="P2229" s="25" t="s">
        <v>32</v>
      </c>
    </row>
    <row r="2230" spans="1:16" x14ac:dyDescent="0.3">
      <c r="A2230" s="25">
        <v>2229</v>
      </c>
      <c r="B2230" s="26">
        <v>45671</v>
      </c>
      <c r="C2230" s="25" t="s">
        <v>70</v>
      </c>
      <c r="D2230" s="25" t="s">
        <v>21</v>
      </c>
      <c r="E2230" s="25" t="s">
        <v>88</v>
      </c>
      <c r="F2230" s="25">
        <v>2</v>
      </c>
      <c r="G2230" s="25" t="s">
        <v>89</v>
      </c>
      <c r="H2230" s="25">
        <v>130</v>
      </c>
      <c r="I2230" s="25">
        <v>100</v>
      </c>
      <c r="J2230" s="25">
        <v>260</v>
      </c>
      <c r="K2230" s="25">
        <v>200</v>
      </c>
      <c r="L2230" s="25">
        <v>60</v>
      </c>
      <c r="M2230" s="27">
        <v>30</v>
      </c>
      <c r="N2230" s="25" t="s">
        <v>55</v>
      </c>
      <c r="O2230" s="25" t="s">
        <v>27</v>
      </c>
      <c r="P2230" s="25" t="s">
        <v>32</v>
      </c>
    </row>
    <row r="2231" spans="1:16" x14ac:dyDescent="0.3">
      <c r="A2231" s="25">
        <v>2230</v>
      </c>
      <c r="B2231" s="26">
        <v>45671</v>
      </c>
      <c r="C2231" s="25" t="s">
        <v>70</v>
      </c>
      <c r="D2231" s="25" t="s">
        <v>21</v>
      </c>
      <c r="E2231" s="25" t="s">
        <v>94</v>
      </c>
      <c r="F2231" s="25">
        <v>12</v>
      </c>
      <c r="G2231" s="25" t="s">
        <v>89</v>
      </c>
      <c r="H2231" s="25">
        <v>30</v>
      </c>
      <c r="I2231" s="25">
        <v>26</v>
      </c>
      <c r="J2231" s="25">
        <v>360</v>
      </c>
      <c r="K2231" s="25">
        <v>312</v>
      </c>
      <c r="L2231" s="25">
        <v>48</v>
      </c>
      <c r="M2231" s="27">
        <v>15.384615384615399</v>
      </c>
      <c r="N2231" s="25" t="s">
        <v>55</v>
      </c>
      <c r="O2231" s="25" t="s">
        <v>27</v>
      </c>
      <c r="P2231" s="25" t="s">
        <v>32</v>
      </c>
    </row>
    <row r="2232" spans="1:16" x14ac:dyDescent="0.3">
      <c r="A2232" s="25">
        <v>2231</v>
      </c>
      <c r="B2232" s="26">
        <v>45671</v>
      </c>
      <c r="C2232" s="25" t="s">
        <v>70</v>
      </c>
      <c r="D2232" s="25" t="s">
        <v>21</v>
      </c>
      <c r="E2232" s="25" t="s">
        <v>88</v>
      </c>
      <c r="F2232" s="25">
        <v>5</v>
      </c>
      <c r="G2232" s="25" t="s">
        <v>89</v>
      </c>
      <c r="H2232" s="25">
        <v>130</v>
      </c>
      <c r="I2232" s="25">
        <v>100</v>
      </c>
      <c r="J2232" s="25">
        <v>650</v>
      </c>
      <c r="K2232" s="25">
        <v>500</v>
      </c>
      <c r="L2232" s="25">
        <v>150</v>
      </c>
      <c r="M2232" s="27">
        <v>30</v>
      </c>
      <c r="N2232" s="25" t="s">
        <v>55</v>
      </c>
      <c r="O2232" s="25" t="s">
        <v>27</v>
      </c>
      <c r="P2232" s="25" t="s">
        <v>32</v>
      </c>
    </row>
    <row r="2233" spans="1:16" x14ac:dyDescent="0.3">
      <c r="A2233" s="25">
        <v>2232</v>
      </c>
      <c r="B2233" s="26">
        <v>45671</v>
      </c>
      <c r="C2233" s="25" t="s">
        <v>70</v>
      </c>
      <c r="D2233" s="25" t="s">
        <v>22</v>
      </c>
      <c r="E2233" s="25" t="s">
        <v>92</v>
      </c>
      <c r="F2233" s="25">
        <v>0.25</v>
      </c>
      <c r="G2233" s="25" t="s">
        <v>91</v>
      </c>
      <c r="H2233" s="25">
        <v>260</v>
      </c>
      <c r="I2233" s="25">
        <v>220</v>
      </c>
      <c r="J2233" s="25">
        <v>65</v>
      </c>
      <c r="K2233" s="25">
        <v>55</v>
      </c>
      <c r="L2233" s="25">
        <v>10</v>
      </c>
      <c r="M2233" s="27">
        <v>18.181818181818201</v>
      </c>
      <c r="N2233" s="25" t="s">
        <v>55</v>
      </c>
      <c r="O2233" s="25" t="s">
        <v>28</v>
      </c>
      <c r="P2233" s="25" t="s">
        <v>32</v>
      </c>
    </row>
    <row r="2234" spans="1:16" x14ac:dyDescent="0.3">
      <c r="A2234" s="25">
        <v>2233</v>
      </c>
      <c r="B2234" s="26">
        <v>45671</v>
      </c>
      <c r="C2234" s="25" t="s">
        <v>70</v>
      </c>
      <c r="D2234" s="25" t="s">
        <v>22</v>
      </c>
      <c r="E2234" s="25" t="s">
        <v>96</v>
      </c>
      <c r="F2234" s="25">
        <v>1</v>
      </c>
      <c r="G2234" s="25" t="s">
        <v>97</v>
      </c>
      <c r="H2234" s="25">
        <v>300</v>
      </c>
      <c r="I2234" s="25">
        <v>265</v>
      </c>
      <c r="J2234" s="25">
        <v>300</v>
      </c>
      <c r="K2234" s="25">
        <v>265</v>
      </c>
      <c r="L2234" s="25">
        <v>35</v>
      </c>
      <c r="M2234" s="27">
        <v>13.207547169811299</v>
      </c>
      <c r="N2234" s="25" t="s">
        <v>55</v>
      </c>
      <c r="O2234" s="25" t="s">
        <v>28</v>
      </c>
      <c r="P2234" s="25" t="s">
        <v>32</v>
      </c>
    </row>
    <row r="2235" spans="1:16" x14ac:dyDescent="0.3">
      <c r="A2235" s="25">
        <v>2234</v>
      </c>
      <c r="B2235" s="26">
        <v>45672</v>
      </c>
      <c r="C2235" s="25" t="s">
        <v>70</v>
      </c>
      <c r="D2235" s="25" t="s">
        <v>21</v>
      </c>
      <c r="E2235" s="25" t="s">
        <v>88</v>
      </c>
      <c r="F2235" s="25">
        <v>5</v>
      </c>
      <c r="G2235" s="25" t="s">
        <v>89</v>
      </c>
      <c r="H2235" s="25">
        <v>130</v>
      </c>
      <c r="I2235" s="25">
        <v>100</v>
      </c>
      <c r="J2235" s="25">
        <v>650</v>
      </c>
      <c r="K2235" s="25">
        <v>500</v>
      </c>
      <c r="L2235" s="25">
        <v>150</v>
      </c>
      <c r="M2235" s="27">
        <v>30</v>
      </c>
      <c r="N2235" s="25" t="s">
        <v>55</v>
      </c>
      <c r="O2235" s="25" t="s">
        <v>27</v>
      </c>
      <c r="P2235" s="25" t="s">
        <v>32</v>
      </c>
    </row>
    <row r="2236" spans="1:16" x14ac:dyDescent="0.3">
      <c r="A2236" s="25">
        <v>2235</v>
      </c>
      <c r="B2236" s="26">
        <v>45672</v>
      </c>
      <c r="C2236" s="25" t="s">
        <v>70</v>
      </c>
      <c r="D2236" s="25" t="s">
        <v>21</v>
      </c>
      <c r="E2236" s="25" t="s">
        <v>88</v>
      </c>
      <c r="F2236" s="25">
        <v>5</v>
      </c>
      <c r="G2236" s="25" t="s">
        <v>89</v>
      </c>
      <c r="H2236" s="25">
        <v>130</v>
      </c>
      <c r="I2236" s="25">
        <v>100</v>
      </c>
      <c r="J2236" s="25">
        <v>650</v>
      </c>
      <c r="K2236" s="25">
        <v>500</v>
      </c>
      <c r="L2236" s="25">
        <v>150</v>
      </c>
      <c r="M2236" s="27">
        <v>30</v>
      </c>
      <c r="N2236" s="25" t="s">
        <v>55</v>
      </c>
      <c r="O2236" s="25" t="s">
        <v>27</v>
      </c>
      <c r="P2236" s="25" t="s">
        <v>32</v>
      </c>
    </row>
    <row r="2237" spans="1:16" x14ac:dyDescent="0.3">
      <c r="A2237" s="25">
        <v>2236</v>
      </c>
      <c r="B2237" s="26">
        <v>45672</v>
      </c>
      <c r="C2237" s="25" t="s">
        <v>70</v>
      </c>
      <c r="D2237" s="25" t="s">
        <v>22</v>
      </c>
      <c r="E2237" s="25" t="s">
        <v>90</v>
      </c>
      <c r="F2237" s="25">
        <v>2</v>
      </c>
      <c r="G2237" s="25" t="s">
        <v>91</v>
      </c>
      <c r="H2237" s="25">
        <v>280</v>
      </c>
      <c r="I2237" s="25">
        <v>240</v>
      </c>
      <c r="J2237" s="25">
        <v>560</v>
      </c>
      <c r="K2237" s="25">
        <v>480</v>
      </c>
      <c r="L2237" s="25">
        <v>80</v>
      </c>
      <c r="M2237" s="27">
        <v>16.6666666666667</v>
      </c>
      <c r="N2237" s="25" t="s">
        <v>55</v>
      </c>
      <c r="O2237" s="25" t="s">
        <v>28</v>
      </c>
      <c r="P2237" s="25" t="s">
        <v>33</v>
      </c>
    </row>
    <row r="2238" spans="1:16" x14ac:dyDescent="0.3">
      <c r="A2238" s="25">
        <v>2237</v>
      </c>
      <c r="B2238" s="26">
        <v>45672</v>
      </c>
      <c r="C2238" s="25" t="s">
        <v>70</v>
      </c>
      <c r="D2238" s="25" t="s">
        <v>22</v>
      </c>
      <c r="E2238" s="25" t="s">
        <v>101</v>
      </c>
      <c r="F2238" s="25">
        <v>14</v>
      </c>
      <c r="G2238" s="25" t="s">
        <v>102</v>
      </c>
      <c r="H2238" s="25">
        <v>6</v>
      </c>
      <c r="I2238" s="25">
        <v>4</v>
      </c>
      <c r="J2238" s="25">
        <v>84</v>
      </c>
      <c r="K2238" s="25">
        <v>56</v>
      </c>
      <c r="L2238" s="25">
        <v>28</v>
      </c>
      <c r="M2238" s="27">
        <v>50</v>
      </c>
      <c r="N2238" s="25" t="s">
        <v>55</v>
      </c>
      <c r="O2238" s="25" t="s">
        <v>28</v>
      </c>
      <c r="P2238" s="25" t="s">
        <v>32</v>
      </c>
    </row>
    <row r="2239" spans="1:16" x14ac:dyDescent="0.3">
      <c r="A2239" s="25">
        <v>2238</v>
      </c>
      <c r="B2239" s="26">
        <v>45672</v>
      </c>
      <c r="C2239" s="25" t="s">
        <v>70</v>
      </c>
      <c r="D2239" s="25" t="s">
        <v>22</v>
      </c>
      <c r="E2239" s="25" t="s">
        <v>90</v>
      </c>
      <c r="F2239" s="25">
        <v>2</v>
      </c>
      <c r="G2239" s="25" t="s">
        <v>91</v>
      </c>
      <c r="H2239" s="25">
        <v>280</v>
      </c>
      <c r="I2239" s="25">
        <v>240</v>
      </c>
      <c r="J2239" s="25">
        <v>560</v>
      </c>
      <c r="K2239" s="25">
        <v>480</v>
      </c>
      <c r="L2239" s="25">
        <v>80</v>
      </c>
      <c r="M2239" s="27">
        <v>16.6666666666667</v>
      </c>
      <c r="N2239" s="25" t="s">
        <v>55</v>
      </c>
      <c r="O2239" s="25" t="s">
        <v>28</v>
      </c>
      <c r="P2239" s="25" t="s">
        <v>33</v>
      </c>
    </row>
    <row r="2240" spans="1:16" x14ac:dyDescent="0.3">
      <c r="A2240" s="25">
        <v>2239</v>
      </c>
      <c r="B2240" s="26">
        <v>45672</v>
      </c>
      <c r="C2240" s="25" t="s">
        <v>70</v>
      </c>
      <c r="D2240" s="25" t="s">
        <v>22</v>
      </c>
      <c r="E2240" s="25" t="s">
        <v>92</v>
      </c>
      <c r="F2240" s="25">
        <v>2.5</v>
      </c>
      <c r="G2240" s="25" t="s">
        <v>91</v>
      </c>
      <c r="H2240" s="25">
        <v>260</v>
      </c>
      <c r="I2240" s="25">
        <v>220</v>
      </c>
      <c r="J2240" s="25">
        <v>650</v>
      </c>
      <c r="K2240" s="25">
        <v>550</v>
      </c>
      <c r="L2240" s="25">
        <v>100</v>
      </c>
      <c r="M2240" s="27">
        <v>18.181818181818201</v>
      </c>
      <c r="N2240" s="25" t="s">
        <v>55</v>
      </c>
      <c r="O2240" s="25" t="s">
        <v>28</v>
      </c>
      <c r="P2240" s="25" t="s">
        <v>33</v>
      </c>
    </row>
    <row r="2241" spans="1:16" x14ac:dyDescent="0.3">
      <c r="A2241" s="25">
        <v>2240</v>
      </c>
      <c r="B2241" s="26">
        <v>45672</v>
      </c>
      <c r="C2241" s="25" t="s">
        <v>70</v>
      </c>
      <c r="D2241" s="25" t="s">
        <v>22</v>
      </c>
      <c r="E2241" s="25" t="s">
        <v>96</v>
      </c>
      <c r="F2241" s="25">
        <v>1</v>
      </c>
      <c r="G2241" s="25" t="s">
        <v>97</v>
      </c>
      <c r="H2241" s="25">
        <v>300</v>
      </c>
      <c r="I2241" s="25">
        <v>265</v>
      </c>
      <c r="J2241" s="25">
        <v>300</v>
      </c>
      <c r="K2241" s="25">
        <v>265</v>
      </c>
      <c r="L2241" s="25">
        <v>35</v>
      </c>
      <c r="M2241" s="27">
        <v>13.207547169811299</v>
      </c>
      <c r="N2241" s="25" t="s">
        <v>55</v>
      </c>
      <c r="O2241" s="25" t="s">
        <v>28</v>
      </c>
      <c r="P2241" s="25" t="s">
        <v>33</v>
      </c>
    </row>
    <row r="2242" spans="1:16" x14ac:dyDescent="0.3">
      <c r="A2242" s="25">
        <v>2241</v>
      </c>
      <c r="B2242" s="26">
        <v>45672</v>
      </c>
      <c r="C2242" s="25" t="s">
        <v>70</v>
      </c>
      <c r="D2242" s="25" t="s">
        <v>22</v>
      </c>
      <c r="E2242" s="25" t="s">
        <v>92</v>
      </c>
      <c r="F2242" s="25">
        <v>1.25</v>
      </c>
      <c r="G2242" s="25" t="s">
        <v>91</v>
      </c>
      <c r="H2242" s="25">
        <v>260</v>
      </c>
      <c r="I2242" s="25">
        <v>220</v>
      </c>
      <c r="J2242" s="25">
        <v>325</v>
      </c>
      <c r="K2242" s="25">
        <v>275</v>
      </c>
      <c r="L2242" s="25">
        <v>50</v>
      </c>
      <c r="M2242" s="27">
        <v>18.181818181818201</v>
      </c>
      <c r="N2242" s="25" t="s">
        <v>55</v>
      </c>
      <c r="O2242" s="25" t="s">
        <v>28</v>
      </c>
      <c r="P2242" s="25" t="s">
        <v>32</v>
      </c>
    </row>
    <row r="2243" spans="1:16" x14ac:dyDescent="0.3">
      <c r="A2243" s="25">
        <v>2242</v>
      </c>
      <c r="B2243" s="26">
        <v>45673</v>
      </c>
      <c r="C2243" s="25" t="s">
        <v>70</v>
      </c>
      <c r="D2243" s="25" t="s">
        <v>22</v>
      </c>
      <c r="E2243" s="25" t="s">
        <v>103</v>
      </c>
      <c r="F2243" s="25">
        <v>2</v>
      </c>
      <c r="G2243" s="25" t="s">
        <v>102</v>
      </c>
      <c r="H2243" s="25">
        <v>30</v>
      </c>
      <c r="I2243" s="25">
        <v>20</v>
      </c>
      <c r="J2243" s="25">
        <v>60</v>
      </c>
      <c r="K2243" s="25">
        <v>40</v>
      </c>
      <c r="L2243" s="25">
        <v>20</v>
      </c>
      <c r="M2243" s="27">
        <v>50</v>
      </c>
      <c r="N2243" s="25" t="s">
        <v>55</v>
      </c>
      <c r="O2243" s="25" t="s">
        <v>28</v>
      </c>
      <c r="P2243" s="25" t="s">
        <v>32</v>
      </c>
    </row>
    <row r="2244" spans="1:16" x14ac:dyDescent="0.3">
      <c r="A2244" s="25">
        <v>2243</v>
      </c>
      <c r="B2244" s="26">
        <v>45673</v>
      </c>
      <c r="C2244" s="25" t="s">
        <v>70</v>
      </c>
      <c r="D2244" s="25" t="s">
        <v>22</v>
      </c>
      <c r="E2244" s="25" t="s">
        <v>90</v>
      </c>
      <c r="F2244" s="25">
        <v>0.25</v>
      </c>
      <c r="G2244" s="25" t="s">
        <v>91</v>
      </c>
      <c r="H2244" s="25">
        <v>280</v>
      </c>
      <c r="I2244" s="25">
        <v>240</v>
      </c>
      <c r="J2244" s="25">
        <v>70</v>
      </c>
      <c r="K2244" s="25">
        <v>60</v>
      </c>
      <c r="L2244" s="25">
        <v>10</v>
      </c>
      <c r="M2244" s="27">
        <v>16.6666666666667</v>
      </c>
      <c r="N2244" s="25" t="s">
        <v>55</v>
      </c>
      <c r="O2244" s="25" t="s">
        <v>28</v>
      </c>
      <c r="P2244" s="25" t="s">
        <v>32</v>
      </c>
    </row>
    <row r="2245" spans="1:16" x14ac:dyDescent="0.3">
      <c r="A2245" s="25">
        <v>2244</v>
      </c>
      <c r="B2245" s="26">
        <v>45673</v>
      </c>
      <c r="C2245" s="25" t="s">
        <v>70</v>
      </c>
      <c r="D2245" s="25" t="s">
        <v>22</v>
      </c>
      <c r="E2245" s="25" t="s">
        <v>96</v>
      </c>
      <c r="F2245" s="25">
        <v>1</v>
      </c>
      <c r="G2245" s="25" t="s">
        <v>97</v>
      </c>
      <c r="H2245" s="25">
        <v>300</v>
      </c>
      <c r="I2245" s="25">
        <v>265</v>
      </c>
      <c r="J2245" s="25">
        <v>300</v>
      </c>
      <c r="K2245" s="25">
        <v>265</v>
      </c>
      <c r="L2245" s="25">
        <v>35</v>
      </c>
      <c r="M2245" s="27">
        <v>13.207547169811299</v>
      </c>
      <c r="N2245" s="25" t="s">
        <v>55</v>
      </c>
      <c r="O2245" s="25" t="s">
        <v>28</v>
      </c>
      <c r="P2245" s="25" t="s">
        <v>32</v>
      </c>
    </row>
    <row r="2246" spans="1:16" x14ac:dyDescent="0.3">
      <c r="A2246" s="25">
        <v>2245</v>
      </c>
      <c r="B2246" s="26">
        <v>45673</v>
      </c>
      <c r="C2246" s="25" t="s">
        <v>70</v>
      </c>
      <c r="D2246" s="25" t="s">
        <v>22</v>
      </c>
      <c r="E2246" s="25" t="s">
        <v>99</v>
      </c>
      <c r="F2246" s="25">
        <v>1</v>
      </c>
      <c r="G2246" s="25" t="s">
        <v>100</v>
      </c>
      <c r="H2246" s="25">
        <v>200</v>
      </c>
      <c r="I2246" s="25">
        <v>160</v>
      </c>
      <c r="J2246" s="25">
        <v>200</v>
      </c>
      <c r="K2246" s="25">
        <v>160</v>
      </c>
      <c r="L2246" s="25">
        <v>40</v>
      </c>
      <c r="M2246" s="27">
        <v>25</v>
      </c>
      <c r="N2246" s="25" t="s">
        <v>55</v>
      </c>
      <c r="O2246" s="25" t="s">
        <v>28</v>
      </c>
      <c r="P2246" s="25" t="s">
        <v>32</v>
      </c>
    </row>
    <row r="2247" spans="1:16" x14ac:dyDescent="0.3">
      <c r="A2247" s="25">
        <v>2246</v>
      </c>
      <c r="B2247" s="26">
        <v>45673</v>
      </c>
      <c r="C2247" s="25" t="s">
        <v>70</v>
      </c>
      <c r="D2247" s="25" t="s">
        <v>21</v>
      </c>
      <c r="E2247" s="25" t="s">
        <v>88</v>
      </c>
      <c r="F2247" s="25">
        <v>3</v>
      </c>
      <c r="G2247" s="25" t="s">
        <v>89</v>
      </c>
      <c r="H2247" s="25">
        <v>130</v>
      </c>
      <c r="I2247" s="25">
        <v>100</v>
      </c>
      <c r="J2247" s="25">
        <v>390</v>
      </c>
      <c r="K2247" s="25">
        <v>300</v>
      </c>
      <c r="L2247" s="25">
        <v>90</v>
      </c>
      <c r="M2247" s="27">
        <v>30</v>
      </c>
      <c r="N2247" s="25" t="s">
        <v>55</v>
      </c>
      <c r="O2247" s="25" t="s">
        <v>27</v>
      </c>
      <c r="P2247" s="25" t="s">
        <v>32</v>
      </c>
    </row>
    <row r="2248" spans="1:16" x14ac:dyDescent="0.3">
      <c r="A2248" s="25">
        <v>2247</v>
      </c>
      <c r="B2248" s="26">
        <v>45673</v>
      </c>
      <c r="C2248" s="25" t="s">
        <v>70</v>
      </c>
      <c r="D2248" s="25" t="s">
        <v>21</v>
      </c>
      <c r="E2248" s="25" t="s">
        <v>88</v>
      </c>
      <c r="F2248" s="25">
        <v>5</v>
      </c>
      <c r="G2248" s="25" t="s">
        <v>89</v>
      </c>
      <c r="H2248" s="25">
        <v>130</v>
      </c>
      <c r="I2248" s="25">
        <v>100</v>
      </c>
      <c r="J2248" s="25">
        <v>650</v>
      </c>
      <c r="K2248" s="25">
        <v>500</v>
      </c>
      <c r="L2248" s="25">
        <v>150</v>
      </c>
      <c r="M2248" s="27">
        <v>30</v>
      </c>
      <c r="N2248" s="25" t="s">
        <v>55</v>
      </c>
      <c r="O2248" s="25" t="s">
        <v>27</v>
      </c>
      <c r="P2248" s="25" t="s">
        <v>32</v>
      </c>
    </row>
    <row r="2249" spans="1:16" x14ac:dyDescent="0.3">
      <c r="A2249" s="25">
        <v>2248</v>
      </c>
      <c r="B2249" s="26">
        <v>45673</v>
      </c>
      <c r="C2249" s="25" t="s">
        <v>70</v>
      </c>
      <c r="D2249" s="25" t="s">
        <v>22</v>
      </c>
      <c r="E2249" s="25" t="s">
        <v>92</v>
      </c>
      <c r="F2249" s="25">
        <v>0.25</v>
      </c>
      <c r="G2249" s="25" t="s">
        <v>91</v>
      </c>
      <c r="H2249" s="25">
        <v>260</v>
      </c>
      <c r="I2249" s="25">
        <v>220</v>
      </c>
      <c r="J2249" s="25">
        <v>65</v>
      </c>
      <c r="K2249" s="25">
        <v>55</v>
      </c>
      <c r="L2249" s="25">
        <v>10</v>
      </c>
      <c r="M2249" s="27">
        <v>18.181818181818201</v>
      </c>
      <c r="N2249" s="25" t="s">
        <v>55</v>
      </c>
      <c r="O2249" s="25" t="s">
        <v>28</v>
      </c>
      <c r="P2249" s="25" t="s">
        <v>32</v>
      </c>
    </row>
    <row r="2250" spans="1:16" x14ac:dyDescent="0.3">
      <c r="A2250" s="25">
        <v>2249</v>
      </c>
      <c r="B2250" s="26">
        <v>45673</v>
      </c>
      <c r="C2250" s="25" t="s">
        <v>70</v>
      </c>
      <c r="D2250" s="25" t="s">
        <v>22</v>
      </c>
      <c r="E2250" s="25" t="s">
        <v>101</v>
      </c>
      <c r="F2250" s="25">
        <v>6</v>
      </c>
      <c r="G2250" s="25" t="s">
        <v>102</v>
      </c>
      <c r="H2250" s="25">
        <v>6</v>
      </c>
      <c r="I2250" s="25">
        <v>4</v>
      </c>
      <c r="J2250" s="25">
        <v>36</v>
      </c>
      <c r="K2250" s="25">
        <v>24</v>
      </c>
      <c r="L2250" s="25">
        <v>12</v>
      </c>
      <c r="M2250" s="27">
        <v>50</v>
      </c>
      <c r="N2250" s="25" t="s">
        <v>55</v>
      </c>
      <c r="O2250" s="25" t="s">
        <v>28</v>
      </c>
      <c r="P2250" s="25" t="s">
        <v>32</v>
      </c>
    </row>
    <row r="2251" spans="1:16" x14ac:dyDescent="0.3">
      <c r="A2251" s="25">
        <v>2250</v>
      </c>
      <c r="B2251" s="26">
        <v>45673</v>
      </c>
      <c r="C2251" s="25" t="s">
        <v>70</v>
      </c>
      <c r="D2251" s="25" t="s">
        <v>21</v>
      </c>
      <c r="E2251" s="25" t="s">
        <v>88</v>
      </c>
      <c r="F2251" s="25">
        <v>2</v>
      </c>
      <c r="G2251" s="25" t="s">
        <v>89</v>
      </c>
      <c r="H2251" s="25">
        <v>130</v>
      </c>
      <c r="I2251" s="25">
        <v>100</v>
      </c>
      <c r="J2251" s="25">
        <v>260</v>
      </c>
      <c r="K2251" s="25">
        <v>200</v>
      </c>
      <c r="L2251" s="25">
        <v>60</v>
      </c>
      <c r="M2251" s="27">
        <v>30</v>
      </c>
      <c r="N2251" s="25" t="s">
        <v>55</v>
      </c>
      <c r="O2251" s="25" t="s">
        <v>27</v>
      </c>
      <c r="P2251" s="25" t="s">
        <v>32</v>
      </c>
    </row>
    <row r="2252" spans="1:16" x14ac:dyDescent="0.3">
      <c r="A2252" s="25">
        <v>2251</v>
      </c>
      <c r="B2252" s="26">
        <v>45673</v>
      </c>
      <c r="C2252" s="25" t="s">
        <v>70</v>
      </c>
      <c r="D2252" s="25" t="s">
        <v>22</v>
      </c>
      <c r="E2252" s="25" t="s">
        <v>92</v>
      </c>
      <c r="F2252" s="25">
        <v>0.25</v>
      </c>
      <c r="G2252" s="25" t="s">
        <v>91</v>
      </c>
      <c r="H2252" s="25">
        <v>260</v>
      </c>
      <c r="I2252" s="25">
        <v>220</v>
      </c>
      <c r="J2252" s="25">
        <v>65</v>
      </c>
      <c r="K2252" s="25">
        <v>55</v>
      </c>
      <c r="L2252" s="25">
        <v>10</v>
      </c>
      <c r="M2252" s="27">
        <v>18.181818181818201</v>
      </c>
      <c r="N2252" s="25" t="s">
        <v>55</v>
      </c>
      <c r="O2252" s="25" t="s">
        <v>28</v>
      </c>
      <c r="P2252" s="25" t="s">
        <v>32</v>
      </c>
    </row>
    <row r="2253" spans="1:16" x14ac:dyDescent="0.3">
      <c r="A2253" s="25">
        <v>2252</v>
      </c>
      <c r="B2253" s="26">
        <v>45673</v>
      </c>
      <c r="C2253" s="25" t="s">
        <v>70</v>
      </c>
      <c r="D2253" s="25" t="s">
        <v>22</v>
      </c>
      <c r="E2253" s="25" t="s">
        <v>90</v>
      </c>
      <c r="F2253" s="25">
        <v>2</v>
      </c>
      <c r="G2253" s="25" t="s">
        <v>91</v>
      </c>
      <c r="H2253" s="25">
        <v>280</v>
      </c>
      <c r="I2253" s="25">
        <v>240</v>
      </c>
      <c r="J2253" s="25">
        <v>560</v>
      </c>
      <c r="K2253" s="25">
        <v>480</v>
      </c>
      <c r="L2253" s="25">
        <v>80</v>
      </c>
      <c r="M2253" s="27">
        <v>16.6666666666667</v>
      </c>
      <c r="N2253" s="25" t="s">
        <v>55</v>
      </c>
      <c r="O2253" s="25" t="s">
        <v>28</v>
      </c>
      <c r="P2253" s="25" t="s">
        <v>32</v>
      </c>
    </row>
    <row r="2254" spans="1:16" x14ac:dyDescent="0.3">
      <c r="A2254" s="25">
        <v>2253</v>
      </c>
      <c r="B2254" s="26">
        <v>45674</v>
      </c>
      <c r="C2254" s="25" t="s">
        <v>70</v>
      </c>
      <c r="D2254" s="25" t="s">
        <v>22</v>
      </c>
      <c r="E2254" s="25" t="s">
        <v>92</v>
      </c>
      <c r="F2254" s="25">
        <v>2</v>
      </c>
      <c r="G2254" s="25" t="s">
        <v>91</v>
      </c>
      <c r="H2254" s="25">
        <v>260</v>
      </c>
      <c r="I2254" s="25">
        <v>220</v>
      </c>
      <c r="J2254" s="25">
        <v>520</v>
      </c>
      <c r="K2254" s="25">
        <v>440</v>
      </c>
      <c r="L2254" s="25">
        <v>80</v>
      </c>
      <c r="M2254" s="27">
        <v>18.181818181818201</v>
      </c>
      <c r="N2254" s="25" t="s">
        <v>55</v>
      </c>
      <c r="O2254" s="25" t="s">
        <v>28</v>
      </c>
      <c r="P2254" s="25" t="s">
        <v>32</v>
      </c>
    </row>
    <row r="2255" spans="1:16" x14ac:dyDescent="0.3">
      <c r="A2255" s="25">
        <v>2254</v>
      </c>
      <c r="B2255" s="26">
        <v>45674</v>
      </c>
      <c r="C2255" s="25" t="s">
        <v>70</v>
      </c>
      <c r="D2255" s="25" t="s">
        <v>22</v>
      </c>
      <c r="E2255" s="25" t="s">
        <v>96</v>
      </c>
      <c r="F2255" s="25">
        <v>1</v>
      </c>
      <c r="G2255" s="25" t="s">
        <v>97</v>
      </c>
      <c r="H2255" s="25">
        <v>300</v>
      </c>
      <c r="I2255" s="25">
        <v>265</v>
      </c>
      <c r="J2255" s="25">
        <v>300</v>
      </c>
      <c r="K2255" s="25">
        <v>265</v>
      </c>
      <c r="L2255" s="25">
        <v>35</v>
      </c>
      <c r="M2255" s="27">
        <v>13.207547169811299</v>
      </c>
      <c r="N2255" s="25" t="s">
        <v>55</v>
      </c>
      <c r="O2255" s="25" t="s">
        <v>28</v>
      </c>
      <c r="P2255" s="25" t="s">
        <v>32</v>
      </c>
    </row>
    <row r="2256" spans="1:16" x14ac:dyDescent="0.3">
      <c r="A2256" s="25">
        <v>2255</v>
      </c>
      <c r="B2256" s="26">
        <v>45674</v>
      </c>
      <c r="C2256" s="25" t="s">
        <v>70</v>
      </c>
      <c r="D2256" s="25" t="s">
        <v>22</v>
      </c>
      <c r="E2256" s="25" t="s">
        <v>92</v>
      </c>
      <c r="F2256" s="25">
        <v>1</v>
      </c>
      <c r="G2256" s="25" t="s">
        <v>91</v>
      </c>
      <c r="H2256" s="25">
        <v>260</v>
      </c>
      <c r="I2256" s="25">
        <v>220</v>
      </c>
      <c r="J2256" s="25">
        <v>260</v>
      </c>
      <c r="K2256" s="25">
        <v>220</v>
      </c>
      <c r="L2256" s="25">
        <v>40</v>
      </c>
      <c r="M2256" s="27">
        <v>18.181818181818201</v>
      </c>
      <c r="N2256" s="25" t="s">
        <v>55</v>
      </c>
      <c r="O2256" s="25" t="s">
        <v>28</v>
      </c>
      <c r="P2256" s="25" t="s">
        <v>32</v>
      </c>
    </row>
    <row r="2257" spans="1:16" x14ac:dyDescent="0.3">
      <c r="A2257" s="25">
        <v>2256</v>
      </c>
      <c r="B2257" s="26">
        <v>45674</v>
      </c>
      <c r="C2257" s="25" t="s">
        <v>70</v>
      </c>
      <c r="D2257" s="25" t="s">
        <v>22</v>
      </c>
      <c r="E2257" s="25" t="s">
        <v>90</v>
      </c>
      <c r="F2257" s="25">
        <v>1.5</v>
      </c>
      <c r="G2257" s="25" t="s">
        <v>91</v>
      </c>
      <c r="H2257" s="25">
        <v>280</v>
      </c>
      <c r="I2257" s="25">
        <v>240</v>
      </c>
      <c r="J2257" s="25">
        <v>420</v>
      </c>
      <c r="K2257" s="25">
        <v>360</v>
      </c>
      <c r="L2257" s="25">
        <v>60</v>
      </c>
      <c r="M2257" s="27">
        <v>16.6666666666667</v>
      </c>
      <c r="N2257" s="25" t="s">
        <v>55</v>
      </c>
      <c r="O2257" s="25" t="s">
        <v>28</v>
      </c>
      <c r="P2257" s="25" t="s">
        <v>33</v>
      </c>
    </row>
    <row r="2258" spans="1:16" x14ac:dyDescent="0.3">
      <c r="A2258" s="25">
        <v>2257</v>
      </c>
      <c r="B2258" s="26">
        <v>45674</v>
      </c>
      <c r="C2258" s="25" t="s">
        <v>70</v>
      </c>
      <c r="D2258" s="25" t="s">
        <v>22</v>
      </c>
      <c r="E2258" s="25" t="s">
        <v>90</v>
      </c>
      <c r="F2258" s="25">
        <v>0.25</v>
      </c>
      <c r="G2258" s="25" t="s">
        <v>91</v>
      </c>
      <c r="H2258" s="25">
        <v>280</v>
      </c>
      <c r="I2258" s="25">
        <v>240</v>
      </c>
      <c r="J2258" s="25">
        <v>70</v>
      </c>
      <c r="K2258" s="25">
        <v>60</v>
      </c>
      <c r="L2258" s="25">
        <v>10</v>
      </c>
      <c r="M2258" s="27">
        <v>16.6666666666667</v>
      </c>
      <c r="N2258" s="25" t="s">
        <v>55</v>
      </c>
      <c r="O2258" s="25" t="s">
        <v>28</v>
      </c>
      <c r="P2258" s="25" t="s">
        <v>33</v>
      </c>
    </row>
    <row r="2259" spans="1:16" x14ac:dyDescent="0.3">
      <c r="A2259" s="25">
        <v>2258</v>
      </c>
      <c r="B2259" s="26">
        <v>45674</v>
      </c>
      <c r="C2259" s="25" t="s">
        <v>70</v>
      </c>
      <c r="D2259" s="25" t="s">
        <v>22</v>
      </c>
      <c r="E2259" s="25" t="s">
        <v>92</v>
      </c>
      <c r="F2259" s="25">
        <v>0.5</v>
      </c>
      <c r="G2259" s="25" t="s">
        <v>91</v>
      </c>
      <c r="H2259" s="25">
        <v>260</v>
      </c>
      <c r="I2259" s="25">
        <v>220</v>
      </c>
      <c r="J2259" s="25">
        <v>130</v>
      </c>
      <c r="K2259" s="25">
        <v>110</v>
      </c>
      <c r="L2259" s="25">
        <v>20</v>
      </c>
      <c r="M2259" s="27">
        <v>18.181818181818201</v>
      </c>
      <c r="N2259" s="25" t="s">
        <v>55</v>
      </c>
      <c r="O2259" s="25" t="s">
        <v>28</v>
      </c>
      <c r="P2259" s="25" t="s">
        <v>32</v>
      </c>
    </row>
    <row r="2260" spans="1:16" x14ac:dyDescent="0.3">
      <c r="A2260" s="25">
        <v>2259</v>
      </c>
      <c r="B2260" s="26">
        <v>45674</v>
      </c>
      <c r="C2260" s="25" t="s">
        <v>70</v>
      </c>
      <c r="D2260" s="25" t="s">
        <v>22</v>
      </c>
      <c r="E2260" s="25" t="s">
        <v>96</v>
      </c>
      <c r="F2260" s="25">
        <v>1</v>
      </c>
      <c r="G2260" s="25" t="s">
        <v>97</v>
      </c>
      <c r="H2260" s="25">
        <v>300</v>
      </c>
      <c r="I2260" s="25">
        <v>265</v>
      </c>
      <c r="J2260" s="25">
        <v>300</v>
      </c>
      <c r="K2260" s="25">
        <v>265</v>
      </c>
      <c r="L2260" s="25">
        <v>35</v>
      </c>
      <c r="M2260" s="27">
        <v>13.207547169811299</v>
      </c>
      <c r="N2260" s="25" t="s">
        <v>55</v>
      </c>
      <c r="O2260" s="25" t="s">
        <v>28</v>
      </c>
      <c r="P2260" s="25" t="s">
        <v>32</v>
      </c>
    </row>
    <row r="2261" spans="1:16" x14ac:dyDescent="0.3">
      <c r="A2261" s="25">
        <v>2260</v>
      </c>
      <c r="B2261" s="26">
        <v>45674</v>
      </c>
      <c r="C2261" s="25" t="s">
        <v>70</v>
      </c>
      <c r="D2261" s="25" t="s">
        <v>21</v>
      </c>
      <c r="E2261" s="25" t="s">
        <v>88</v>
      </c>
      <c r="F2261" s="25">
        <v>3</v>
      </c>
      <c r="G2261" s="25" t="s">
        <v>89</v>
      </c>
      <c r="H2261" s="25">
        <v>130</v>
      </c>
      <c r="I2261" s="25">
        <v>100</v>
      </c>
      <c r="J2261" s="25">
        <v>390</v>
      </c>
      <c r="K2261" s="25">
        <v>300</v>
      </c>
      <c r="L2261" s="25">
        <v>90</v>
      </c>
      <c r="M2261" s="27">
        <v>30</v>
      </c>
      <c r="N2261" s="25" t="s">
        <v>55</v>
      </c>
      <c r="O2261" s="25" t="s">
        <v>27</v>
      </c>
      <c r="P2261" s="25" t="s">
        <v>32</v>
      </c>
    </row>
    <row r="2262" spans="1:16" x14ac:dyDescent="0.3">
      <c r="A2262" s="25">
        <v>2261</v>
      </c>
      <c r="B2262" s="26">
        <v>45674</v>
      </c>
      <c r="C2262" s="25" t="s">
        <v>70</v>
      </c>
      <c r="D2262" s="25" t="s">
        <v>21</v>
      </c>
      <c r="E2262" s="25" t="s">
        <v>88</v>
      </c>
      <c r="F2262" s="25">
        <v>5</v>
      </c>
      <c r="G2262" s="25" t="s">
        <v>89</v>
      </c>
      <c r="H2262" s="25">
        <v>130</v>
      </c>
      <c r="I2262" s="25">
        <v>100</v>
      </c>
      <c r="J2262" s="25">
        <v>650</v>
      </c>
      <c r="K2262" s="25">
        <v>500</v>
      </c>
      <c r="L2262" s="25">
        <v>150</v>
      </c>
      <c r="M2262" s="27">
        <v>30</v>
      </c>
      <c r="N2262" s="25" t="s">
        <v>55</v>
      </c>
      <c r="O2262" s="25" t="s">
        <v>27</v>
      </c>
      <c r="P2262" s="25" t="s">
        <v>33</v>
      </c>
    </row>
    <row r="2263" spans="1:16" x14ac:dyDescent="0.3">
      <c r="A2263" s="25">
        <v>2262</v>
      </c>
      <c r="B2263" s="26">
        <v>45674</v>
      </c>
      <c r="C2263" s="25" t="s">
        <v>70</v>
      </c>
      <c r="D2263" s="25" t="s">
        <v>22</v>
      </c>
      <c r="E2263" s="25" t="s">
        <v>90</v>
      </c>
      <c r="F2263" s="25">
        <v>0.25</v>
      </c>
      <c r="G2263" s="25" t="s">
        <v>91</v>
      </c>
      <c r="H2263" s="25">
        <v>280</v>
      </c>
      <c r="I2263" s="25">
        <v>240</v>
      </c>
      <c r="J2263" s="25">
        <v>70</v>
      </c>
      <c r="K2263" s="25">
        <v>60</v>
      </c>
      <c r="L2263" s="25">
        <v>10</v>
      </c>
      <c r="M2263" s="27">
        <v>16.6666666666667</v>
      </c>
      <c r="N2263" s="25" t="s">
        <v>55</v>
      </c>
      <c r="O2263" s="25" t="s">
        <v>28</v>
      </c>
      <c r="P2263" s="25" t="s">
        <v>32</v>
      </c>
    </row>
    <row r="2264" spans="1:16" x14ac:dyDescent="0.3">
      <c r="A2264" s="25">
        <v>2263</v>
      </c>
      <c r="B2264" s="26">
        <v>45674</v>
      </c>
      <c r="C2264" s="25" t="s">
        <v>70</v>
      </c>
      <c r="D2264" s="25" t="s">
        <v>22</v>
      </c>
      <c r="E2264" s="25" t="s">
        <v>92</v>
      </c>
      <c r="F2264" s="25">
        <v>2</v>
      </c>
      <c r="G2264" s="25" t="s">
        <v>91</v>
      </c>
      <c r="H2264" s="25">
        <v>260</v>
      </c>
      <c r="I2264" s="25">
        <v>220</v>
      </c>
      <c r="J2264" s="25">
        <v>520</v>
      </c>
      <c r="K2264" s="25">
        <v>440</v>
      </c>
      <c r="L2264" s="25">
        <v>80</v>
      </c>
      <c r="M2264" s="27">
        <v>18.181818181818201</v>
      </c>
      <c r="N2264" s="25" t="s">
        <v>55</v>
      </c>
      <c r="O2264" s="25" t="s">
        <v>28</v>
      </c>
      <c r="P2264" s="25" t="s">
        <v>32</v>
      </c>
    </row>
    <row r="2265" spans="1:16" x14ac:dyDescent="0.3">
      <c r="A2265" s="25">
        <v>2264</v>
      </c>
      <c r="B2265" s="26">
        <v>45674</v>
      </c>
      <c r="C2265" s="25" t="s">
        <v>70</v>
      </c>
      <c r="D2265" s="25" t="s">
        <v>22</v>
      </c>
      <c r="E2265" s="25" t="s">
        <v>92</v>
      </c>
      <c r="F2265" s="25">
        <v>2.5</v>
      </c>
      <c r="G2265" s="25" t="s">
        <v>91</v>
      </c>
      <c r="H2265" s="25">
        <v>260</v>
      </c>
      <c r="I2265" s="25">
        <v>220</v>
      </c>
      <c r="J2265" s="25">
        <v>650</v>
      </c>
      <c r="K2265" s="25">
        <v>550</v>
      </c>
      <c r="L2265" s="25">
        <v>100</v>
      </c>
      <c r="M2265" s="27">
        <v>18.181818181818201</v>
      </c>
      <c r="N2265" s="25" t="s">
        <v>55</v>
      </c>
      <c r="O2265" s="25" t="s">
        <v>28</v>
      </c>
      <c r="P2265" s="25" t="s">
        <v>32</v>
      </c>
    </row>
    <row r="2266" spans="1:16" x14ac:dyDescent="0.3">
      <c r="A2266" s="25">
        <v>2265</v>
      </c>
      <c r="B2266" s="26">
        <v>45674</v>
      </c>
      <c r="C2266" s="25" t="s">
        <v>70</v>
      </c>
      <c r="D2266" s="25" t="s">
        <v>21</v>
      </c>
      <c r="E2266" s="25" t="s">
        <v>88</v>
      </c>
      <c r="F2266" s="25">
        <v>4</v>
      </c>
      <c r="G2266" s="25" t="s">
        <v>89</v>
      </c>
      <c r="H2266" s="25">
        <v>130</v>
      </c>
      <c r="I2266" s="25">
        <v>100</v>
      </c>
      <c r="J2266" s="25">
        <v>520</v>
      </c>
      <c r="K2266" s="25">
        <v>400</v>
      </c>
      <c r="L2266" s="25">
        <v>120</v>
      </c>
      <c r="M2266" s="27">
        <v>30</v>
      </c>
      <c r="N2266" s="25" t="s">
        <v>55</v>
      </c>
      <c r="O2266" s="25" t="s">
        <v>27</v>
      </c>
      <c r="P2266" s="25" t="s">
        <v>32</v>
      </c>
    </row>
    <row r="2267" spans="1:16" x14ac:dyDescent="0.3">
      <c r="A2267" s="25">
        <v>2266</v>
      </c>
      <c r="B2267" s="26">
        <v>45674</v>
      </c>
      <c r="C2267" s="25" t="s">
        <v>70</v>
      </c>
      <c r="D2267" s="25" t="s">
        <v>22</v>
      </c>
      <c r="E2267" s="25" t="s">
        <v>92</v>
      </c>
      <c r="F2267" s="25">
        <v>2</v>
      </c>
      <c r="G2267" s="25" t="s">
        <v>91</v>
      </c>
      <c r="H2267" s="25">
        <v>260</v>
      </c>
      <c r="I2267" s="25">
        <v>220</v>
      </c>
      <c r="J2267" s="25">
        <v>520</v>
      </c>
      <c r="K2267" s="25">
        <v>440</v>
      </c>
      <c r="L2267" s="25">
        <v>80</v>
      </c>
      <c r="M2267" s="27">
        <v>18.181818181818201</v>
      </c>
      <c r="N2267" s="25" t="s">
        <v>55</v>
      </c>
      <c r="O2267" s="25" t="s">
        <v>28</v>
      </c>
      <c r="P2267" s="25" t="s">
        <v>32</v>
      </c>
    </row>
    <row r="2268" spans="1:16" x14ac:dyDescent="0.3">
      <c r="A2268" s="25">
        <v>2267</v>
      </c>
      <c r="B2268" s="26">
        <v>45675</v>
      </c>
      <c r="C2268" s="25" t="s">
        <v>70</v>
      </c>
      <c r="D2268" s="25" t="s">
        <v>22</v>
      </c>
      <c r="E2268" s="25" t="s">
        <v>92</v>
      </c>
      <c r="F2268" s="25">
        <v>2.5</v>
      </c>
      <c r="G2268" s="25" t="s">
        <v>91</v>
      </c>
      <c r="H2268" s="25">
        <v>260</v>
      </c>
      <c r="I2268" s="25">
        <v>220</v>
      </c>
      <c r="J2268" s="25">
        <v>650</v>
      </c>
      <c r="K2268" s="25">
        <v>550</v>
      </c>
      <c r="L2268" s="25">
        <v>100</v>
      </c>
      <c r="M2268" s="27">
        <v>18.181818181818201</v>
      </c>
      <c r="N2268" s="25" t="s">
        <v>55</v>
      </c>
      <c r="O2268" s="25" t="s">
        <v>28</v>
      </c>
      <c r="P2268" s="25" t="s">
        <v>32</v>
      </c>
    </row>
    <row r="2269" spans="1:16" x14ac:dyDescent="0.3">
      <c r="A2269" s="25">
        <v>2268</v>
      </c>
      <c r="B2269" s="26">
        <v>45675</v>
      </c>
      <c r="C2269" s="25" t="s">
        <v>70</v>
      </c>
      <c r="D2269" s="25" t="s">
        <v>22</v>
      </c>
      <c r="E2269" s="25" t="s">
        <v>96</v>
      </c>
      <c r="F2269" s="25">
        <v>1</v>
      </c>
      <c r="G2269" s="25" t="s">
        <v>97</v>
      </c>
      <c r="H2269" s="25">
        <v>300</v>
      </c>
      <c r="I2269" s="25">
        <v>265</v>
      </c>
      <c r="J2269" s="25">
        <v>300</v>
      </c>
      <c r="K2269" s="25">
        <v>265</v>
      </c>
      <c r="L2269" s="25">
        <v>35</v>
      </c>
      <c r="M2269" s="27">
        <v>13.207547169811299</v>
      </c>
      <c r="N2269" s="25" t="s">
        <v>55</v>
      </c>
      <c r="O2269" s="25" t="s">
        <v>28</v>
      </c>
      <c r="P2269" s="25" t="s">
        <v>32</v>
      </c>
    </row>
    <row r="2270" spans="1:16" x14ac:dyDescent="0.3">
      <c r="A2270" s="25">
        <v>2269</v>
      </c>
      <c r="B2270" s="26">
        <v>45675</v>
      </c>
      <c r="C2270" s="25" t="s">
        <v>70</v>
      </c>
      <c r="D2270" s="25" t="s">
        <v>22</v>
      </c>
      <c r="E2270" s="25" t="s">
        <v>92</v>
      </c>
      <c r="F2270" s="25">
        <v>0.25</v>
      </c>
      <c r="G2270" s="25" t="s">
        <v>91</v>
      </c>
      <c r="H2270" s="25">
        <v>260</v>
      </c>
      <c r="I2270" s="25">
        <v>220</v>
      </c>
      <c r="J2270" s="25">
        <v>65</v>
      </c>
      <c r="K2270" s="25">
        <v>55</v>
      </c>
      <c r="L2270" s="25">
        <v>10</v>
      </c>
      <c r="M2270" s="27">
        <v>18.181818181818201</v>
      </c>
      <c r="N2270" s="25" t="s">
        <v>55</v>
      </c>
      <c r="O2270" s="25" t="s">
        <v>28</v>
      </c>
      <c r="P2270" s="25" t="s">
        <v>33</v>
      </c>
    </row>
    <row r="2271" spans="1:16" x14ac:dyDescent="0.3">
      <c r="A2271" s="25">
        <v>2270</v>
      </c>
      <c r="B2271" s="26">
        <v>45675</v>
      </c>
      <c r="C2271" s="25" t="s">
        <v>70</v>
      </c>
      <c r="D2271" s="25" t="s">
        <v>22</v>
      </c>
      <c r="E2271" s="25" t="s">
        <v>92</v>
      </c>
      <c r="F2271" s="25">
        <v>1</v>
      </c>
      <c r="G2271" s="25" t="s">
        <v>91</v>
      </c>
      <c r="H2271" s="25">
        <v>260</v>
      </c>
      <c r="I2271" s="25">
        <v>220</v>
      </c>
      <c r="J2271" s="25">
        <v>260</v>
      </c>
      <c r="K2271" s="25">
        <v>220</v>
      </c>
      <c r="L2271" s="25">
        <v>40</v>
      </c>
      <c r="M2271" s="27">
        <v>18.181818181818201</v>
      </c>
      <c r="N2271" s="25" t="s">
        <v>55</v>
      </c>
      <c r="O2271" s="25" t="s">
        <v>28</v>
      </c>
      <c r="P2271" s="25" t="s">
        <v>32</v>
      </c>
    </row>
    <row r="2272" spans="1:16" x14ac:dyDescent="0.3">
      <c r="A2272" s="25">
        <v>2271</v>
      </c>
      <c r="B2272" s="26">
        <v>45675</v>
      </c>
      <c r="C2272" s="25" t="s">
        <v>70</v>
      </c>
      <c r="D2272" s="25" t="s">
        <v>22</v>
      </c>
      <c r="E2272" s="25" t="s">
        <v>101</v>
      </c>
      <c r="F2272" s="25">
        <v>14</v>
      </c>
      <c r="G2272" s="25" t="s">
        <v>102</v>
      </c>
      <c r="H2272" s="25">
        <v>6</v>
      </c>
      <c r="I2272" s="25">
        <v>4</v>
      </c>
      <c r="J2272" s="25">
        <v>84</v>
      </c>
      <c r="K2272" s="25">
        <v>56</v>
      </c>
      <c r="L2272" s="25">
        <v>28</v>
      </c>
      <c r="M2272" s="27">
        <v>50</v>
      </c>
      <c r="N2272" s="25" t="s">
        <v>55</v>
      </c>
      <c r="O2272" s="25" t="s">
        <v>28</v>
      </c>
      <c r="P2272" s="25" t="s">
        <v>32</v>
      </c>
    </row>
    <row r="2273" spans="1:16" x14ac:dyDescent="0.3">
      <c r="A2273" s="25">
        <v>2272</v>
      </c>
      <c r="B2273" s="26">
        <v>45675</v>
      </c>
      <c r="C2273" s="25" t="s">
        <v>70</v>
      </c>
      <c r="D2273" s="25" t="s">
        <v>22</v>
      </c>
      <c r="E2273" s="25" t="s">
        <v>92</v>
      </c>
      <c r="F2273" s="25">
        <v>2</v>
      </c>
      <c r="G2273" s="25" t="s">
        <v>91</v>
      </c>
      <c r="H2273" s="25">
        <v>260</v>
      </c>
      <c r="I2273" s="25">
        <v>220</v>
      </c>
      <c r="J2273" s="25">
        <v>520</v>
      </c>
      <c r="K2273" s="25">
        <v>440</v>
      </c>
      <c r="L2273" s="25">
        <v>80</v>
      </c>
      <c r="M2273" s="27">
        <v>18.181818181818201</v>
      </c>
      <c r="N2273" s="25" t="s">
        <v>55</v>
      </c>
      <c r="O2273" s="25" t="s">
        <v>28</v>
      </c>
      <c r="P2273" s="25" t="s">
        <v>32</v>
      </c>
    </row>
    <row r="2274" spans="1:16" x14ac:dyDescent="0.3">
      <c r="A2274" s="25">
        <v>2273</v>
      </c>
      <c r="B2274" s="26">
        <v>45675</v>
      </c>
      <c r="C2274" s="25" t="s">
        <v>70</v>
      </c>
      <c r="D2274" s="25" t="s">
        <v>21</v>
      </c>
      <c r="E2274" s="25" t="s">
        <v>88</v>
      </c>
      <c r="F2274" s="25">
        <v>3</v>
      </c>
      <c r="G2274" s="25" t="s">
        <v>89</v>
      </c>
      <c r="H2274" s="25">
        <v>130</v>
      </c>
      <c r="I2274" s="25">
        <v>100</v>
      </c>
      <c r="J2274" s="25">
        <v>390</v>
      </c>
      <c r="K2274" s="25">
        <v>300</v>
      </c>
      <c r="L2274" s="25">
        <v>90</v>
      </c>
      <c r="M2274" s="27">
        <v>30</v>
      </c>
      <c r="N2274" s="25" t="s">
        <v>55</v>
      </c>
      <c r="O2274" s="25" t="s">
        <v>27</v>
      </c>
      <c r="P2274" s="25" t="s">
        <v>33</v>
      </c>
    </row>
    <row r="2275" spans="1:16" x14ac:dyDescent="0.3">
      <c r="A2275" s="25">
        <v>2274</v>
      </c>
      <c r="B2275" s="26">
        <v>45675</v>
      </c>
      <c r="C2275" s="25" t="s">
        <v>70</v>
      </c>
      <c r="D2275" s="25" t="s">
        <v>22</v>
      </c>
      <c r="E2275" s="25" t="s">
        <v>90</v>
      </c>
      <c r="F2275" s="25">
        <v>0.25</v>
      </c>
      <c r="G2275" s="25" t="s">
        <v>91</v>
      </c>
      <c r="H2275" s="25">
        <v>280</v>
      </c>
      <c r="I2275" s="25">
        <v>240</v>
      </c>
      <c r="J2275" s="25">
        <v>70</v>
      </c>
      <c r="K2275" s="25">
        <v>60</v>
      </c>
      <c r="L2275" s="25">
        <v>10</v>
      </c>
      <c r="M2275" s="27">
        <v>16.6666666666667</v>
      </c>
      <c r="N2275" s="25" t="s">
        <v>55</v>
      </c>
      <c r="O2275" s="25" t="s">
        <v>28</v>
      </c>
      <c r="P2275" s="25" t="s">
        <v>32</v>
      </c>
    </row>
    <row r="2276" spans="1:16" x14ac:dyDescent="0.3">
      <c r="A2276" s="25">
        <v>2275</v>
      </c>
      <c r="B2276" s="26">
        <v>45675</v>
      </c>
      <c r="C2276" s="25" t="s">
        <v>70</v>
      </c>
      <c r="D2276" s="25" t="s">
        <v>22</v>
      </c>
      <c r="E2276" s="25" t="s">
        <v>92</v>
      </c>
      <c r="F2276" s="25">
        <v>2.25</v>
      </c>
      <c r="G2276" s="25" t="s">
        <v>91</v>
      </c>
      <c r="H2276" s="25">
        <v>260</v>
      </c>
      <c r="I2276" s="25">
        <v>220</v>
      </c>
      <c r="J2276" s="25">
        <v>585</v>
      </c>
      <c r="K2276" s="25">
        <v>495</v>
      </c>
      <c r="L2276" s="25">
        <v>90</v>
      </c>
      <c r="M2276" s="27">
        <v>18.181818181818201</v>
      </c>
      <c r="N2276" s="25" t="s">
        <v>55</v>
      </c>
      <c r="O2276" s="25" t="s">
        <v>28</v>
      </c>
      <c r="P2276" s="25" t="s">
        <v>32</v>
      </c>
    </row>
    <row r="2277" spans="1:16" x14ac:dyDescent="0.3">
      <c r="A2277" s="25">
        <v>2276</v>
      </c>
      <c r="B2277" s="26">
        <v>45675</v>
      </c>
      <c r="C2277" s="25" t="s">
        <v>70</v>
      </c>
      <c r="D2277" s="25" t="s">
        <v>22</v>
      </c>
      <c r="E2277" s="25" t="s">
        <v>90</v>
      </c>
      <c r="F2277" s="25">
        <v>1.25</v>
      </c>
      <c r="G2277" s="25" t="s">
        <v>91</v>
      </c>
      <c r="H2277" s="25">
        <v>280</v>
      </c>
      <c r="I2277" s="25">
        <v>240</v>
      </c>
      <c r="J2277" s="25">
        <v>350</v>
      </c>
      <c r="K2277" s="25">
        <v>300</v>
      </c>
      <c r="L2277" s="25">
        <v>50</v>
      </c>
      <c r="M2277" s="27">
        <v>16.6666666666667</v>
      </c>
      <c r="N2277" s="25" t="s">
        <v>55</v>
      </c>
      <c r="O2277" s="25" t="s">
        <v>28</v>
      </c>
      <c r="P2277" s="25" t="s">
        <v>32</v>
      </c>
    </row>
    <row r="2278" spans="1:16" x14ac:dyDescent="0.3">
      <c r="A2278" s="25">
        <v>2277</v>
      </c>
      <c r="B2278" s="26">
        <v>45675</v>
      </c>
      <c r="C2278" s="25" t="s">
        <v>70</v>
      </c>
      <c r="D2278" s="25" t="s">
        <v>22</v>
      </c>
      <c r="E2278" s="25" t="s">
        <v>92</v>
      </c>
      <c r="F2278" s="25">
        <v>1</v>
      </c>
      <c r="G2278" s="25" t="s">
        <v>91</v>
      </c>
      <c r="H2278" s="25">
        <v>260</v>
      </c>
      <c r="I2278" s="25">
        <v>220</v>
      </c>
      <c r="J2278" s="25">
        <v>260</v>
      </c>
      <c r="K2278" s="25">
        <v>220</v>
      </c>
      <c r="L2278" s="25">
        <v>40</v>
      </c>
      <c r="M2278" s="27">
        <v>18.181818181818201</v>
      </c>
      <c r="N2278" s="25" t="s">
        <v>55</v>
      </c>
      <c r="O2278" s="25" t="s">
        <v>28</v>
      </c>
      <c r="P2278" s="25" t="s">
        <v>32</v>
      </c>
    </row>
    <row r="2279" spans="1:16" x14ac:dyDescent="0.3">
      <c r="A2279" s="25">
        <v>2278</v>
      </c>
      <c r="B2279" s="26">
        <v>45675</v>
      </c>
      <c r="C2279" s="25" t="s">
        <v>70</v>
      </c>
      <c r="D2279" s="25" t="s">
        <v>22</v>
      </c>
      <c r="E2279" s="25" t="s">
        <v>101</v>
      </c>
      <c r="F2279" s="25">
        <v>6</v>
      </c>
      <c r="G2279" s="25" t="s">
        <v>102</v>
      </c>
      <c r="H2279" s="25">
        <v>6</v>
      </c>
      <c r="I2279" s="25">
        <v>4</v>
      </c>
      <c r="J2279" s="25">
        <v>36</v>
      </c>
      <c r="K2279" s="25">
        <v>24</v>
      </c>
      <c r="L2279" s="25">
        <v>12</v>
      </c>
      <c r="M2279" s="27">
        <v>50</v>
      </c>
      <c r="N2279" s="25" t="s">
        <v>55</v>
      </c>
      <c r="O2279" s="25" t="s">
        <v>28</v>
      </c>
      <c r="P2279" s="25" t="s">
        <v>33</v>
      </c>
    </row>
    <row r="2280" spans="1:16" x14ac:dyDescent="0.3">
      <c r="A2280" s="25">
        <v>2279</v>
      </c>
      <c r="B2280" s="26">
        <v>45676</v>
      </c>
      <c r="C2280" s="25" t="s">
        <v>70</v>
      </c>
      <c r="D2280" s="25" t="s">
        <v>22</v>
      </c>
      <c r="E2280" s="25" t="s">
        <v>90</v>
      </c>
      <c r="F2280" s="25">
        <v>1.25</v>
      </c>
      <c r="G2280" s="25" t="s">
        <v>91</v>
      </c>
      <c r="H2280" s="25">
        <v>280</v>
      </c>
      <c r="I2280" s="25">
        <v>240</v>
      </c>
      <c r="J2280" s="25">
        <v>350</v>
      </c>
      <c r="K2280" s="25">
        <v>300</v>
      </c>
      <c r="L2280" s="25">
        <v>50</v>
      </c>
      <c r="M2280" s="27">
        <v>16.6666666666667</v>
      </c>
      <c r="N2280" s="25" t="s">
        <v>55</v>
      </c>
      <c r="O2280" s="25" t="s">
        <v>28</v>
      </c>
      <c r="P2280" s="25" t="s">
        <v>32</v>
      </c>
    </row>
    <row r="2281" spans="1:16" x14ac:dyDescent="0.3">
      <c r="A2281" s="25">
        <v>2280</v>
      </c>
      <c r="B2281" s="26">
        <v>45676</v>
      </c>
      <c r="C2281" s="25" t="s">
        <v>70</v>
      </c>
      <c r="D2281" s="25" t="s">
        <v>22</v>
      </c>
      <c r="E2281" s="25" t="s">
        <v>92</v>
      </c>
      <c r="F2281" s="25">
        <v>1</v>
      </c>
      <c r="G2281" s="25" t="s">
        <v>91</v>
      </c>
      <c r="H2281" s="25">
        <v>260</v>
      </c>
      <c r="I2281" s="25">
        <v>220</v>
      </c>
      <c r="J2281" s="25">
        <v>260</v>
      </c>
      <c r="K2281" s="25">
        <v>220</v>
      </c>
      <c r="L2281" s="25">
        <v>40</v>
      </c>
      <c r="M2281" s="27">
        <v>18.181818181818201</v>
      </c>
      <c r="N2281" s="25" t="s">
        <v>55</v>
      </c>
      <c r="O2281" s="25" t="s">
        <v>28</v>
      </c>
      <c r="P2281" s="25" t="s">
        <v>32</v>
      </c>
    </row>
    <row r="2282" spans="1:16" x14ac:dyDescent="0.3">
      <c r="A2282" s="25">
        <v>2281</v>
      </c>
      <c r="B2282" s="26">
        <v>45676</v>
      </c>
      <c r="C2282" s="25" t="s">
        <v>70</v>
      </c>
      <c r="D2282" s="25" t="s">
        <v>22</v>
      </c>
      <c r="E2282" s="25" t="s">
        <v>99</v>
      </c>
      <c r="F2282" s="25">
        <v>1</v>
      </c>
      <c r="G2282" s="25" t="s">
        <v>100</v>
      </c>
      <c r="H2282" s="25">
        <v>200</v>
      </c>
      <c r="I2282" s="25">
        <v>160</v>
      </c>
      <c r="J2282" s="25">
        <v>200</v>
      </c>
      <c r="K2282" s="25">
        <v>160</v>
      </c>
      <c r="L2282" s="25">
        <v>40</v>
      </c>
      <c r="M2282" s="27">
        <v>25</v>
      </c>
      <c r="N2282" s="25" t="s">
        <v>55</v>
      </c>
      <c r="O2282" s="25" t="s">
        <v>28</v>
      </c>
      <c r="P2282" s="25" t="s">
        <v>32</v>
      </c>
    </row>
    <row r="2283" spans="1:16" x14ac:dyDescent="0.3">
      <c r="A2283" s="25">
        <v>2282</v>
      </c>
      <c r="B2283" s="26">
        <v>45676</v>
      </c>
      <c r="C2283" s="25" t="s">
        <v>70</v>
      </c>
      <c r="D2283" s="25" t="s">
        <v>22</v>
      </c>
      <c r="E2283" s="25" t="s">
        <v>90</v>
      </c>
      <c r="F2283" s="25">
        <v>0.25</v>
      </c>
      <c r="G2283" s="25" t="s">
        <v>91</v>
      </c>
      <c r="H2283" s="25">
        <v>280</v>
      </c>
      <c r="I2283" s="25">
        <v>240</v>
      </c>
      <c r="J2283" s="25">
        <v>70</v>
      </c>
      <c r="K2283" s="25">
        <v>60</v>
      </c>
      <c r="L2283" s="25">
        <v>10</v>
      </c>
      <c r="M2283" s="27">
        <v>16.6666666666667</v>
      </c>
      <c r="N2283" s="25" t="s">
        <v>55</v>
      </c>
      <c r="O2283" s="25" t="s">
        <v>28</v>
      </c>
      <c r="P2283" s="25" t="s">
        <v>33</v>
      </c>
    </row>
    <row r="2284" spans="1:16" x14ac:dyDescent="0.3">
      <c r="A2284" s="25">
        <v>2283</v>
      </c>
      <c r="B2284" s="26">
        <v>45676</v>
      </c>
      <c r="C2284" s="25" t="s">
        <v>70</v>
      </c>
      <c r="D2284" s="25" t="s">
        <v>22</v>
      </c>
      <c r="E2284" s="25" t="s">
        <v>96</v>
      </c>
      <c r="F2284" s="25">
        <v>1</v>
      </c>
      <c r="G2284" s="25" t="s">
        <v>97</v>
      </c>
      <c r="H2284" s="25">
        <v>300</v>
      </c>
      <c r="I2284" s="25">
        <v>265</v>
      </c>
      <c r="J2284" s="25">
        <v>300</v>
      </c>
      <c r="K2284" s="25">
        <v>265</v>
      </c>
      <c r="L2284" s="25">
        <v>35</v>
      </c>
      <c r="M2284" s="27">
        <v>13.207547169811299</v>
      </c>
      <c r="N2284" s="25" t="s">
        <v>55</v>
      </c>
      <c r="O2284" s="25" t="s">
        <v>28</v>
      </c>
      <c r="P2284" s="25" t="s">
        <v>33</v>
      </c>
    </row>
    <row r="2285" spans="1:16" x14ac:dyDescent="0.3">
      <c r="A2285" s="25">
        <v>2284</v>
      </c>
      <c r="B2285" s="26">
        <v>45676</v>
      </c>
      <c r="C2285" s="25" t="s">
        <v>70</v>
      </c>
      <c r="D2285" s="25" t="s">
        <v>22</v>
      </c>
      <c r="E2285" s="25" t="s">
        <v>92</v>
      </c>
      <c r="F2285" s="25">
        <v>0.25</v>
      </c>
      <c r="G2285" s="25" t="s">
        <v>91</v>
      </c>
      <c r="H2285" s="25">
        <v>260</v>
      </c>
      <c r="I2285" s="25">
        <v>220</v>
      </c>
      <c r="J2285" s="25">
        <v>65</v>
      </c>
      <c r="K2285" s="25">
        <v>55</v>
      </c>
      <c r="L2285" s="25">
        <v>10</v>
      </c>
      <c r="M2285" s="27">
        <v>18.181818181818201</v>
      </c>
      <c r="N2285" s="25" t="s">
        <v>55</v>
      </c>
      <c r="O2285" s="25" t="s">
        <v>28</v>
      </c>
      <c r="P2285" s="25" t="s">
        <v>33</v>
      </c>
    </row>
    <row r="2286" spans="1:16" x14ac:dyDescent="0.3">
      <c r="A2286" s="25">
        <v>2285</v>
      </c>
      <c r="B2286" s="26">
        <v>45676</v>
      </c>
      <c r="C2286" s="25" t="s">
        <v>70</v>
      </c>
      <c r="D2286" s="25" t="s">
        <v>22</v>
      </c>
      <c r="E2286" s="25" t="s">
        <v>92</v>
      </c>
      <c r="F2286" s="25">
        <v>2.25</v>
      </c>
      <c r="G2286" s="25" t="s">
        <v>91</v>
      </c>
      <c r="H2286" s="25">
        <v>260</v>
      </c>
      <c r="I2286" s="25">
        <v>220</v>
      </c>
      <c r="J2286" s="25">
        <v>585</v>
      </c>
      <c r="K2286" s="25">
        <v>495</v>
      </c>
      <c r="L2286" s="25">
        <v>90</v>
      </c>
      <c r="M2286" s="27">
        <v>18.181818181818201</v>
      </c>
      <c r="N2286" s="25" t="s">
        <v>55</v>
      </c>
      <c r="O2286" s="25" t="s">
        <v>28</v>
      </c>
      <c r="P2286" s="25" t="s">
        <v>32</v>
      </c>
    </row>
    <row r="2287" spans="1:16" x14ac:dyDescent="0.3">
      <c r="A2287" s="25">
        <v>2286</v>
      </c>
      <c r="B2287" s="26">
        <v>45676</v>
      </c>
      <c r="C2287" s="25" t="s">
        <v>70</v>
      </c>
      <c r="D2287" s="25" t="s">
        <v>22</v>
      </c>
      <c r="E2287" s="25" t="s">
        <v>90</v>
      </c>
      <c r="F2287" s="25">
        <v>2</v>
      </c>
      <c r="G2287" s="25" t="s">
        <v>91</v>
      </c>
      <c r="H2287" s="25">
        <v>280</v>
      </c>
      <c r="I2287" s="25">
        <v>240</v>
      </c>
      <c r="J2287" s="25">
        <v>560</v>
      </c>
      <c r="K2287" s="25">
        <v>480</v>
      </c>
      <c r="L2287" s="25">
        <v>80</v>
      </c>
      <c r="M2287" s="27">
        <v>16.6666666666667</v>
      </c>
      <c r="N2287" s="25" t="s">
        <v>55</v>
      </c>
      <c r="O2287" s="25" t="s">
        <v>28</v>
      </c>
      <c r="P2287" s="25" t="s">
        <v>32</v>
      </c>
    </row>
    <row r="2288" spans="1:16" x14ac:dyDescent="0.3">
      <c r="A2288" s="25">
        <v>2287</v>
      </c>
      <c r="B2288" s="26">
        <v>45676</v>
      </c>
      <c r="C2288" s="25" t="s">
        <v>70</v>
      </c>
      <c r="D2288" s="25" t="s">
        <v>22</v>
      </c>
      <c r="E2288" s="25" t="s">
        <v>90</v>
      </c>
      <c r="F2288" s="25">
        <v>1</v>
      </c>
      <c r="G2288" s="25" t="s">
        <v>91</v>
      </c>
      <c r="H2288" s="25">
        <v>280</v>
      </c>
      <c r="I2288" s="25">
        <v>240</v>
      </c>
      <c r="J2288" s="25">
        <v>280</v>
      </c>
      <c r="K2288" s="25">
        <v>240</v>
      </c>
      <c r="L2288" s="25">
        <v>40</v>
      </c>
      <c r="M2288" s="27">
        <v>16.6666666666667</v>
      </c>
      <c r="N2288" s="25" t="s">
        <v>55</v>
      </c>
      <c r="O2288" s="25" t="s">
        <v>28</v>
      </c>
      <c r="P2288" s="25" t="s">
        <v>32</v>
      </c>
    </row>
    <row r="2289" spans="1:16" x14ac:dyDescent="0.3">
      <c r="A2289" s="25">
        <v>2288</v>
      </c>
      <c r="B2289" s="26">
        <v>45676</v>
      </c>
      <c r="C2289" s="25" t="s">
        <v>70</v>
      </c>
      <c r="D2289" s="25" t="s">
        <v>21</v>
      </c>
      <c r="E2289" s="25" t="s">
        <v>88</v>
      </c>
      <c r="F2289" s="25">
        <v>2</v>
      </c>
      <c r="G2289" s="25" t="s">
        <v>89</v>
      </c>
      <c r="H2289" s="25">
        <v>130</v>
      </c>
      <c r="I2289" s="25">
        <v>100</v>
      </c>
      <c r="J2289" s="25">
        <v>260</v>
      </c>
      <c r="K2289" s="25">
        <v>200</v>
      </c>
      <c r="L2289" s="25">
        <v>60</v>
      </c>
      <c r="M2289" s="27">
        <v>30</v>
      </c>
      <c r="N2289" s="25" t="s">
        <v>55</v>
      </c>
      <c r="O2289" s="25" t="s">
        <v>27</v>
      </c>
      <c r="P2289" s="25" t="s">
        <v>32</v>
      </c>
    </row>
    <row r="2290" spans="1:16" x14ac:dyDescent="0.3">
      <c r="A2290" s="25">
        <v>2289</v>
      </c>
      <c r="B2290" s="26">
        <v>45676</v>
      </c>
      <c r="C2290" s="25" t="s">
        <v>70</v>
      </c>
      <c r="D2290" s="25" t="s">
        <v>22</v>
      </c>
      <c r="E2290" s="25" t="s">
        <v>92</v>
      </c>
      <c r="F2290" s="25">
        <v>1</v>
      </c>
      <c r="G2290" s="25" t="s">
        <v>91</v>
      </c>
      <c r="H2290" s="25">
        <v>260</v>
      </c>
      <c r="I2290" s="25">
        <v>220</v>
      </c>
      <c r="J2290" s="25">
        <v>260</v>
      </c>
      <c r="K2290" s="25">
        <v>220</v>
      </c>
      <c r="L2290" s="25">
        <v>40</v>
      </c>
      <c r="M2290" s="27">
        <v>18.181818181818201</v>
      </c>
      <c r="N2290" s="25" t="s">
        <v>55</v>
      </c>
      <c r="O2290" s="25" t="s">
        <v>28</v>
      </c>
      <c r="P2290" s="25" t="s">
        <v>32</v>
      </c>
    </row>
    <row r="2291" spans="1:16" x14ac:dyDescent="0.3">
      <c r="A2291" s="25">
        <v>2290</v>
      </c>
      <c r="B2291" s="26">
        <v>45676</v>
      </c>
      <c r="C2291" s="25" t="s">
        <v>70</v>
      </c>
      <c r="D2291" s="25" t="s">
        <v>21</v>
      </c>
      <c r="E2291" s="25" t="s">
        <v>88</v>
      </c>
      <c r="F2291" s="25">
        <v>2</v>
      </c>
      <c r="G2291" s="25" t="s">
        <v>89</v>
      </c>
      <c r="H2291" s="25">
        <v>130</v>
      </c>
      <c r="I2291" s="25">
        <v>100</v>
      </c>
      <c r="J2291" s="25">
        <v>260</v>
      </c>
      <c r="K2291" s="25">
        <v>200</v>
      </c>
      <c r="L2291" s="25">
        <v>60</v>
      </c>
      <c r="M2291" s="27">
        <v>30</v>
      </c>
      <c r="N2291" s="25" t="s">
        <v>55</v>
      </c>
      <c r="O2291" s="25" t="s">
        <v>27</v>
      </c>
      <c r="P2291" s="25" t="s">
        <v>32</v>
      </c>
    </row>
    <row r="2292" spans="1:16" x14ac:dyDescent="0.3">
      <c r="A2292" s="25">
        <v>2291</v>
      </c>
      <c r="B2292" s="26">
        <v>45676</v>
      </c>
      <c r="C2292" s="25" t="s">
        <v>70</v>
      </c>
      <c r="D2292" s="25" t="s">
        <v>22</v>
      </c>
      <c r="E2292" s="25" t="s">
        <v>90</v>
      </c>
      <c r="F2292" s="25">
        <v>2</v>
      </c>
      <c r="G2292" s="25" t="s">
        <v>91</v>
      </c>
      <c r="H2292" s="25">
        <v>280</v>
      </c>
      <c r="I2292" s="25">
        <v>240</v>
      </c>
      <c r="J2292" s="25">
        <v>560</v>
      </c>
      <c r="K2292" s="25">
        <v>480</v>
      </c>
      <c r="L2292" s="25">
        <v>80</v>
      </c>
      <c r="M2292" s="27">
        <v>16.6666666666667</v>
      </c>
      <c r="N2292" s="25" t="s">
        <v>55</v>
      </c>
      <c r="O2292" s="25" t="s">
        <v>28</v>
      </c>
      <c r="P2292" s="25" t="s">
        <v>32</v>
      </c>
    </row>
    <row r="2293" spans="1:16" x14ac:dyDescent="0.3">
      <c r="A2293" s="25">
        <v>2292</v>
      </c>
      <c r="B2293" s="26">
        <v>45676</v>
      </c>
      <c r="C2293" s="25" t="s">
        <v>70</v>
      </c>
      <c r="D2293" s="25" t="s">
        <v>22</v>
      </c>
      <c r="E2293" s="25" t="s">
        <v>92</v>
      </c>
      <c r="F2293" s="25">
        <v>1.25</v>
      </c>
      <c r="G2293" s="25" t="s">
        <v>91</v>
      </c>
      <c r="H2293" s="25">
        <v>260</v>
      </c>
      <c r="I2293" s="25">
        <v>220</v>
      </c>
      <c r="J2293" s="25">
        <v>325</v>
      </c>
      <c r="K2293" s="25">
        <v>275</v>
      </c>
      <c r="L2293" s="25">
        <v>50</v>
      </c>
      <c r="M2293" s="27">
        <v>18.181818181818201</v>
      </c>
      <c r="N2293" s="25" t="s">
        <v>55</v>
      </c>
      <c r="O2293" s="25" t="s">
        <v>28</v>
      </c>
      <c r="P2293" s="25" t="s">
        <v>32</v>
      </c>
    </row>
    <row r="2294" spans="1:16" x14ac:dyDescent="0.3">
      <c r="A2294" s="25">
        <v>2293</v>
      </c>
      <c r="B2294" s="26">
        <v>45676</v>
      </c>
      <c r="C2294" s="25" t="s">
        <v>70</v>
      </c>
      <c r="D2294" s="25" t="s">
        <v>22</v>
      </c>
      <c r="E2294" s="25" t="s">
        <v>103</v>
      </c>
      <c r="F2294" s="25">
        <v>1</v>
      </c>
      <c r="G2294" s="25" t="s">
        <v>102</v>
      </c>
      <c r="H2294" s="25">
        <v>30</v>
      </c>
      <c r="I2294" s="25">
        <v>20</v>
      </c>
      <c r="J2294" s="25">
        <v>30</v>
      </c>
      <c r="K2294" s="25">
        <v>20</v>
      </c>
      <c r="L2294" s="25">
        <v>10</v>
      </c>
      <c r="M2294" s="27">
        <v>50</v>
      </c>
      <c r="N2294" s="25" t="s">
        <v>55</v>
      </c>
      <c r="O2294" s="25" t="s">
        <v>28</v>
      </c>
      <c r="P2294" s="25" t="s">
        <v>33</v>
      </c>
    </row>
    <row r="2295" spans="1:16" x14ac:dyDescent="0.3">
      <c r="A2295" s="25">
        <v>2294</v>
      </c>
      <c r="B2295" s="26">
        <v>45677</v>
      </c>
      <c r="C2295" s="25" t="s">
        <v>70</v>
      </c>
      <c r="D2295" s="25" t="s">
        <v>22</v>
      </c>
      <c r="E2295" s="25" t="s">
        <v>90</v>
      </c>
      <c r="F2295" s="25">
        <v>2</v>
      </c>
      <c r="G2295" s="25" t="s">
        <v>91</v>
      </c>
      <c r="H2295" s="25">
        <v>280</v>
      </c>
      <c r="I2295" s="25">
        <v>240</v>
      </c>
      <c r="J2295" s="25">
        <v>560</v>
      </c>
      <c r="K2295" s="25">
        <v>480</v>
      </c>
      <c r="L2295" s="25">
        <v>80</v>
      </c>
      <c r="M2295" s="27">
        <v>16.6666666666667</v>
      </c>
      <c r="N2295" s="25" t="s">
        <v>55</v>
      </c>
      <c r="O2295" s="25" t="s">
        <v>28</v>
      </c>
      <c r="P2295" s="25" t="s">
        <v>32</v>
      </c>
    </row>
    <row r="2296" spans="1:16" x14ac:dyDescent="0.3">
      <c r="A2296" s="25">
        <v>2295</v>
      </c>
      <c r="B2296" s="26">
        <v>45677</v>
      </c>
      <c r="C2296" s="25" t="s">
        <v>70</v>
      </c>
      <c r="D2296" s="25" t="s">
        <v>22</v>
      </c>
      <c r="E2296" s="25" t="s">
        <v>99</v>
      </c>
      <c r="F2296" s="25">
        <v>1</v>
      </c>
      <c r="G2296" s="25" t="s">
        <v>100</v>
      </c>
      <c r="H2296" s="25">
        <v>200</v>
      </c>
      <c r="I2296" s="25">
        <v>160</v>
      </c>
      <c r="J2296" s="25">
        <v>200</v>
      </c>
      <c r="K2296" s="25">
        <v>160</v>
      </c>
      <c r="L2296" s="25">
        <v>40</v>
      </c>
      <c r="M2296" s="27">
        <v>25</v>
      </c>
      <c r="N2296" s="25" t="s">
        <v>55</v>
      </c>
      <c r="O2296" s="25" t="s">
        <v>28</v>
      </c>
      <c r="P2296" s="25" t="s">
        <v>32</v>
      </c>
    </row>
    <row r="2297" spans="1:16" x14ac:dyDescent="0.3">
      <c r="A2297" s="25">
        <v>2296</v>
      </c>
      <c r="B2297" s="26">
        <v>45677</v>
      </c>
      <c r="C2297" s="25" t="s">
        <v>70</v>
      </c>
      <c r="D2297" s="25" t="s">
        <v>22</v>
      </c>
      <c r="E2297" s="25" t="s">
        <v>92</v>
      </c>
      <c r="F2297" s="25">
        <v>1</v>
      </c>
      <c r="G2297" s="25" t="s">
        <v>91</v>
      </c>
      <c r="H2297" s="25">
        <v>260</v>
      </c>
      <c r="I2297" s="25">
        <v>220</v>
      </c>
      <c r="J2297" s="25">
        <v>260</v>
      </c>
      <c r="K2297" s="25">
        <v>220</v>
      </c>
      <c r="L2297" s="25">
        <v>40</v>
      </c>
      <c r="M2297" s="27">
        <v>18.181818181818201</v>
      </c>
      <c r="N2297" s="25" t="s">
        <v>55</v>
      </c>
      <c r="O2297" s="25" t="s">
        <v>28</v>
      </c>
      <c r="P2297" s="25" t="s">
        <v>32</v>
      </c>
    </row>
    <row r="2298" spans="1:16" x14ac:dyDescent="0.3">
      <c r="A2298" s="25">
        <v>2297</v>
      </c>
      <c r="B2298" s="26">
        <v>45677</v>
      </c>
      <c r="C2298" s="25" t="s">
        <v>70</v>
      </c>
      <c r="D2298" s="25" t="s">
        <v>22</v>
      </c>
      <c r="E2298" s="25" t="s">
        <v>96</v>
      </c>
      <c r="F2298" s="25">
        <v>1</v>
      </c>
      <c r="G2298" s="25" t="s">
        <v>97</v>
      </c>
      <c r="H2298" s="25">
        <v>300</v>
      </c>
      <c r="I2298" s="25">
        <v>265</v>
      </c>
      <c r="J2298" s="25">
        <v>300</v>
      </c>
      <c r="K2298" s="25">
        <v>265</v>
      </c>
      <c r="L2298" s="25">
        <v>35</v>
      </c>
      <c r="M2298" s="27">
        <v>13.207547169811299</v>
      </c>
      <c r="N2298" s="25" t="s">
        <v>55</v>
      </c>
      <c r="O2298" s="25" t="s">
        <v>28</v>
      </c>
      <c r="P2298" s="25" t="s">
        <v>32</v>
      </c>
    </row>
    <row r="2299" spans="1:16" x14ac:dyDescent="0.3">
      <c r="A2299" s="25">
        <v>2298</v>
      </c>
      <c r="B2299" s="26">
        <v>45677</v>
      </c>
      <c r="C2299" s="25" t="s">
        <v>70</v>
      </c>
      <c r="D2299" s="25" t="s">
        <v>22</v>
      </c>
      <c r="E2299" s="25" t="s">
        <v>92</v>
      </c>
      <c r="F2299" s="25">
        <v>1</v>
      </c>
      <c r="G2299" s="25" t="s">
        <v>91</v>
      </c>
      <c r="H2299" s="25">
        <v>260</v>
      </c>
      <c r="I2299" s="25">
        <v>220</v>
      </c>
      <c r="J2299" s="25">
        <v>260</v>
      </c>
      <c r="K2299" s="25">
        <v>220</v>
      </c>
      <c r="L2299" s="25">
        <v>40</v>
      </c>
      <c r="M2299" s="27">
        <v>18.181818181818201</v>
      </c>
      <c r="N2299" s="25" t="s">
        <v>55</v>
      </c>
      <c r="O2299" s="25" t="s">
        <v>28</v>
      </c>
      <c r="P2299" s="25" t="s">
        <v>32</v>
      </c>
    </row>
    <row r="2300" spans="1:16" x14ac:dyDescent="0.3">
      <c r="A2300" s="25">
        <v>2299</v>
      </c>
      <c r="B2300" s="26">
        <v>45677</v>
      </c>
      <c r="C2300" s="25" t="s">
        <v>70</v>
      </c>
      <c r="D2300" s="25" t="s">
        <v>22</v>
      </c>
      <c r="E2300" s="25" t="s">
        <v>103</v>
      </c>
      <c r="F2300" s="25">
        <v>1</v>
      </c>
      <c r="G2300" s="25" t="s">
        <v>102</v>
      </c>
      <c r="H2300" s="25">
        <v>30</v>
      </c>
      <c r="I2300" s="25">
        <v>20</v>
      </c>
      <c r="J2300" s="25">
        <v>30</v>
      </c>
      <c r="K2300" s="25">
        <v>20</v>
      </c>
      <c r="L2300" s="25">
        <v>10</v>
      </c>
      <c r="M2300" s="27">
        <v>50</v>
      </c>
      <c r="N2300" s="25" t="s">
        <v>55</v>
      </c>
      <c r="O2300" s="25" t="s">
        <v>28</v>
      </c>
      <c r="P2300" s="25" t="s">
        <v>32</v>
      </c>
    </row>
    <row r="2301" spans="1:16" x14ac:dyDescent="0.3">
      <c r="A2301" s="25">
        <v>2300</v>
      </c>
      <c r="B2301" s="26">
        <v>45677</v>
      </c>
      <c r="C2301" s="25" t="s">
        <v>70</v>
      </c>
      <c r="D2301" s="25" t="s">
        <v>22</v>
      </c>
      <c r="E2301" s="25" t="s">
        <v>90</v>
      </c>
      <c r="F2301" s="25">
        <v>0.25</v>
      </c>
      <c r="G2301" s="25" t="s">
        <v>91</v>
      </c>
      <c r="H2301" s="25">
        <v>280</v>
      </c>
      <c r="I2301" s="25">
        <v>240</v>
      </c>
      <c r="J2301" s="25">
        <v>70</v>
      </c>
      <c r="K2301" s="25">
        <v>60</v>
      </c>
      <c r="L2301" s="25">
        <v>10</v>
      </c>
      <c r="M2301" s="27">
        <v>16.6666666666667</v>
      </c>
      <c r="N2301" s="25" t="s">
        <v>55</v>
      </c>
      <c r="O2301" s="25" t="s">
        <v>28</v>
      </c>
      <c r="P2301" s="25" t="s">
        <v>32</v>
      </c>
    </row>
    <row r="2302" spans="1:16" x14ac:dyDescent="0.3">
      <c r="A2302" s="25">
        <v>2301</v>
      </c>
      <c r="B2302" s="26">
        <v>45677</v>
      </c>
      <c r="C2302" s="25" t="s">
        <v>70</v>
      </c>
      <c r="D2302" s="25" t="s">
        <v>22</v>
      </c>
      <c r="E2302" s="25" t="s">
        <v>96</v>
      </c>
      <c r="F2302" s="25">
        <v>1</v>
      </c>
      <c r="G2302" s="25" t="s">
        <v>97</v>
      </c>
      <c r="H2302" s="25">
        <v>300</v>
      </c>
      <c r="I2302" s="25">
        <v>265</v>
      </c>
      <c r="J2302" s="25">
        <v>300</v>
      </c>
      <c r="K2302" s="25">
        <v>265</v>
      </c>
      <c r="L2302" s="25">
        <v>35</v>
      </c>
      <c r="M2302" s="27">
        <v>13.207547169811299</v>
      </c>
      <c r="N2302" s="25" t="s">
        <v>55</v>
      </c>
      <c r="O2302" s="25" t="s">
        <v>28</v>
      </c>
      <c r="P2302" s="25" t="s">
        <v>32</v>
      </c>
    </row>
    <row r="2303" spans="1:16" x14ac:dyDescent="0.3">
      <c r="A2303" s="25">
        <v>2302</v>
      </c>
      <c r="B2303" s="26">
        <v>45677</v>
      </c>
      <c r="C2303" s="25" t="s">
        <v>70</v>
      </c>
      <c r="D2303" s="25" t="s">
        <v>21</v>
      </c>
      <c r="E2303" s="25" t="s">
        <v>88</v>
      </c>
      <c r="F2303" s="25">
        <v>3</v>
      </c>
      <c r="G2303" s="25" t="s">
        <v>89</v>
      </c>
      <c r="H2303" s="25">
        <v>130</v>
      </c>
      <c r="I2303" s="25">
        <v>100</v>
      </c>
      <c r="J2303" s="25">
        <v>390</v>
      </c>
      <c r="K2303" s="25">
        <v>300</v>
      </c>
      <c r="L2303" s="25">
        <v>90</v>
      </c>
      <c r="M2303" s="27">
        <v>30</v>
      </c>
      <c r="N2303" s="25" t="s">
        <v>55</v>
      </c>
      <c r="O2303" s="25" t="s">
        <v>27</v>
      </c>
      <c r="P2303" s="25" t="s">
        <v>32</v>
      </c>
    </row>
    <row r="2304" spans="1:16" x14ac:dyDescent="0.3">
      <c r="A2304" s="25">
        <v>2303</v>
      </c>
      <c r="B2304" s="26">
        <v>45677</v>
      </c>
      <c r="C2304" s="25" t="s">
        <v>70</v>
      </c>
      <c r="D2304" s="25" t="s">
        <v>22</v>
      </c>
      <c r="E2304" s="25" t="s">
        <v>92</v>
      </c>
      <c r="F2304" s="25">
        <v>2</v>
      </c>
      <c r="G2304" s="25" t="s">
        <v>91</v>
      </c>
      <c r="H2304" s="25">
        <v>260</v>
      </c>
      <c r="I2304" s="25">
        <v>220</v>
      </c>
      <c r="J2304" s="25">
        <v>520</v>
      </c>
      <c r="K2304" s="25">
        <v>440</v>
      </c>
      <c r="L2304" s="25">
        <v>80</v>
      </c>
      <c r="M2304" s="27">
        <v>18.181818181818201</v>
      </c>
      <c r="N2304" s="25" t="s">
        <v>55</v>
      </c>
      <c r="O2304" s="25" t="s">
        <v>28</v>
      </c>
      <c r="P2304" s="25" t="s">
        <v>32</v>
      </c>
    </row>
    <row r="2305" spans="1:16" x14ac:dyDescent="0.3">
      <c r="A2305" s="25">
        <v>2304</v>
      </c>
      <c r="B2305" s="26">
        <v>45678</v>
      </c>
      <c r="C2305" s="25" t="s">
        <v>70</v>
      </c>
      <c r="D2305" s="25" t="s">
        <v>21</v>
      </c>
      <c r="E2305" s="25" t="s">
        <v>88</v>
      </c>
      <c r="F2305" s="25">
        <v>5</v>
      </c>
      <c r="G2305" s="25" t="s">
        <v>89</v>
      </c>
      <c r="H2305" s="25">
        <v>130</v>
      </c>
      <c r="I2305" s="25">
        <v>100</v>
      </c>
      <c r="J2305" s="25">
        <v>650</v>
      </c>
      <c r="K2305" s="25">
        <v>500</v>
      </c>
      <c r="L2305" s="25">
        <v>150</v>
      </c>
      <c r="M2305" s="27">
        <v>30</v>
      </c>
      <c r="N2305" s="25" t="s">
        <v>55</v>
      </c>
      <c r="O2305" s="25" t="s">
        <v>27</v>
      </c>
      <c r="P2305" s="25" t="s">
        <v>32</v>
      </c>
    </row>
    <row r="2306" spans="1:16" x14ac:dyDescent="0.3">
      <c r="A2306" s="25">
        <v>2305</v>
      </c>
      <c r="B2306" s="26">
        <v>45678</v>
      </c>
      <c r="C2306" s="25" t="s">
        <v>70</v>
      </c>
      <c r="D2306" s="25" t="s">
        <v>21</v>
      </c>
      <c r="E2306" s="25" t="s">
        <v>95</v>
      </c>
      <c r="F2306" s="25">
        <v>5</v>
      </c>
      <c r="G2306" s="25" t="s">
        <v>89</v>
      </c>
      <c r="H2306" s="25">
        <v>150</v>
      </c>
      <c r="I2306" s="25">
        <v>100</v>
      </c>
      <c r="J2306" s="25">
        <v>750</v>
      </c>
      <c r="K2306" s="25">
        <v>500</v>
      </c>
      <c r="L2306" s="25">
        <v>250</v>
      </c>
      <c r="M2306" s="27">
        <v>50</v>
      </c>
      <c r="N2306" s="25" t="s">
        <v>55</v>
      </c>
      <c r="O2306" s="25" t="s">
        <v>28</v>
      </c>
      <c r="P2306" s="25" t="s">
        <v>32</v>
      </c>
    </row>
    <row r="2307" spans="1:16" x14ac:dyDescent="0.3">
      <c r="A2307" s="25">
        <v>2306</v>
      </c>
      <c r="B2307" s="26">
        <v>45678</v>
      </c>
      <c r="C2307" s="25" t="s">
        <v>70</v>
      </c>
      <c r="D2307" s="25" t="s">
        <v>21</v>
      </c>
      <c r="E2307" s="25" t="s">
        <v>94</v>
      </c>
      <c r="F2307" s="25">
        <v>25</v>
      </c>
      <c r="G2307" s="25" t="s">
        <v>89</v>
      </c>
      <c r="H2307" s="25">
        <v>30</v>
      </c>
      <c r="I2307" s="25">
        <v>26</v>
      </c>
      <c r="J2307" s="25">
        <v>750</v>
      </c>
      <c r="K2307" s="25">
        <v>650</v>
      </c>
      <c r="L2307" s="25">
        <v>100</v>
      </c>
      <c r="M2307" s="27">
        <v>15.384615384615399</v>
      </c>
      <c r="N2307" s="25" t="s">
        <v>55</v>
      </c>
      <c r="O2307" s="25" t="s">
        <v>27</v>
      </c>
      <c r="P2307" s="25" t="s">
        <v>33</v>
      </c>
    </row>
    <row r="2308" spans="1:16" x14ac:dyDescent="0.3">
      <c r="A2308" s="25">
        <v>2307</v>
      </c>
      <c r="B2308" s="26">
        <v>45678</v>
      </c>
      <c r="C2308" s="25" t="s">
        <v>70</v>
      </c>
      <c r="D2308" s="25" t="s">
        <v>21</v>
      </c>
      <c r="E2308" s="25" t="s">
        <v>88</v>
      </c>
      <c r="F2308" s="25">
        <v>10</v>
      </c>
      <c r="G2308" s="25" t="s">
        <v>89</v>
      </c>
      <c r="H2308" s="25">
        <v>130</v>
      </c>
      <c r="I2308" s="25">
        <v>100</v>
      </c>
      <c r="J2308" s="25">
        <v>1300</v>
      </c>
      <c r="K2308" s="25">
        <v>1000</v>
      </c>
      <c r="L2308" s="25">
        <v>300</v>
      </c>
      <c r="M2308" s="27">
        <v>30</v>
      </c>
      <c r="N2308" s="25" t="s">
        <v>55</v>
      </c>
      <c r="O2308" s="25" t="s">
        <v>27</v>
      </c>
      <c r="P2308" s="25" t="s">
        <v>32</v>
      </c>
    </row>
    <row r="2309" spans="1:16" x14ac:dyDescent="0.3">
      <c r="A2309" s="25">
        <v>2308</v>
      </c>
      <c r="B2309" s="26">
        <v>45678</v>
      </c>
      <c r="C2309" s="25" t="s">
        <v>70</v>
      </c>
      <c r="D2309" s="25" t="s">
        <v>22</v>
      </c>
      <c r="E2309" s="25" t="s">
        <v>92</v>
      </c>
      <c r="F2309" s="25">
        <v>2</v>
      </c>
      <c r="G2309" s="25" t="s">
        <v>91</v>
      </c>
      <c r="H2309" s="25">
        <v>260</v>
      </c>
      <c r="I2309" s="25">
        <v>220</v>
      </c>
      <c r="J2309" s="25">
        <v>520</v>
      </c>
      <c r="K2309" s="25">
        <v>440</v>
      </c>
      <c r="L2309" s="25">
        <v>80</v>
      </c>
      <c r="M2309" s="27">
        <v>18.181818181818201</v>
      </c>
      <c r="N2309" s="25" t="s">
        <v>55</v>
      </c>
      <c r="O2309" s="25" t="s">
        <v>28</v>
      </c>
      <c r="P2309" s="25" t="s">
        <v>32</v>
      </c>
    </row>
    <row r="2310" spans="1:16" x14ac:dyDescent="0.3">
      <c r="A2310" s="25">
        <v>2309</v>
      </c>
      <c r="B2310" s="26">
        <v>45678</v>
      </c>
      <c r="C2310" s="25" t="s">
        <v>70</v>
      </c>
      <c r="D2310" s="25" t="s">
        <v>22</v>
      </c>
      <c r="E2310" s="25" t="s">
        <v>90</v>
      </c>
      <c r="F2310" s="25">
        <v>2.5</v>
      </c>
      <c r="G2310" s="25" t="s">
        <v>91</v>
      </c>
      <c r="H2310" s="25">
        <v>280</v>
      </c>
      <c r="I2310" s="25">
        <v>240</v>
      </c>
      <c r="J2310" s="25">
        <v>700</v>
      </c>
      <c r="K2310" s="25">
        <v>600</v>
      </c>
      <c r="L2310" s="25">
        <v>100</v>
      </c>
      <c r="M2310" s="27">
        <v>16.6666666666667</v>
      </c>
      <c r="N2310" s="25" t="s">
        <v>55</v>
      </c>
      <c r="O2310" s="25" t="s">
        <v>28</v>
      </c>
      <c r="P2310" s="25" t="s">
        <v>32</v>
      </c>
    </row>
    <row r="2311" spans="1:16" x14ac:dyDescent="0.3">
      <c r="A2311" s="25">
        <v>2310</v>
      </c>
      <c r="B2311" s="26">
        <v>45678</v>
      </c>
      <c r="C2311" s="25" t="s">
        <v>70</v>
      </c>
      <c r="D2311" s="25" t="s">
        <v>22</v>
      </c>
      <c r="E2311" s="25" t="s">
        <v>96</v>
      </c>
      <c r="F2311" s="25">
        <v>1</v>
      </c>
      <c r="G2311" s="25" t="s">
        <v>97</v>
      </c>
      <c r="H2311" s="25">
        <v>300</v>
      </c>
      <c r="I2311" s="25">
        <v>265</v>
      </c>
      <c r="J2311" s="25">
        <v>300</v>
      </c>
      <c r="K2311" s="25">
        <v>265</v>
      </c>
      <c r="L2311" s="25">
        <v>35</v>
      </c>
      <c r="M2311" s="27">
        <v>13.207547169811299</v>
      </c>
      <c r="N2311" s="25" t="s">
        <v>55</v>
      </c>
      <c r="O2311" s="25" t="s">
        <v>28</v>
      </c>
      <c r="P2311" s="25" t="s">
        <v>32</v>
      </c>
    </row>
    <row r="2312" spans="1:16" x14ac:dyDescent="0.3">
      <c r="A2312" s="25">
        <v>2311</v>
      </c>
      <c r="B2312" s="26">
        <v>45678</v>
      </c>
      <c r="C2312" s="25" t="s">
        <v>70</v>
      </c>
      <c r="D2312" s="25" t="s">
        <v>22</v>
      </c>
      <c r="E2312" s="25" t="s">
        <v>101</v>
      </c>
      <c r="F2312" s="25">
        <v>5</v>
      </c>
      <c r="G2312" s="25" t="s">
        <v>102</v>
      </c>
      <c r="H2312" s="25">
        <v>6</v>
      </c>
      <c r="I2312" s="25">
        <v>4</v>
      </c>
      <c r="J2312" s="25">
        <v>30</v>
      </c>
      <c r="K2312" s="25">
        <v>20</v>
      </c>
      <c r="L2312" s="25">
        <v>10</v>
      </c>
      <c r="M2312" s="27">
        <v>50</v>
      </c>
      <c r="N2312" s="25" t="s">
        <v>55</v>
      </c>
      <c r="O2312" s="25" t="s">
        <v>28</v>
      </c>
      <c r="P2312" s="25" t="s">
        <v>32</v>
      </c>
    </row>
    <row r="2313" spans="1:16" x14ac:dyDescent="0.3">
      <c r="A2313" s="25">
        <v>2312</v>
      </c>
      <c r="B2313" s="26">
        <v>45681</v>
      </c>
      <c r="C2313" s="25" t="s">
        <v>70</v>
      </c>
      <c r="D2313" s="25" t="s">
        <v>22</v>
      </c>
      <c r="E2313" s="25" t="s">
        <v>92</v>
      </c>
      <c r="F2313" s="25">
        <v>1.5</v>
      </c>
      <c r="G2313" s="25" t="s">
        <v>91</v>
      </c>
      <c r="H2313" s="25">
        <v>260</v>
      </c>
      <c r="I2313" s="25">
        <v>220</v>
      </c>
      <c r="J2313" s="25">
        <v>390</v>
      </c>
      <c r="K2313" s="25">
        <v>330</v>
      </c>
      <c r="L2313" s="25">
        <v>60</v>
      </c>
      <c r="M2313" s="27">
        <v>18.181818181818201</v>
      </c>
      <c r="N2313" s="25" t="s">
        <v>55</v>
      </c>
      <c r="O2313" s="25" t="s">
        <v>28</v>
      </c>
      <c r="P2313" s="25" t="s">
        <v>32</v>
      </c>
    </row>
    <row r="2314" spans="1:16" x14ac:dyDescent="0.3">
      <c r="A2314" s="25">
        <v>2313</v>
      </c>
      <c r="B2314" s="26">
        <v>45681</v>
      </c>
      <c r="C2314" s="25" t="s">
        <v>70</v>
      </c>
      <c r="D2314" s="25" t="s">
        <v>22</v>
      </c>
      <c r="E2314" s="25" t="s">
        <v>90</v>
      </c>
      <c r="F2314" s="25">
        <v>0.25</v>
      </c>
      <c r="G2314" s="25" t="s">
        <v>91</v>
      </c>
      <c r="H2314" s="25">
        <v>280</v>
      </c>
      <c r="I2314" s="25">
        <v>240</v>
      </c>
      <c r="J2314" s="25">
        <v>70</v>
      </c>
      <c r="K2314" s="25">
        <v>60</v>
      </c>
      <c r="L2314" s="25">
        <v>10</v>
      </c>
      <c r="M2314" s="27">
        <v>16.6666666666667</v>
      </c>
      <c r="N2314" s="25" t="s">
        <v>55</v>
      </c>
      <c r="O2314" s="25" t="s">
        <v>28</v>
      </c>
      <c r="P2314" s="25" t="s">
        <v>32</v>
      </c>
    </row>
    <row r="2315" spans="1:16" x14ac:dyDescent="0.3">
      <c r="A2315" s="25">
        <v>2314</v>
      </c>
      <c r="B2315" s="26">
        <v>45681</v>
      </c>
      <c r="C2315" s="25" t="s">
        <v>70</v>
      </c>
      <c r="D2315" s="25" t="s">
        <v>22</v>
      </c>
      <c r="E2315" s="25" t="s">
        <v>101</v>
      </c>
      <c r="F2315" s="25">
        <v>12</v>
      </c>
      <c r="G2315" s="25" t="s">
        <v>102</v>
      </c>
      <c r="H2315" s="25">
        <v>6</v>
      </c>
      <c r="I2315" s="25">
        <v>4</v>
      </c>
      <c r="J2315" s="25">
        <v>72</v>
      </c>
      <c r="K2315" s="25">
        <v>48</v>
      </c>
      <c r="L2315" s="25">
        <v>24</v>
      </c>
      <c r="M2315" s="27">
        <v>50</v>
      </c>
      <c r="N2315" s="25" t="s">
        <v>55</v>
      </c>
      <c r="O2315" s="25" t="s">
        <v>28</v>
      </c>
      <c r="P2315" s="25" t="s">
        <v>32</v>
      </c>
    </row>
    <row r="2316" spans="1:16" x14ac:dyDescent="0.3">
      <c r="A2316" s="25">
        <v>2315</v>
      </c>
      <c r="B2316" s="26">
        <v>45681</v>
      </c>
      <c r="C2316" s="25" t="s">
        <v>70</v>
      </c>
      <c r="D2316" s="25" t="s">
        <v>22</v>
      </c>
      <c r="E2316" s="25" t="s">
        <v>103</v>
      </c>
      <c r="F2316" s="25">
        <v>1</v>
      </c>
      <c r="G2316" s="25" t="s">
        <v>102</v>
      </c>
      <c r="H2316" s="25">
        <v>30</v>
      </c>
      <c r="I2316" s="25">
        <v>20</v>
      </c>
      <c r="J2316" s="25">
        <v>30</v>
      </c>
      <c r="K2316" s="25">
        <v>20</v>
      </c>
      <c r="L2316" s="25">
        <v>10</v>
      </c>
      <c r="M2316" s="27">
        <v>50</v>
      </c>
      <c r="N2316" s="25" t="s">
        <v>55</v>
      </c>
      <c r="O2316" s="25" t="s">
        <v>28</v>
      </c>
      <c r="P2316" s="25" t="s">
        <v>32</v>
      </c>
    </row>
    <row r="2317" spans="1:16" x14ac:dyDescent="0.3">
      <c r="A2317" s="25">
        <v>2316</v>
      </c>
      <c r="B2317" s="26">
        <v>45681</v>
      </c>
      <c r="C2317" s="25" t="s">
        <v>70</v>
      </c>
      <c r="D2317" s="25" t="s">
        <v>22</v>
      </c>
      <c r="E2317" s="25" t="s">
        <v>92</v>
      </c>
      <c r="F2317" s="25">
        <v>2</v>
      </c>
      <c r="G2317" s="25" t="s">
        <v>91</v>
      </c>
      <c r="H2317" s="25">
        <v>260</v>
      </c>
      <c r="I2317" s="25">
        <v>220</v>
      </c>
      <c r="J2317" s="25">
        <v>520</v>
      </c>
      <c r="K2317" s="25">
        <v>440</v>
      </c>
      <c r="L2317" s="25">
        <v>80</v>
      </c>
      <c r="M2317" s="27">
        <v>18.181818181818201</v>
      </c>
      <c r="N2317" s="25" t="s">
        <v>55</v>
      </c>
      <c r="O2317" s="25" t="s">
        <v>28</v>
      </c>
      <c r="P2317" s="25" t="s">
        <v>33</v>
      </c>
    </row>
    <row r="2318" spans="1:16" x14ac:dyDescent="0.3">
      <c r="A2318" s="25">
        <v>2317</v>
      </c>
      <c r="B2318" s="26">
        <v>45681</v>
      </c>
      <c r="C2318" s="25" t="s">
        <v>70</v>
      </c>
      <c r="D2318" s="25" t="s">
        <v>22</v>
      </c>
      <c r="E2318" s="25" t="s">
        <v>90</v>
      </c>
      <c r="F2318" s="25">
        <v>2</v>
      </c>
      <c r="G2318" s="25" t="s">
        <v>91</v>
      </c>
      <c r="H2318" s="25">
        <v>280</v>
      </c>
      <c r="I2318" s="25">
        <v>240</v>
      </c>
      <c r="J2318" s="25">
        <v>560</v>
      </c>
      <c r="K2318" s="25">
        <v>480</v>
      </c>
      <c r="L2318" s="25">
        <v>80</v>
      </c>
      <c r="M2318" s="27">
        <v>16.6666666666667</v>
      </c>
      <c r="N2318" s="25" t="s">
        <v>55</v>
      </c>
      <c r="O2318" s="25" t="s">
        <v>28</v>
      </c>
      <c r="P2318" s="25" t="s">
        <v>32</v>
      </c>
    </row>
    <row r="2319" spans="1:16" x14ac:dyDescent="0.3">
      <c r="A2319" s="25">
        <v>2318</v>
      </c>
      <c r="B2319" s="26">
        <v>45681</v>
      </c>
      <c r="C2319" s="25" t="s">
        <v>70</v>
      </c>
      <c r="D2319" s="25" t="s">
        <v>22</v>
      </c>
      <c r="E2319" s="25" t="s">
        <v>103</v>
      </c>
      <c r="F2319" s="25">
        <v>2</v>
      </c>
      <c r="G2319" s="25" t="s">
        <v>102</v>
      </c>
      <c r="H2319" s="25">
        <v>30</v>
      </c>
      <c r="I2319" s="25">
        <v>20</v>
      </c>
      <c r="J2319" s="25">
        <v>60</v>
      </c>
      <c r="K2319" s="25">
        <v>40</v>
      </c>
      <c r="L2319" s="25">
        <v>20</v>
      </c>
      <c r="M2319" s="27">
        <v>50</v>
      </c>
      <c r="N2319" s="25" t="s">
        <v>55</v>
      </c>
      <c r="O2319" s="25" t="s">
        <v>28</v>
      </c>
      <c r="P2319" s="25" t="s">
        <v>32</v>
      </c>
    </row>
    <row r="2320" spans="1:16" x14ac:dyDescent="0.3">
      <c r="A2320" s="25">
        <v>2319</v>
      </c>
      <c r="B2320" s="26">
        <v>45683</v>
      </c>
      <c r="C2320" s="25" t="s">
        <v>70</v>
      </c>
      <c r="D2320" s="25" t="s">
        <v>22</v>
      </c>
      <c r="E2320" s="25" t="s">
        <v>92</v>
      </c>
      <c r="F2320" s="25">
        <v>0.25</v>
      </c>
      <c r="G2320" s="25" t="s">
        <v>91</v>
      </c>
      <c r="H2320" s="25">
        <v>260</v>
      </c>
      <c r="I2320" s="25">
        <v>220</v>
      </c>
      <c r="J2320" s="25">
        <v>65</v>
      </c>
      <c r="K2320" s="25">
        <v>55</v>
      </c>
      <c r="L2320" s="25">
        <v>10</v>
      </c>
      <c r="M2320" s="27">
        <v>18.181818181818201</v>
      </c>
      <c r="N2320" s="25" t="s">
        <v>55</v>
      </c>
      <c r="O2320" s="25" t="s">
        <v>28</v>
      </c>
      <c r="P2320" s="25" t="s">
        <v>32</v>
      </c>
    </row>
    <row r="2321" spans="1:16" x14ac:dyDescent="0.3">
      <c r="A2321" s="25">
        <v>2320</v>
      </c>
      <c r="B2321" s="26">
        <v>45683</v>
      </c>
      <c r="C2321" s="25" t="s">
        <v>70</v>
      </c>
      <c r="D2321" s="25" t="s">
        <v>22</v>
      </c>
      <c r="E2321" s="25" t="s">
        <v>92</v>
      </c>
      <c r="F2321" s="25">
        <v>1.25</v>
      </c>
      <c r="G2321" s="25" t="s">
        <v>91</v>
      </c>
      <c r="H2321" s="25">
        <v>260</v>
      </c>
      <c r="I2321" s="25">
        <v>220</v>
      </c>
      <c r="J2321" s="25">
        <v>325</v>
      </c>
      <c r="K2321" s="25">
        <v>275</v>
      </c>
      <c r="L2321" s="25">
        <v>50</v>
      </c>
      <c r="M2321" s="27">
        <v>18.181818181818201</v>
      </c>
      <c r="N2321" s="25" t="s">
        <v>55</v>
      </c>
      <c r="O2321" s="25" t="s">
        <v>28</v>
      </c>
      <c r="P2321" s="25" t="s">
        <v>32</v>
      </c>
    </row>
    <row r="2322" spans="1:16" x14ac:dyDescent="0.3">
      <c r="A2322" s="25">
        <v>2321</v>
      </c>
      <c r="B2322" s="26">
        <v>45683</v>
      </c>
      <c r="C2322" s="25" t="s">
        <v>70</v>
      </c>
      <c r="D2322" s="25" t="s">
        <v>22</v>
      </c>
      <c r="E2322" s="25" t="s">
        <v>96</v>
      </c>
      <c r="F2322" s="25">
        <v>1</v>
      </c>
      <c r="G2322" s="25" t="s">
        <v>97</v>
      </c>
      <c r="H2322" s="25">
        <v>300</v>
      </c>
      <c r="I2322" s="25">
        <v>265</v>
      </c>
      <c r="J2322" s="25">
        <v>300</v>
      </c>
      <c r="K2322" s="25">
        <v>265</v>
      </c>
      <c r="L2322" s="25">
        <v>35</v>
      </c>
      <c r="M2322" s="27">
        <v>13.207547169811299</v>
      </c>
      <c r="N2322" s="25" t="s">
        <v>55</v>
      </c>
      <c r="O2322" s="25" t="s">
        <v>28</v>
      </c>
      <c r="P2322" s="25" t="s">
        <v>32</v>
      </c>
    </row>
    <row r="2323" spans="1:16" x14ac:dyDescent="0.3">
      <c r="A2323" s="25">
        <v>2322</v>
      </c>
      <c r="B2323" s="26">
        <v>45683</v>
      </c>
      <c r="C2323" s="25" t="s">
        <v>70</v>
      </c>
      <c r="D2323" s="25" t="s">
        <v>22</v>
      </c>
      <c r="E2323" s="25" t="s">
        <v>92</v>
      </c>
      <c r="F2323" s="25">
        <v>0.25</v>
      </c>
      <c r="G2323" s="25" t="s">
        <v>91</v>
      </c>
      <c r="H2323" s="25">
        <v>260</v>
      </c>
      <c r="I2323" s="25">
        <v>220</v>
      </c>
      <c r="J2323" s="25">
        <v>65</v>
      </c>
      <c r="K2323" s="25">
        <v>55</v>
      </c>
      <c r="L2323" s="25">
        <v>10</v>
      </c>
      <c r="M2323" s="27">
        <v>18.181818181818201</v>
      </c>
      <c r="N2323" s="25" t="s">
        <v>55</v>
      </c>
      <c r="O2323" s="25" t="s">
        <v>28</v>
      </c>
      <c r="P2323" s="25" t="s">
        <v>32</v>
      </c>
    </row>
    <row r="2324" spans="1:16" x14ac:dyDescent="0.3">
      <c r="A2324" s="25">
        <v>2323</v>
      </c>
      <c r="B2324" s="26">
        <v>45683</v>
      </c>
      <c r="C2324" s="25" t="s">
        <v>70</v>
      </c>
      <c r="D2324" s="25" t="s">
        <v>21</v>
      </c>
      <c r="E2324" s="25" t="s">
        <v>88</v>
      </c>
      <c r="F2324" s="25">
        <v>3</v>
      </c>
      <c r="G2324" s="25" t="s">
        <v>89</v>
      </c>
      <c r="H2324" s="25">
        <v>130</v>
      </c>
      <c r="I2324" s="25">
        <v>100</v>
      </c>
      <c r="J2324" s="25">
        <v>390</v>
      </c>
      <c r="K2324" s="25">
        <v>300</v>
      </c>
      <c r="L2324" s="25">
        <v>90</v>
      </c>
      <c r="M2324" s="27">
        <v>30</v>
      </c>
      <c r="N2324" s="25" t="s">
        <v>55</v>
      </c>
      <c r="O2324" s="25" t="s">
        <v>27</v>
      </c>
      <c r="P2324" s="25" t="s">
        <v>32</v>
      </c>
    </row>
    <row r="2325" spans="1:16" x14ac:dyDescent="0.3">
      <c r="A2325" s="25">
        <v>2324</v>
      </c>
      <c r="B2325" s="26">
        <v>45683</v>
      </c>
      <c r="C2325" s="25" t="s">
        <v>70</v>
      </c>
      <c r="D2325" s="25" t="s">
        <v>22</v>
      </c>
      <c r="E2325" s="25" t="s">
        <v>92</v>
      </c>
      <c r="F2325" s="25">
        <v>2</v>
      </c>
      <c r="G2325" s="25" t="s">
        <v>91</v>
      </c>
      <c r="H2325" s="25">
        <v>260</v>
      </c>
      <c r="I2325" s="25">
        <v>220</v>
      </c>
      <c r="J2325" s="25">
        <v>520</v>
      </c>
      <c r="K2325" s="25">
        <v>440</v>
      </c>
      <c r="L2325" s="25">
        <v>80</v>
      </c>
      <c r="M2325" s="27">
        <v>18.181818181818201</v>
      </c>
      <c r="N2325" s="25" t="s">
        <v>55</v>
      </c>
      <c r="O2325" s="25" t="s">
        <v>28</v>
      </c>
      <c r="P2325" s="25" t="s">
        <v>32</v>
      </c>
    </row>
    <row r="2326" spans="1:16" x14ac:dyDescent="0.3">
      <c r="A2326" s="25">
        <v>2325</v>
      </c>
      <c r="B2326" s="26">
        <v>45684</v>
      </c>
      <c r="C2326" s="25" t="s">
        <v>70</v>
      </c>
      <c r="D2326" s="25" t="s">
        <v>22</v>
      </c>
      <c r="E2326" s="25" t="s">
        <v>101</v>
      </c>
      <c r="F2326" s="25">
        <v>12</v>
      </c>
      <c r="G2326" s="25" t="s">
        <v>102</v>
      </c>
      <c r="H2326" s="25">
        <v>6</v>
      </c>
      <c r="I2326" s="25">
        <v>4</v>
      </c>
      <c r="J2326" s="25">
        <v>72</v>
      </c>
      <c r="K2326" s="25">
        <v>48</v>
      </c>
      <c r="L2326" s="25">
        <v>24</v>
      </c>
      <c r="M2326" s="27">
        <v>50</v>
      </c>
      <c r="N2326" s="25" t="s">
        <v>55</v>
      </c>
      <c r="O2326" s="25" t="s">
        <v>28</v>
      </c>
      <c r="P2326" s="25" t="s">
        <v>32</v>
      </c>
    </row>
    <row r="2327" spans="1:16" x14ac:dyDescent="0.3">
      <c r="A2327" s="25">
        <v>2326</v>
      </c>
      <c r="B2327" s="26">
        <v>45684</v>
      </c>
      <c r="C2327" s="25" t="s">
        <v>70</v>
      </c>
      <c r="D2327" s="25" t="s">
        <v>21</v>
      </c>
      <c r="E2327" s="25" t="s">
        <v>88</v>
      </c>
      <c r="F2327" s="25">
        <v>2</v>
      </c>
      <c r="G2327" s="25" t="s">
        <v>89</v>
      </c>
      <c r="H2327" s="25">
        <v>130</v>
      </c>
      <c r="I2327" s="25">
        <v>100</v>
      </c>
      <c r="J2327" s="25">
        <v>260</v>
      </c>
      <c r="K2327" s="25">
        <v>200</v>
      </c>
      <c r="L2327" s="25">
        <v>60</v>
      </c>
      <c r="M2327" s="27">
        <v>30</v>
      </c>
      <c r="N2327" s="25" t="s">
        <v>55</v>
      </c>
      <c r="O2327" s="25" t="s">
        <v>27</v>
      </c>
      <c r="P2327" s="25" t="s">
        <v>32</v>
      </c>
    </row>
    <row r="2328" spans="1:16" x14ac:dyDescent="0.3">
      <c r="A2328" s="25">
        <v>2327</v>
      </c>
      <c r="B2328" s="26">
        <v>45684</v>
      </c>
      <c r="C2328" s="25" t="s">
        <v>70</v>
      </c>
      <c r="D2328" s="25" t="s">
        <v>21</v>
      </c>
      <c r="E2328" s="25" t="s">
        <v>88</v>
      </c>
      <c r="F2328" s="25">
        <v>3</v>
      </c>
      <c r="G2328" s="25" t="s">
        <v>89</v>
      </c>
      <c r="H2328" s="25">
        <v>130</v>
      </c>
      <c r="I2328" s="25">
        <v>100</v>
      </c>
      <c r="J2328" s="25">
        <v>390</v>
      </c>
      <c r="K2328" s="25">
        <v>300</v>
      </c>
      <c r="L2328" s="25">
        <v>90</v>
      </c>
      <c r="M2328" s="27">
        <v>30</v>
      </c>
      <c r="N2328" s="25" t="s">
        <v>55</v>
      </c>
      <c r="O2328" s="25" t="s">
        <v>27</v>
      </c>
      <c r="P2328" s="25" t="s">
        <v>32</v>
      </c>
    </row>
    <row r="2329" spans="1:16" x14ac:dyDescent="0.3">
      <c r="A2329" s="25">
        <v>2328</v>
      </c>
      <c r="B2329" s="26">
        <v>45684</v>
      </c>
      <c r="C2329" s="25" t="s">
        <v>70</v>
      </c>
      <c r="D2329" s="25" t="s">
        <v>22</v>
      </c>
      <c r="E2329" s="25" t="s">
        <v>92</v>
      </c>
      <c r="F2329" s="25">
        <v>1</v>
      </c>
      <c r="G2329" s="25" t="s">
        <v>91</v>
      </c>
      <c r="H2329" s="25">
        <v>260</v>
      </c>
      <c r="I2329" s="25">
        <v>220</v>
      </c>
      <c r="J2329" s="25">
        <v>260</v>
      </c>
      <c r="K2329" s="25">
        <v>220</v>
      </c>
      <c r="L2329" s="25">
        <v>40</v>
      </c>
      <c r="M2329" s="27">
        <v>18.181818181818201</v>
      </c>
      <c r="N2329" s="25" t="s">
        <v>55</v>
      </c>
      <c r="O2329" s="25" t="s">
        <v>28</v>
      </c>
      <c r="P2329" s="25" t="s">
        <v>32</v>
      </c>
    </row>
    <row r="2330" spans="1:16" x14ac:dyDescent="0.3">
      <c r="A2330" s="25">
        <v>2329</v>
      </c>
      <c r="B2330" s="26">
        <v>45684</v>
      </c>
      <c r="C2330" s="25" t="s">
        <v>70</v>
      </c>
      <c r="D2330" s="25" t="s">
        <v>22</v>
      </c>
      <c r="E2330" s="25" t="s">
        <v>101</v>
      </c>
      <c r="F2330" s="25">
        <v>6</v>
      </c>
      <c r="G2330" s="25" t="s">
        <v>102</v>
      </c>
      <c r="H2330" s="25">
        <v>6</v>
      </c>
      <c r="I2330" s="25">
        <v>4</v>
      </c>
      <c r="J2330" s="25">
        <v>36</v>
      </c>
      <c r="K2330" s="25">
        <v>24</v>
      </c>
      <c r="L2330" s="25">
        <v>12</v>
      </c>
      <c r="M2330" s="27">
        <v>50</v>
      </c>
      <c r="N2330" s="25" t="s">
        <v>55</v>
      </c>
      <c r="O2330" s="25" t="s">
        <v>28</v>
      </c>
      <c r="P2330" s="25" t="s">
        <v>32</v>
      </c>
    </row>
    <row r="2331" spans="1:16" x14ac:dyDescent="0.3">
      <c r="A2331" s="25">
        <v>2330</v>
      </c>
      <c r="B2331" s="26">
        <v>45684</v>
      </c>
      <c r="C2331" s="25" t="s">
        <v>70</v>
      </c>
      <c r="D2331" s="25" t="s">
        <v>22</v>
      </c>
      <c r="E2331" s="25" t="s">
        <v>90</v>
      </c>
      <c r="F2331" s="25">
        <v>0.25</v>
      </c>
      <c r="G2331" s="25" t="s">
        <v>91</v>
      </c>
      <c r="H2331" s="25">
        <v>280</v>
      </c>
      <c r="I2331" s="25">
        <v>240</v>
      </c>
      <c r="J2331" s="25">
        <v>70</v>
      </c>
      <c r="K2331" s="25">
        <v>60</v>
      </c>
      <c r="L2331" s="25">
        <v>10</v>
      </c>
      <c r="M2331" s="27">
        <v>16.6666666666667</v>
      </c>
      <c r="N2331" s="25" t="s">
        <v>55</v>
      </c>
      <c r="O2331" s="25" t="s">
        <v>28</v>
      </c>
      <c r="P2331" s="25" t="s">
        <v>32</v>
      </c>
    </row>
    <row r="2332" spans="1:16" x14ac:dyDescent="0.3">
      <c r="A2332" s="25">
        <v>2331</v>
      </c>
      <c r="B2332" s="26">
        <v>45684</v>
      </c>
      <c r="C2332" s="25" t="s">
        <v>70</v>
      </c>
      <c r="D2332" s="25" t="s">
        <v>22</v>
      </c>
      <c r="E2332" s="25" t="s">
        <v>96</v>
      </c>
      <c r="F2332" s="25">
        <v>1</v>
      </c>
      <c r="G2332" s="25" t="s">
        <v>97</v>
      </c>
      <c r="H2332" s="25">
        <v>300</v>
      </c>
      <c r="I2332" s="25">
        <v>265</v>
      </c>
      <c r="J2332" s="25">
        <v>300</v>
      </c>
      <c r="K2332" s="25">
        <v>265</v>
      </c>
      <c r="L2332" s="25">
        <v>35</v>
      </c>
      <c r="M2332" s="27">
        <v>13.207547169811299</v>
      </c>
      <c r="N2332" s="25" t="s">
        <v>55</v>
      </c>
      <c r="O2332" s="25" t="s">
        <v>28</v>
      </c>
      <c r="P2332" s="25" t="s">
        <v>32</v>
      </c>
    </row>
    <row r="2333" spans="1:16" x14ac:dyDescent="0.3">
      <c r="A2333" s="25">
        <v>2332</v>
      </c>
      <c r="B2333" s="26">
        <v>45684</v>
      </c>
      <c r="C2333" s="25" t="s">
        <v>70</v>
      </c>
      <c r="D2333" s="25" t="s">
        <v>22</v>
      </c>
      <c r="E2333" s="25" t="s">
        <v>103</v>
      </c>
      <c r="F2333" s="25">
        <v>1</v>
      </c>
      <c r="G2333" s="25" t="s">
        <v>102</v>
      </c>
      <c r="H2333" s="25">
        <v>30</v>
      </c>
      <c r="I2333" s="25">
        <v>20</v>
      </c>
      <c r="J2333" s="25">
        <v>30</v>
      </c>
      <c r="K2333" s="25">
        <v>20</v>
      </c>
      <c r="L2333" s="25">
        <v>10</v>
      </c>
      <c r="M2333" s="27">
        <v>50</v>
      </c>
      <c r="N2333" s="25" t="s">
        <v>55</v>
      </c>
      <c r="O2333" s="25" t="s">
        <v>28</v>
      </c>
      <c r="P2333" s="25" t="s">
        <v>32</v>
      </c>
    </row>
    <row r="2334" spans="1:16" x14ac:dyDescent="0.3">
      <c r="A2334" s="25">
        <v>2333</v>
      </c>
      <c r="B2334" s="26">
        <v>45684</v>
      </c>
      <c r="C2334" s="25" t="s">
        <v>70</v>
      </c>
      <c r="D2334" s="25" t="s">
        <v>22</v>
      </c>
      <c r="E2334" s="25" t="s">
        <v>101</v>
      </c>
      <c r="F2334" s="25">
        <v>6</v>
      </c>
      <c r="G2334" s="25" t="s">
        <v>102</v>
      </c>
      <c r="H2334" s="25">
        <v>6</v>
      </c>
      <c r="I2334" s="25">
        <v>4</v>
      </c>
      <c r="J2334" s="25">
        <v>36</v>
      </c>
      <c r="K2334" s="25">
        <v>24</v>
      </c>
      <c r="L2334" s="25">
        <v>12</v>
      </c>
      <c r="M2334" s="27">
        <v>50</v>
      </c>
      <c r="N2334" s="25" t="s">
        <v>55</v>
      </c>
      <c r="O2334" s="25" t="s">
        <v>28</v>
      </c>
      <c r="P2334" s="25" t="s">
        <v>32</v>
      </c>
    </row>
    <row r="2335" spans="1:16" x14ac:dyDescent="0.3">
      <c r="A2335" s="25">
        <v>2334</v>
      </c>
      <c r="B2335" s="26">
        <v>45685</v>
      </c>
      <c r="C2335" s="25" t="s">
        <v>70</v>
      </c>
      <c r="D2335" s="25" t="s">
        <v>21</v>
      </c>
      <c r="E2335" s="25" t="s">
        <v>88</v>
      </c>
      <c r="F2335" s="25">
        <v>5</v>
      </c>
      <c r="G2335" s="25" t="s">
        <v>89</v>
      </c>
      <c r="H2335" s="25">
        <v>130</v>
      </c>
      <c r="I2335" s="25">
        <v>100</v>
      </c>
      <c r="J2335" s="25">
        <v>650</v>
      </c>
      <c r="K2335" s="25">
        <v>500</v>
      </c>
      <c r="L2335" s="25">
        <v>150</v>
      </c>
      <c r="M2335" s="27">
        <v>30</v>
      </c>
      <c r="N2335" s="25" t="s">
        <v>55</v>
      </c>
      <c r="O2335" s="25" t="s">
        <v>27</v>
      </c>
      <c r="P2335" s="25" t="s">
        <v>33</v>
      </c>
    </row>
    <row r="2336" spans="1:16" x14ac:dyDescent="0.3">
      <c r="A2336" s="25">
        <v>2335</v>
      </c>
      <c r="B2336" s="26">
        <v>45685</v>
      </c>
      <c r="C2336" s="25" t="s">
        <v>70</v>
      </c>
      <c r="D2336" s="25" t="s">
        <v>22</v>
      </c>
      <c r="E2336" s="25" t="s">
        <v>96</v>
      </c>
      <c r="F2336" s="25">
        <v>1</v>
      </c>
      <c r="G2336" s="25" t="s">
        <v>97</v>
      </c>
      <c r="H2336" s="25">
        <v>300</v>
      </c>
      <c r="I2336" s="25">
        <v>265</v>
      </c>
      <c r="J2336" s="25">
        <v>300</v>
      </c>
      <c r="K2336" s="25">
        <v>265</v>
      </c>
      <c r="L2336" s="25">
        <v>35</v>
      </c>
      <c r="M2336" s="27">
        <v>13.207547169811299</v>
      </c>
      <c r="N2336" s="25" t="s">
        <v>55</v>
      </c>
      <c r="O2336" s="25" t="s">
        <v>28</v>
      </c>
      <c r="P2336" s="25" t="s">
        <v>32</v>
      </c>
    </row>
    <row r="2337" spans="1:16" x14ac:dyDescent="0.3">
      <c r="A2337" s="25">
        <v>2336</v>
      </c>
      <c r="B2337" s="26">
        <v>45685</v>
      </c>
      <c r="C2337" s="25" t="s">
        <v>70</v>
      </c>
      <c r="D2337" s="25" t="s">
        <v>22</v>
      </c>
      <c r="E2337" s="25" t="s">
        <v>92</v>
      </c>
      <c r="F2337" s="25">
        <v>1</v>
      </c>
      <c r="G2337" s="25" t="s">
        <v>91</v>
      </c>
      <c r="H2337" s="25">
        <v>260</v>
      </c>
      <c r="I2337" s="25">
        <v>220</v>
      </c>
      <c r="J2337" s="25">
        <v>260</v>
      </c>
      <c r="K2337" s="25">
        <v>220</v>
      </c>
      <c r="L2337" s="25">
        <v>40</v>
      </c>
      <c r="M2337" s="27">
        <v>18.181818181818201</v>
      </c>
      <c r="N2337" s="25" t="s">
        <v>55</v>
      </c>
      <c r="O2337" s="25" t="s">
        <v>28</v>
      </c>
      <c r="P2337" s="25" t="s">
        <v>32</v>
      </c>
    </row>
    <row r="2338" spans="1:16" x14ac:dyDescent="0.3">
      <c r="A2338" s="25">
        <v>2337</v>
      </c>
      <c r="B2338" s="26">
        <v>45685</v>
      </c>
      <c r="C2338" s="25" t="s">
        <v>70</v>
      </c>
      <c r="D2338" s="25" t="s">
        <v>21</v>
      </c>
      <c r="E2338" s="25" t="s">
        <v>88</v>
      </c>
      <c r="F2338" s="25">
        <v>3</v>
      </c>
      <c r="G2338" s="25" t="s">
        <v>89</v>
      </c>
      <c r="H2338" s="25">
        <v>130</v>
      </c>
      <c r="I2338" s="25">
        <v>100</v>
      </c>
      <c r="J2338" s="25">
        <v>390</v>
      </c>
      <c r="K2338" s="25">
        <v>300</v>
      </c>
      <c r="L2338" s="25">
        <v>90</v>
      </c>
      <c r="M2338" s="27">
        <v>30</v>
      </c>
      <c r="N2338" s="25" t="s">
        <v>55</v>
      </c>
      <c r="O2338" s="25" t="s">
        <v>27</v>
      </c>
      <c r="P2338" s="25" t="s">
        <v>32</v>
      </c>
    </row>
    <row r="2339" spans="1:16" x14ac:dyDescent="0.3">
      <c r="A2339" s="25">
        <v>2338</v>
      </c>
      <c r="B2339" s="26">
        <v>45685</v>
      </c>
      <c r="C2339" s="25" t="s">
        <v>70</v>
      </c>
      <c r="D2339" s="25" t="s">
        <v>22</v>
      </c>
      <c r="E2339" s="25" t="s">
        <v>92</v>
      </c>
      <c r="F2339" s="25">
        <v>2.5</v>
      </c>
      <c r="G2339" s="25" t="s">
        <v>91</v>
      </c>
      <c r="H2339" s="25">
        <v>260</v>
      </c>
      <c r="I2339" s="25">
        <v>220</v>
      </c>
      <c r="J2339" s="25">
        <v>650</v>
      </c>
      <c r="K2339" s="25">
        <v>550</v>
      </c>
      <c r="L2339" s="25">
        <v>100</v>
      </c>
      <c r="M2339" s="27">
        <v>18.181818181818201</v>
      </c>
      <c r="N2339" s="25" t="s">
        <v>55</v>
      </c>
      <c r="O2339" s="25" t="s">
        <v>28</v>
      </c>
      <c r="P2339" s="25" t="s">
        <v>33</v>
      </c>
    </row>
    <row r="2340" spans="1:16" x14ac:dyDescent="0.3">
      <c r="A2340" s="25">
        <v>2339</v>
      </c>
      <c r="B2340" s="26">
        <v>45685</v>
      </c>
      <c r="C2340" s="25" t="s">
        <v>70</v>
      </c>
      <c r="D2340" s="25" t="s">
        <v>21</v>
      </c>
      <c r="E2340" s="25" t="s">
        <v>88</v>
      </c>
      <c r="F2340" s="25">
        <v>3</v>
      </c>
      <c r="G2340" s="25" t="s">
        <v>89</v>
      </c>
      <c r="H2340" s="25">
        <v>130</v>
      </c>
      <c r="I2340" s="25">
        <v>100</v>
      </c>
      <c r="J2340" s="25">
        <v>390</v>
      </c>
      <c r="K2340" s="25">
        <v>300</v>
      </c>
      <c r="L2340" s="25">
        <v>90</v>
      </c>
      <c r="M2340" s="27">
        <v>30</v>
      </c>
      <c r="N2340" s="25" t="s">
        <v>55</v>
      </c>
      <c r="O2340" s="25" t="s">
        <v>27</v>
      </c>
      <c r="P2340" s="25" t="s">
        <v>32</v>
      </c>
    </row>
    <row r="2341" spans="1:16" x14ac:dyDescent="0.3">
      <c r="A2341" s="25">
        <v>2340</v>
      </c>
      <c r="B2341" s="26">
        <v>45685</v>
      </c>
      <c r="C2341" s="25" t="s">
        <v>70</v>
      </c>
      <c r="D2341" s="25" t="s">
        <v>22</v>
      </c>
      <c r="E2341" s="25" t="s">
        <v>90</v>
      </c>
      <c r="F2341" s="25">
        <v>2</v>
      </c>
      <c r="G2341" s="25" t="s">
        <v>91</v>
      </c>
      <c r="H2341" s="25">
        <v>280</v>
      </c>
      <c r="I2341" s="25">
        <v>240</v>
      </c>
      <c r="J2341" s="25">
        <v>560</v>
      </c>
      <c r="K2341" s="25">
        <v>480</v>
      </c>
      <c r="L2341" s="25">
        <v>80</v>
      </c>
      <c r="M2341" s="27">
        <v>16.6666666666667</v>
      </c>
      <c r="N2341" s="25" t="s">
        <v>55</v>
      </c>
      <c r="O2341" s="25" t="s">
        <v>28</v>
      </c>
      <c r="P2341" s="25" t="s">
        <v>32</v>
      </c>
    </row>
    <row r="2342" spans="1:16" x14ac:dyDescent="0.3">
      <c r="A2342" s="25">
        <v>2341</v>
      </c>
      <c r="B2342" s="26">
        <v>45685</v>
      </c>
      <c r="C2342" s="25" t="s">
        <v>70</v>
      </c>
      <c r="D2342" s="25" t="s">
        <v>22</v>
      </c>
      <c r="E2342" s="25" t="s">
        <v>99</v>
      </c>
      <c r="F2342" s="25">
        <v>1</v>
      </c>
      <c r="G2342" s="25" t="s">
        <v>100</v>
      </c>
      <c r="H2342" s="25">
        <v>200</v>
      </c>
      <c r="I2342" s="25">
        <v>160</v>
      </c>
      <c r="J2342" s="25">
        <v>200</v>
      </c>
      <c r="K2342" s="25">
        <v>160</v>
      </c>
      <c r="L2342" s="25">
        <v>40</v>
      </c>
      <c r="M2342" s="27">
        <v>25</v>
      </c>
      <c r="N2342" s="25" t="s">
        <v>55</v>
      </c>
      <c r="O2342" s="25" t="s">
        <v>28</v>
      </c>
      <c r="P2342" s="25" t="s">
        <v>32</v>
      </c>
    </row>
    <row r="2343" spans="1:16" x14ac:dyDescent="0.3">
      <c r="A2343" s="25">
        <v>2342</v>
      </c>
      <c r="B2343" s="26">
        <v>45686</v>
      </c>
      <c r="C2343" s="25" t="s">
        <v>70</v>
      </c>
      <c r="D2343" s="25" t="s">
        <v>22</v>
      </c>
      <c r="E2343" s="25" t="s">
        <v>101</v>
      </c>
      <c r="F2343" s="25">
        <v>10</v>
      </c>
      <c r="G2343" s="25" t="s">
        <v>102</v>
      </c>
      <c r="H2343" s="25">
        <v>6</v>
      </c>
      <c r="I2343" s="25">
        <v>4</v>
      </c>
      <c r="J2343" s="25">
        <v>60</v>
      </c>
      <c r="K2343" s="25">
        <v>40</v>
      </c>
      <c r="L2343" s="25">
        <v>20</v>
      </c>
      <c r="M2343" s="27">
        <v>50</v>
      </c>
      <c r="N2343" s="25" t="s">
        <v>55</v>
      </c>
      <c r="O2343" s="25" t="s">
        <v>28</v>
      </c>
      <c r="P2343" s="25" t="s">
        <v>32</v>
      </c>
    </row>
    <row r="2344" spans="1:16" x14ac:dyDescent="0.3">
      <c r="A2344" s="25">
        <v>2343</v>
      </c>
      <c r="B2344" s="26">
        <v>45686</v>
      </c>
      <c r="C2344" s="25" t="s">
        <v>70</v>
      </c>
      <c r="D2344" s="25" t="s">
        <v>22</v>
      </c>
      <c r="E2344" s="25" t="s">
        <v>103</v>
      </c>
      <c r="F2344" s="25">
        <v>2</v>
      </c>
      <c r="G2344" s="25" t="s">
        <v>102</v>
      </c>
      <c r="H2344" s="25">
        <v>30</v>
      </c>
      <c r="I2344" s="25">
        <v>20</v>
      </c>
      <c r="J2344" s="25">
        <v>60</v>
      </c>
      <c r="K2344" s="25">
        <v>40</v>
      </c>
      <c r="L2344" s="25">
        <v>20</v>
      </c>
      <c r="M2344" s="27">
        <v>50</v>
      </c>
      <c r="N2344" s="25" t="s">
        <v>55</v>
      </c>
      <c r="O2344" s="25" t="s">
        <v>28</v>
      </c>
      <c r="P2344" s="25" t="s">
        <v>32</v>
      </c>
    </row>
    <row r="2345" spans="1:16" x14ac:dyDescent="0.3">
      <c r="A2345" s="25">
        <v>2344</v>
      </c>
      <c r="B2345" s="26">
        <v>45686</v>
      </c>
      <c r="C2345" s="25" t="s">
        <v>70</v>
      </c>
      <c r="D2345" s="25" t="s">
        <v>22</v>
      </c>
      <c r="E2345" s="25" t="s">
        <v>96</v>
      </c>
      <c r="F2345" s="25">
        <v>1</v>
      </c>
      <c r="G2345" s="25" t="s">
        <v>97</v>
      </c>
      <c r="H2345" s="25">
        <v>300</v>
      </c>
      <c r="I2345" s="25">
        <v>265</v>
      </c>
      <c r="J2345" s="25">
        <v>300</v>
      </c>
      <c r="K2345" s="25">
        <v>265</v>
      </c>
      <c r="L2345" s="25">
        <v>35</v>
      </c>
      <c r="M2345" s="27">
        <v>13.207547169811299</v>
      </c>
      <c r="N2345" s="25" t="s">
        <v>55</v>
      </c>
      <c r="O2345" s="25" t="s">
        <v>28</v>
      </c>
      <c r="P2345" s="25" t="s">
        <v>32</v>
      </c>
    </row>
    <row r="2346" spans="1:16" x14ac:dyDescent="0.3">
      <c r="A2346" s="25">
        <v>2345</v>
      </c>
      <c r="B2346" s="26">
        <v>45686</v>
      </c>
      <c r="C2346" s="25" t="s">
        <v>70</v>
      </c>
      <c r="D2346" s="25" t="s">
        <v>22</v>
      </c>
      <c r="E2346" s="25" t="s">
        <v>92</v>
      </c>
      <c r="F2346" s="25">
        <v>1.25</v>
      </c>
      <c r="G2346" s="25" t="s">
        <v>91</v>
      </c>
      <c r="H2346" s="25">
        <v>260</v>
      </c>
      <c r="I2346" s="25">
        <v>220</v>
      </c>
      <c r="J2346" s="25">
        <v>325</v>
      </c>
      <c r="K2346" s="25">
        <v>275</v>
      </c>
      <c r="L2346" s="25">
        <v>50</v>
      </c>
      <c r="M2346" s="27">
        <v>18.181818181818201</v>
      </c>
      <c r="N2346" s="25" t="s">
        <v>55</v>
      </c>
      <c r="O2346" s="25" t="s">
        <v>28</v>
      </c>
      <c r="P2346" s="25" t="s">
        <v>32</v>
      </c>
    </row>
    <row r="2347" spans="1:16" x14ac:dyDescent="0.3">
      <c r="A2347" s="25">
        <v>2346</v>
      </c>
      <c r="B2347" s="26">
        <v>45686</v>
      </c>
      <c r="C2347" s="25" t="s">
        <v>70</v>
      </c>
      <c r="D2347" s="25" t="s">
        <v>21</v>
      </c>
      <c r="E2347" s="25" t="s">
        <v>88</v>
      </c>
      <c r="F2347" s="25">
        <v>5</v>
      </c>
      <c r="G2347" s="25" t="s">
        <v>89</v>
      </c>
      <c r="H2347" s="25">
        <v>130</v>
      </c>
      <c r="I2347" s="25">
        <v>100</v>
      </c>
      <c r="J2347" s="25">
        <v>650</v>
      </c>
      <c r="K2347" s="25">
        <v>500</v>
      </c>
      <c r="L2347" s="25">
        <v>150</v>
      </c>
      <c r="M2347" s="27">
        <v>30</v>
      </c>
      <c r="N2347" s="25" t="s">
        <v>55</v>
      </c>
      <c r="O2347" s="25" t="s">
        <v>27</v>
      </c>
      <c r="P2347" s="25" t="s">
        <v>32</v>
      </c>
    </row>
    <row r="2348" spans="1:16" x14ac:dyDescent="0.3">
      <c r="A2348" s="25">
        <v>2347</v>
      </c>
      <c r="B2348" s="26">
        <v>45686</v>
      </c>
      <c r="C2348" s="25" t="s">
        <v>70</v>
      </c>
      <c r="D2348" s="25" t="s">
        <v>22</v>
      </c>
      <c r="E2348" s="25" t="s">
        <v>92</v>
      </c>
      <c r="F2348" s="25">
        <v>2.5</v>
      </c>
      <c r="G2348" s="25" t="s">
        <v>91</v>
      </c>
      <c r="H2348" s="25">
        <v>260</v>
      </c>
      <c r="I2348" s="25">
        <v>220</v>
      </c>
      <c r="J2348" s="25">
        <v>650</v>
      </c>
      <c r="K2348" s="25">
        <v>550</v>
      </c>
      <c r="L2348" s="25">
        <v>100</v>
      </c>
      <c r="M2348" s="27">
        <v>18.181818181818201</v>
      </c>
      <c r="N2348" s="25" t="s">
        <v>55</v>
      </c>
      <c r="O2348" s="25" t="s">
        <v>28</v>
      </c>
      <c r="P2348" s="25" t="s">
        <v>32</v>
      </c>
    </row>
    <row r="2349" spans="1:16" x14ac:dyDescent="0.3">
      <c r="A2349" s="25">
        <v>2348</v>
      </c>
      <c r="B2349" s="26">
        <v>45686</v>
      </c>
      <c r="C2349" s="25" t="s">
        <v>70</v>
      </c>
      <c r="D2349" s="25" t="s">
        <v>21</v>
      </c>
      <c r="E2349" s="25" t="s">
        <v>88</v>
      </c>
      <c r="F2349" s="25">
        <v>6</v>
      </c>
      <c r="G2349" s="25" t="s">
        <v>89</v>
      </c>
      <c r="H2349" s="25">
        <v>130</v>
      </c>
      <c r="I2349" s="25">
        <v>100</v>
      </c>
      <c r="J2349" s="25">
        <v>780</v>
      </c>
      <c r="K2349" s="25">
        <v>600</v>
      </c>
      <c r="L2349" s="25">
        <v>180</v>
      </c>
      <c r="M2349" s="27">
        <v>30</v>
      </c>
      <c r="N2349" s="25" t="s">
        <v>55</v>
      </c>
      <c r="O2349" s="25" t="s">
        <v>27</v>
      </c>
      <c r="P2349" s="25" t="s">
        <v>32</v>
      </c>
    </row>
    <row r="2350" spans="1:16" x14ac:dyDescent="0.3">
      <c r="A2350" s="25">
        <v>2349</v>
      </c>
      <c r="B2350" s="26">
        <v>45686</v>
      </c>
      <c r="C2350" s="25" t="s">
        <v>70</v>
      </c>
      <c r="D2350" s="25" t="s">
        <v>22</v>
      </c>
      <c r="E2350" s="25" t="s">
        <v>90</v>
      </c>
      <c r="F2350" s="25">
        <v>2</v>
      </c>
      <c r="G2350" s="25" t="s">
        <v>91</v>
      </c>
      <c r="H2350" s="25">
        <v>280</v>
      </c>
      <c r="I2350" s="25">
        <v>240</v>
      </c>
      <c r="J2350" s="25">
        <v>560</v>
      </c>
      <c r="K2350" s="25">
        <v>480</v>
      </c>
      <c r="L2350" s="25">
        <v>80</v>
      </c>
      <c r="M2350" s="27">
        <v>16.6666666666667</v>
      </c>
      <c r="N2350" s="25" t="s">
        <v>55</v>
      </c>
      <c r="O2350" s="25" t="s">
        <v>28</v>
      </c>
      <c r="P2350" s="25" t="s">
        <v>32</v>
      </c>
    </row>
    <row r="2351" spans="1:16" x14ac:dyDescent="0.3">
      <c r="A2351" s="25">
        <v>2350</v>
      </c>
      <c r="B2351" s="26">
        <v>45686</v>
      </c>
      <c r="C2351" s="25" t="s">
        <v>70</v>
      </c>
      <c r="D2351" s="25" t="s">
        <v>22</v>
      </c>
      <c r="E2351" s="25" t="s">
        <v>92</v>
      </c>
      <c r="F2351" s="25">
        <v>1</v>
      </c>
      <c r="G2351" s="25" t="s">
        <v>91</v>
      </c>
      <c r="H2351" s="25">
        <v>260</v>
      </c>
      <c r="I2351" s="25">
        <v>220</v>
      </c>
      <c r="J2351" s="25">
        <v>260</v>
      </c>
      <c r="K2351" s="25">
        <v>220</v>
      </c>
      <c r="L2351" s="25">
        <v>40</v>
      </c>
      <c r="M2351" s="27">
        <v>18.181818181818201</v>
      </c>
      <c r="N2351" s="25" t="s">
        <v>55</v>
      </c>
      <c r="O2351" s="25" t="s">
        <v>28</v>
      </c>
      <c r="P2351" s="25" t="s">
        <v>32</v>
      </c>
    </row>
    <row r="2352" spans="1:16" x14ac:dyDescent="0.3">
      <c r="A2352" s="25">
        <v>2351</v>
      </c>
      <c r="B2352" s="26">
        <v>45687</v>
      </c>
      <c r="C2352" s="25" t="s">
        <v>70</v>
      </c>
      <c r="D2352" s="25" t="s">
        <v>22</v>
      </c>
      <c r="E2352" s="25" t="s">
        <v>103</v>
      </c>
      <c r="F2352" s="25">
        <v>1</v>
      </c>
      <c r="G2352" s="25" t="s">
        <v>102</v>
      </c>
      <c r="H2352" s="25">
        <v>30</v>
      </c>
      <c r="I2352" s="25">
        <v>20</v>
      </c>
      <c r="J2352" s="25">
        <v>30</v>
      </c>
      <c r="K2352" s="25">
        <v>20</v>
      </c>
      <c r="L2352" s="25">
        <v>10</v>
      </c>
      <c r="M2352" s="27">
        <v>50</v>
      </c>
      <c r="N2352" s="25" t="s">
        <v>55</v>
      </c>
      <c r="O2352" s="25" t="s">
        <v>28</v>
      </c>
      <c r="P2352" s="25" t="s">
        <v>32</v>
      </c>
    </row>
    <row r="2353" spans="1:16" x14ac:dyDescent="0.3">
      <c r="A2353" s="25">
        <v>2352</v>
      </c>
      <c r="B2353" s="26">
        <v>45687</v>
      </c>
      <c r="C2353" s="25" t="s">
        <v>70</v>
      </c>
      <c r="D2353" s="25" t="s">
        <v>22</v>
      </c>
      <c r="E2353" s="25" t="s">
        <v>101</v>
      </c>
      <c r="F2353" s="25">
        <v>7</v>
      </c>
      <c r="G2353" s="25" t="s">
        <v>102</v>
      </c>
      <c r="H2353" s="25">
        <v>6</v>
      </c>
      <c r="I2353" s="25">
        <v>4</v>
      </c>
      <c r="J2353" s="25">
        <v>42</v>
      </c>
      <c r="K2353" s="25">
        <v>28</v>
      </c>
      <c r="L2353" s="25">
        <v>14</v>
      </c>
      <c r="M2353" s="27">
        <v>50</v>
      </c>
      <c r="N2353" s="25" t="s">
        <v>55</v>
      </c>
      <c r="O2353" s="25" t="s">
        <v>28</v>
      </c>
      <c r="P2353" s="25" t="s">
        <v>32</v>
      </c>
    </row>
    <row r="2354" spans="1:16" x14ac:dyDescent="0.3">
      <c r="A2354" s="25">
        <v>2353</v>
      </c>
      <c r="B2354" s="26">
        <v>45687</v>
      </c>
      <c r="C2354" s="25" t="s">
        <v>70</v>
      </c>
      <c r="D2354" s="25" t="s">
        <v>22</v>
      </c>
      <c r="E2354" s="25" t="s">
        <v>90</v>
      </c>
      <c r="F2354" s="25">
        <v>1</v>
      </c>
      <c r="G2354" s="25" t="s">
        <v>91</v>
      </c>
      <c r="H2354" s="25">
        <v>280</v>
      </c>
      <c r="I2354" s="25">
        <v>240</v>
      </c>
      <c r="J2354" s="25">
        <v>280</v>
      </c>
      <c r="K2354" s="25">
        <v>240</v>
      </c>
      <c r="L2354" s="25">
        <v>40</v>
      </c>
      <c r="M2354" s="27">
        <v>16.6666666666667</v>
      </c>
      <c r="N2354" s="25" t="s">
        <v>55</v>
      </c>
      <c r="O2354" s="25" t="s">
        <v>28</v>
      </c>
      <c r="P2354" s="25" t="s">
        <v>32</v>
      </c>
    </row>
    <row r="2355" spans="1:16" x14ac:dyDescent="0.3">
      <c r="A2355" s="25">
        <v>2354</v>
      </c>
      <c r="B2355" s="26">
        <v>45687</v>
      </c>
      <c r="C2355" s="25" t="s">
        <v>70</v>
      </c>
      <c r="D2355" s="25" t="s">
        <v>22</v>
      </c>
      <c r="E2355" s="25" t="s">
        <v>96</v>
      </c>
      <c r="F2355" s="25">
        <v>0.5</v>
      </c>
      <c r="G2355" s="25" t="s">
        <v>97</v>
      </c>
      <c r="H2355" s="25">
        <v>300</v>
      </c>
      <c r="I2355" s="25">
        <v>265</v>
      </c>
      <c r="J2355" s="25">
        <v>150</v>
      </c>
      <c r="K2355" s="25">
        <v>132.5</v>
      </c>
      <c r="L2355" s="25">
        <v>17.5</v>
      </c>
      <c r="M2355" s="27">
        <v>13.207547169811299</v>
      </c>
      <c r="N2355" s="25" t="s">
        <v>55</v>
      </c>
      <c r="O2355" s="25" t="s">
        <v>28</v>
      </c>
      <c r="P2355" s="25" t="s">
        <v>32</v>
      </c>
    </row>
    <row r="2356" spans="1:16" x14ac:dyDescent="0.3">
      <c r="A2356" s="25">
        <v>2355</v>
      </c>
      <c r="B2356" s="26">
        <v>45687</v>
      </c>
      <c r="C2356" s="25" t="s">
        <v>70</v>
      </c>
      <c r="D2356" s="25" t="s">
        <v>22</v>
      </c>
      <c r="E2356" s="25" t="s">
        <v>92</v>
      </c>
      <c r="F2356" s="25">
        <v>1</v>
      </c>
      <c r="G2356" s="25" t="s">
        <v>91</v>
      </c>
      <c r="H2356" s="25">
        <v>260</v>
      </c>
      <c r="I2356" s="25">
        <v>220</v>
      </c>
      <c r="J2356" s="25">
        <v>260</v>
      </c>
      <c r="K2356" s="25">
        <v>220</v>
      </c>
      <c r="L2356" s="25">
        <v>40</v>
      </c>
      <c r="M2356" s="27">
        <v>18.181818181818201</v>
      </c>
      <c r="N2356" s="25" t="s">
        <v>55</v>
      </c>
      <c r="O2356" s="25" t="s">
        <v>28</v>
      </c>
      <c r="P2356" s="25" t="s">
        <v>32</v>
      </c>
    </row>
    <row r="2357" spans="1:16" x14ac:dyDescent="0.3">
      <c r="A2357" s="25">
        <v>2356</v>
      </c>
      <c r="B2357" s="26">
        <v>45687</v>
      </c>
      <c r="C2357" s="25" t="s">
        <v>70</v>
      </c>
      <c r="D2357" s="25" t="s">
        <v>22</v>
      </c>
      <c r="E2357" s="25" t="s">
        <v>103</v>
      </c>
      <c r="F2357" s="25">
        <v>1</v>
      </c>
      <c r="G2357" s="25" t="s">
        <v>102</v>
      </c>
      <c r="H2357" s="25">
        <v>30</v>
      </c>
      <c r="I2357" s="25">
        <v>20</v>
      </c>
      <c r="J2357" s="25">
        <v>30</v>
      </c>
      <c r="K2357" s="25">
        <v>20</v>
      </c>
      <c r="L2357" s="25">
        <v>10</v>
      </c>
      <c r="M2357" s="27">
        <v>50</v>
      </c>
      <c r="N2357" s="25" t="s">
        <v>55</v>
      </c>
      <c r="O2357" s="25" t="s">
        <v>28</v>
      </c>
      <c r="P2357" s="25" t="s">
        <v>32</v>
      </c>
    </row>
    <row r="2358" spans="1:16" x14ac:dyDescent="0.3">
      <c r="A2358" s="25">
        <v>2357</v>
      </c>
      <c r="B2358" s="26">
        <v>45687</v>
      </c>
      <c r="C2358" s="25" t="s">
        <v>70</v>
      </c>
      <c r="D2358" s="25" t="s">
        <v>21</v>
      </c>
      <c r="E2358" s="25" t="s">
        <v>88</v>
      </c>
      <c r="F2358" s="25">
        <v>4</v>
      </c>
      <c r="G2358" s="25" t="s">
        <v>89</v>
      </c>
      <c r="H2358" s="25">
        <v>130</v>
      </c>
      <c r="I2358" s="25">
        <v>100</v>
      </c>
      <c r="J2358" s="25">
        <v>520</v>
      </c>
      <c r="K2358" s="25">
        <v>400</v>
      </c>
      <c r="L2358" s="25">
        <v>120</v>
      </c>
      <c r="M2358" s="27">
        <v>30</v>
      </c>
      <c r="N2358" s="25" t="s">
        <v>55</v>
      </c>
      <c r="O2358" s="25" t="s">
        <v>27</v>
      </c>
      <c r="P2358" s="25" t="s">
        <v>32</v>
      </c>
    </row>
    <row r="2359" spans="1:16" x14ac:dyDescent="0.3">
      <c r="A2359" s="25">
        <v>2358</v>
      </c>
      <c r="B2359" s="26">
        <v>45687</v>
      </c>
      <c r="C2359" s="25" t="s">
        <v>70</v>
      </c>
      <c r="D2359" s="25" t="s">
        <v>22</v>
      </c>
      <c r="E2359" s="25" t="s">
        <v>92</v>
      </c>
      <c r="F2359" s="25">
        <v>1.25</v>
      </c>
      <c r="G2359" s="25" t="s">
        <v>91</v>
      </c>
      <c r="H2359" s="25">
        <v>260</v>
      </c>
      <c r="I2359" s="25">
        <v>220</v>
      </c>
      <c r="J2359" s="25">
        <v>325</v>
      </c>
      <c r="K2359" s="25">
        <v>275</v>
      </c>
      <c r="L2359" s="25">
        <v>50</v>
      </c>
      <c r="M2359" s="27">
        <v>18.181818181818201</v>
      </c>
      <c r="N2359" s="25" t="s">
        <v>55</v>
      </c>
      <c r="O2359" s="25" t="s">
        <v>28</v>
      </c>
      <c r="P2359" s="25" t="s">
        <v>32</v>
      </c>
    </row>
    <row r="2360" spans="1:16" x14ac:dyDescent="0.3">
      <c r="A2360" s="25">
        <v>2359</v>
      </c>
      <c r="B2360" s="26">
        <v>45687</v>
      </c>
      <c r="C2360" s="25" t="s">
        <v>70</v>
      </c>
      <c r="D2360" s="25" t="s">
        <v>22</v>
      </c>
      <c r="E2360" s="25" t="s">
        <v>90</v>
      </c>
      <c r="F2360" s="25">
        <v>0.25</v>
      </c>
      <c r="G2360" s="25" t="s">
        <v>91</v>
      </c>
      <c r="H2360" s="25">
        <v>280</v>
      </c>
      <c r="I2360" s="25">
        <v>240</v>
      </c>
      <c r="J2360" s="25">
        <v>70</v>
      </c>
      <c r="K2360" s="25">
        <v>60</v>
      </c>
      <c r="L2360" s="25">
        <v>10</v>
      </c>
      <c r="M2360" s="27">
        <v>16.6666666666667</v>
      </c>
      <c r="N2360" s="25" t="s">
        <v>55</v>
      </c>
      <c r="O2360" s="25" t="s">
        <v>28</v>
      </c>
      <c r="P2360" s="25" t="s">
        <v>32</v>
      </c>
    </row>
    <row r="2361" spans="1:16" x14ac:dyDescent="0.3">
      <c r="A2361" s="25">
        <v>2360</v>
      </c>
      <c r="B2361" s="26">
        <v>45687</v>
      </c>
      <c r="C2361" s="25" t="s">
        <v>70</v>
      </c>
      <c r="D2361" s="25" t="s">
        <v>22</v>
      </c>
      <c r="E2361" s="25" t="s">
        <v>101</v>
      </c>
      <c r="F2361" s="25">
        <v>6</v>
      </c>
      <c r="G2361" s="25" t="s">
        <v>102</v>
      </c>
      <c r="H2361" s="25">
        <v>6</v>
      </c>
      <c r="I2361" s="25">
        <v>4</v>
      </c>
      <c r="J2361" s="25">
        <v>36</v>
      </c>
      <c r="K2361" s="25">
        <v>24</v>
      </c>
      <c r="L2361" s="25">
        <v>12</v>
      </c>
      <c r="M2361" s="27">
        <v>50</v>
      </c>
      <c r="N2361" s="25" t="s">
        <v>55</v>
      </c>
      <c r="O2361" s="25" t="s">
        <v>28</v>
      </c>
      <c r="P2361" s="25" t="s">
        <v>32</v>
      </c>
    </row>
    <row r="2362" spans="1:16" x14ac:dyDescent="0.3">
      <c r="A2362" s="25">
        <v>2361</v>
      </c>
      <c r="B2362" s="26">
        <v>45687</v>
      </c>
      <c r="C2362" s="25" t="s">
        <v>70</v>
      </c>
      <c r="D2362" s="25" t="s">
        <v>21</v>
      </c>
      <c r="E2362" s="25" t="s">
        <v>88</v>
      </c>
      <c r="F2362" s="25">
        <v>3</v>
      </c>
      <c r="G2362" s="25" t="s">
        <v>89</v>
      </c>
      <c r="H2362" s="25">
        <v>130</v>
      </c>
      <c r="I2362" s="25">
        <v>100</v>
      </c>
      <c r="J2362" s="25">
        <v>390</v>
      </c>
      <c r="K2362" s="25">
        <v>300</v>
      </c>
      <c r="L2362" s="25">
        <v>90</v>
      </c>
      <c r="M2362" s="27">
        <v>30</v>
      </c>
      <c r="N2362" s="25" t="s">
        <v>55</v>
      </c>
      <c r="O2362" s="25" t="s">
        <v>27</v>
      </c>
      <c r="P2362" s="25" t="s">
        <v>32</v>
      </c>
    </row>
    <row r="2363" spans="1:16" x14ac:dyDescent="0.3">
      <c r="A2363" s="25">
        <v>2362</v>
      </c>
      <c r="B2363" s="26">
        <v>45687</v>
      </c>
      <c r="C2363" s="25" t="s">
        <v>70</v>
      </c>
      <c r="D2363" s="25" t="s">
        <v>22</v>
      </c>
      <c r="E2363" s="25" t="s">
        <v>90</v>
      </c>
      <c r="F2363" s="25">
        <v>2</v>
      </c>
      <c r="G2363" s="25" t="s">
        <v>91</v>
      </c>
      <c r="H2363" s="25">
        <v>280</v>
      </c>
      <c r="I2363" s="25">
        <v>240</v>
      </c>
      <c r="J2363" s="25">
        <v>560</v>
      </c>
      <c r="K2363" s="25">
        <v>480</v>
      </c>
      <c r="L2363" s="25">
        <v>80</v>
      </c>
      <c r="M2363" s="27">
        <v>16.6666666666667</v>
      </c>
      <c r="N2363" s="25" t="s">
        <v>55</v>
      </c>
      <c r="O2363" s="25" t="s">
        <v>28</v>
      </c>
      <c r="P2363" s="25" t="s">
        <v>33</v>
      </c>
    </row>
    <row r="2364" spans="1:16" x14ac:dyDescent="0.3">
      <c r="A2364" s="25">
        <v>2363</v>
      </c>
      <c r="B2364" s="26">
        <v>45687</v>
      </c>
      <c r="C2364" s="25" t="s">
        <v>70</v>
      </c>
      <c r="D2364" s="25" t="s">
        <v>21</v>
      </c>
      <c r="E2364" s="25" t="s">
        <v>88</v>
      </c>
      <c r="F2364" s="25">
        <v>2</v>
      </c>
      <c r="G2364" s="25" t="s">
        <v>89</v>
      </c>
      <c r="H2364" s="25">
        <v>130</v>
      </c>
      <c r="I2364" s="25">
        <v>100</v>
      </c>
      <c r="J2364" s="25">
        <v>260</v>
      </c>
      <c r="K2364" s="25">
        <v>200</v>
      </c>
      <c r="L2364" s="25">
        <v>60</v>
      </c>
      <c r="M2364" s="27">
        <v>30</v>
      </c>
      <c r="N2364" s="25" t="s">
        <v>55</v>
      </c>
      <c r="O2364" s="25" t="s">
        <v>27</v>
      </c>
      <c r="P2364" s="25" t="s">
        <v>32</v>
      </c>
    </row>
    <row r="2365" spans="1:16" x14ac:dyDescent="0.3">
      <c r="A2365" s="25">
        <v>2364</v>
      </c>
      <c r="B2365" s="26">
        <v>45687</v>
      </c>
      <c r="C2365" s="25" t="s">
        <v>70</v>
      </c>
      <c r="D2365" s="25" t="s">
        <v>21</v>
      </c>
      <c r="E2365" s="25" t="s">
        <v>88</v>
      </c>
      <c r="F2365" s="25">
        <v>2</v>
      </c>
      <c r="G2365" s="25" t="s">
        <v>89</v>
      </c>
      <c r="H2365" s="25">
        <v>130</v>
      </c>
      <c r="I2365" s="25">
        <v>100</v>
      </c>
      <c r="J2365" s="25">
        <v>260</v>
      </c>
      <c r="K2365" s="25">
        <v>200</v>
      </c>
      <c r="L2365" s="25">
        <v>60</v>
      </c>
      <c r="M2365" s="27">
        <v>30</v>
      </c>
      <c r="N2365" s="25" t="s">
        <v>55</v>
      </c>
      <c r="O2365" s="25" t="s">
        <v>27</v>
      </c>
      <c r="P2365" s="25" t="s">
        <v>32</v>
      </c>
    </row>
    <row r="2366" spans="1:16" x14ac:dyDescent="0.3">
      <c r="A2366" s="25">
        <v>2365</v>
      </c>
      <c r="B2366" s="26">
        <v>45687</v>
      </c>
      <c r="C2366" s="25" t="s">
        <v>70</v>
      </c>
      <c r="D2366" s="25" t="s">
        <v>22</v>
      </c>
      <c r="E2366" s="25" t="s">
        <v>90</v>
      </c>
      <c r="F2366" s="25">
        <v>1</v>
      </c>
      <c r="G2366" s="25" t="s">
        <v>91</v>
      </c>
      <c r="H2366" s="25">
        <v>280</v>
      </c>
      <c r="I2366" s="25">
        <v>240</v>
      </c>
      <c r="J2366" s="25">
        <v>280</v>
      </c>
      <c r="K2366" s="25">
        <v>240</v>
      </c>
      <c r="L2366" s="25">
        <v>40</v>
      </c>
      <c r="M2366" s="27">
        <v>16.6666666666667</v>
      </c>
      <c r="N2366" s="25" t="s">
        <v>55</v>
      </c>
      <c r="O2366" s="25" t="s">
        <v>28</v>
      </c>
      <c r="P2366" s="25" t="s">
        <v>32</v>
      </c>
    </row>
    <row r="2367" spans="1:16" x14ac:dyDescent="0.3">
      <c r="A2367" s="25">
        <v>2366</v>
      </c>
      <c r="B2367" s="26">
        <v>45687</v>
      </c>
      <c r="C2367" s="25" t="s">
        <v>70</v>
      </c>
      <c r="D2367" s="25" t="s">
        <v>22</v>
      </c>
      <c r="E2367" s="25" t="s">
        <v>92</v>
      </c>
      <c r="F2367" s="25">
        <v>1.5</v>
      </c>
      <c r="G2367" s="25" t="s">
        <v>91</v>
      </c>
      <c r="H2367" s="25">
        <v>260</v>
      </c>
      <c r="I2367" s="25">
        <v>220</v>
      </c>
      <c r="J2367" s="25">
        <v>390</v>
      </c>
      <c r="K2367" s="25">
        <v>330</v>
      </c>
      <c r="L2367" s="25">
        <v>60</v>
      </c>
      <c r="M2367" s="27">
        <v>18.181818181818201</v>
      </c>
      <c r="N2367" s="25" t="s">
        <v>55</v>
      </c>
      <c r="O2367" s="25" t="s">
        <v>28</v>
      </c>
      <c r="P2367" s="25" t="s">
        <v>32</v>
      </c>
    </row>
    <row r="2368" spans="1:16" x14ac:dyDescent="0.3">
      <c r="A2368" s="25">
        <v>2367</v>
      </c>
      <c r="B2368" s="26">
        <v>45688</v>
      </c>
      <c r="C2368" s="25" t="s">
        <v>70</v>
      </c>
      <c r="D2368" s="25" t="s">
        <v>21</v>
      </c>
      <c r="E2368" s="25" t="s">
        <v>88</v>
      </c>
      <c r="F2368" s="25">
        <v>2</v>
      </c>
      <c r="G2368" s="25" t="s">
        <v>89</v>
      </c>
      <c r="H2368" s="25">
        <v>130</v>
      </c>
      <c r="I2368" s="25">
        <v>100</v>
      </c>
      <c r="J2368" s="25">
        <v>260</v>
      </c>
      <c r="K2368" s="25">
        <v>200</v>
      </c>
      <c r="L2368" s="25">
        <v>60</v>
      </c>
      <c r="M2368" s="27">
        <v>30</v>
      </c>
      <c r="N2368" s="25" t="s">
        <v>55</v>
      </c>
      <c r="O2368" s="25" t="s">
        <v>27</v>
      </c>
      <c r="P2368" s="25" t="s">
        <v>32</v>
      </c>
    </row>
    <row r="2369" spans="1:16" x14ac:dyDescent="0.3">
      <c r="A2369" s="25">
        <v>2368</v>
      </c>
      <c r="B2369" s="26">
        <v>45688</v>
      </c>
      <c r="C2369" s="25" t="s">
        <v>70</v>
      </c>
      <c r="D2369" s="25" t="s">
        <v>21</v>
      </c>
      <c r="E2369" s="25" t="s">
        <v>88</v>
      </c>
      <c r="F2369" s="25">
        <v>3</v>
      </c>
      <c r="G2369" s="25" t="s">
        <v>89</v>
      </c>
      <c r="H2369" s="25">
        <v>130</v>
      </c>
      <c r="I2369" s="25">
        <v>100</v>
      </c>
      <c r="J2369" s="25">
        <v>390</v>
      </c>
      <c r="K2369" s="25">
        <v>300</v>
      </c>
      <c r="L2369" s="25">
        <v>90</v>
      </c>
      <c r="M2369" s="27">
        <v>30</v>
      </c>
      <c r="N2369" s="25" t="s">
        <v>55</v>
      </c>
      <c r="O2369" s="25" t="s">
        <v>27</v>
      </c>
      <c r="P2369" s="25" t="s">
        <v>32</v>
      </c>
    </row>
    <row r="2370" spans="1:16" x14ac:dyDescent="0.3">
      <c r="A2370" s="25">
        <v>2369</v>
      </c>
      <c r="B2370" s="26">
        <v>45688</v>
      </c>
      <c r="C2370" s="25" t="s">
        <v>70</v>
      </c>
      <c r="D2370" s="25" t="s">
        <v>22</v>
      </c>
      <c r="E2370" s="25" t="s">
        <v>92</v>
      </c>
      <c r="F2370" s="25">
        <v>2.5</v>
      </c>
      <c r="G2370" s="25" t="s">
        <v>91</v>
      </c>
      <c r="H2370" s="25">
        <v>260</v>
      </c>
      <c r="I2370" s="25">
        <v>220</v>
      </c>
      <c r="J2370" s="25">
        <v>650</v>
      </c>
      <c r="K2370" s="25">
        <v>550</v>
      </c>
      <c r="L2370" s="25">
        <v>100</v>
      </c>
      <c r="M2370" s="27">
        <v>18.181818181818201</v>
      </c>
      <c r="N2370" s="25" t="s">
        <v>55</v>
      </c>
      <c r="O2370" s="25" t="s">
        <v>28</v>
      </c>
      <c r="P2370" s="25" t="s">
        <v>32</v>
      </c>
    </row>
    <row r="2371" spans="1:16" x14ac:dyDescent="0.3">
      <c r="A2371" s="25">
        <v>2370</v>
      </c>
      <c r="B2371" s="26">
        <v>45688</v>
      </c>
      <c r="C2371" s="25" t="s">
        <v>70</v>
      </c>
      <c r="D2371" s="25" t="s">
        <v>21</v>
      </c>
      <c r="E2371" s="25" t="s">
        <v>88</v>
      </c>
      <c r="F2371" s="25">
        <v>3</v>
      </c>
      <c r="G2371" s="25" t="s">
        <v>89</v>
      </c>
      <c r="H2371" s="25">
        <v>130</v>
      </c>
      <c r="I2371" s="25">
        <v>100</v>
      </c>
      <c r="J2371" s="25">
        <v>390</v>
      </c>
      <c r="K2371" s="25">
        <v>300</v>
      </c>
      <c r="L2371" s="25">
        <v>90</v>
      </c>
      <c r="M2371" s="27">
        <v>30</v>
      </c>
      <c r="N2371" s="25" t="s">
        <v>55</v>
      </c>
      <c r="O2371" s="25" t="s">
        <v>27</v>
      </c>
      <c r="P2371" s="25" t="s">
        <v>32</v>
      </c>
    </row>
    <row r="2372" spans="1:16" x14ac:dyDescent="0.3">
      <c r="A2372" s="25">
        <v>2371</v>
      </c>
      <c r="B2372" s="26">
        <v>45688</v>
      </c>
      <c r="C2372" s="25" t="s">
        <v>70</v>
      </c>
      <c r="D2372" s="25" t="s">
        <v>22</v>
      </c>
      <c r="E2372" s="25" t="s">
        <v>96</v>
      </c>
      <c r="F2372" s="25">
        <v>1</v>
      </c>
      <c r="G2372" s="25" t="s">
        <v>97</v>
      </c>
      <c r="H2372" s="25">
        <v>300</v>
      </c>
      <c r="I2372" s="25">
        <v>265</v>
      </c>
      <c r="J2372" s="25">
        <v>300</v>
      </c>
      <c r="K2372" s="25">
        <v>265</v>
      </c>
      <c r="L2372" s="25">
        <v>35</v>
      </c>
      <c r="M2372" s="27">
        <v>13.207547169811299</v>
      </c>
      <c r="N2372" s="25" t="s">
        <v>55</v>
      </c>
      <c r="O2372" s="25" t="s">
        <v>28</v>
      </c>
      <c r="P2372" s="25" t="s">
        <v>32</v>
      </c>
    </row>
    <row r="2373" spans="1:16" x14ac:dyDescent="0.3">
      <c r="A2373" s="25">
        <v>2372</v>
      </c>
      <c r="B2373" s="26">
        <v>45688</v>
      </c>
      <c r="C2373" s="25" t="s">
        <v>70</v>
      </c>
      <c r="D2373" s="25" t="s">
        <v>22</v>
      </c>
      <c r="E2373" s="25" t="s">
        <v>92</v>
      </c>
      <c r="F2373" s="25">
        <v>0.25</v>
      </c>
      <c r="G2373" s="25" t="s">
        <v>91</v>
      </c>
      <c r="H2373" s="25">
        <v>260</v>
      </c>
      <c r="I2373" s="25">
        <v>220</v>
      </c>
      <c r="J2373" s="25">
        <v>65</v>
      </c>
      <c r="K2373" s="25">
        <v>55</v>
      </c>
      <c r="L2373" s="25">
        <v>10</v>
      </c>
      <c r="M2373" s="27">
        <v>18.181818181818201</v>
      </c>
      <c r="N2373" s="25" t="s">
        <v>55</v>
      </c>
      <c r="O2373" s="25" t="s">
        <v>28</v>
      </c>
      <c r="P2373" s="25" t="s">
        <v>32</v>
      </c>
    </row>
    <row r="2374" spans="1:16" x14ac:dyDescent="0.3">
      <c r="A2374" s="25">
        <v>2373</v>
      </c>
      <c r="B2374" s="26">
        <v>45688</v>
      </c>
      <c r="C2374" s="25" t="s">
        <v>70</v>
      </c>
      <c r="D2374" s="25" t="s">
        <v>22</v>
      </c>
      <c r="E2374" s="25" t="s">
        <v>103</v>
      </c>
      <c r="F2374" s="25">
        <v>2</v>
      </c>
      <c r="G2374" s="25" t="s">
        <v>102</v>
      </c>
      <c r="H2374" s="25">
        <v>30</v>
      </c>
      <c r="I2374" s="25">
        <v>20</v>
      </c>
      <c r="J2374" s="25">
        <v>60</v>
      </c>
      <c r="K2374" s="25">
        <v>40</v>
      </c>
      <c r="L2374" s="25">
        <v>20</v>
      </c>
      <c r="M2374" s="27">
        <v>50</v>
      </c>
      <c r="N2374" s="25" t="s">
        <v>55</v>
      </c>
      <c r="O2374" s="25" t="s">
        <v>28</v>
      </c>
      <c r="P2374" s="25" t="s">
        <v>32</v>
      </c>
    </row>
    <row r="2375" spans="1:16" x14ac:dyDescent="0.3">
      <c r="A2375" s="25">
        <v>2374</v>
      </c>
      <c r="B2375" s="26">
        <v>45688</v>
      </c>
      <c r="C2375" s="25" t="s">
        <v>70</v>
      </c>
      <c r="D2375" s="25" t="s">
        <v>22</v>
      </c>
      <c r="E2375" s="25" t="s">
        <v>90</v>
      </c>
      <c r="F2375" s="25">
        <v>2.5</v>
      </c>
      <c r="G2375" s="25" t="s">
        <v>91</v>
      </c>
      <c r="H2375" s="25">
        <v>280</v>
      </c>
      <c r="I2375" s="25">
        <v>240</v>
      </c>
      <c r="J2375" s="25">
        <v>700</v>
      </c>
      <c r="K2375" s="25">
        <v>600</v>
      </c>
      <c r="L2375" s="25">
        <v>100</v>
      </c>
      <c r="M2375" s="27">
        <v>16.6666666666667</v>
      </c>
      <c r="N2375" s="25" t="s">
        <v>55</v>
      </c>
      <c r="O2375" s="25" t="s">
        <v>28</v>
      </c>
      <c r="P2375" s="25" t="s">
        <v>32</v>
      </c>
    </row>
    <row r="2376" spans="1:16" x14ac:dyDescent="0.3">
      <c r="A2376" s="25">
        <v>2375</v>
      </c>
      <c r="B2376" s="26">
        <v>45688</v>
      </c>
      <c r="C2376" s="25" t="s">
        <v>70</v>
      </c>
      <c r="D2376" s="25" t="s">
        <v>21</v>
      </c>
      <c r="E2376" s="25" t="s">
        <v>88</v>
      </c>
      <c r="F2376" s="25">
        <v>5</v>
      </c>
      <c r="G2376" s="25" t="s">
        <v>89</v>
      </c>
      <c r="H2376" s="25">
        <v>130</v>
      </c>
      <c r="I2376" s="25">
        <v>100</v>
      </c>
      <c r="J2376" s="25">
        <v>650</v>
      </c>
      <c r="K2376" s="25">
        <v>500</v>
      </c>
      <c r="L2376" s="25">
        <v>150</v>
      </c>
      <c r="M2376" s="27">
        <v>30</v>
      </c>
      <c r="N2376" s="25" t="s">
        <v>55</v>
      </c>
      <c r="O2376" s="25" t="s">
        <v>27</v>
      </c>
      <c r="P2376" s="25" t="s">
        <v>32</v>
      </c>
    </row>
    <row r="2377" spans="1:16" x14ac:dyDescent="0.3">
      <c r="A2377" s="25">
        <v>2376</v>
      </c>
      <c r="B2377" s="26">
        <v>45688</v>
      </c>
      <c r="C2377" s="25" t="s">
        <v>70</v>
      </c>
      <c r="D2377" s="25" t="s">
        <v>22</v>
      </c>
      <c r="E2377" s="25" t="s">
        <v>96</v>
      </c>
      <c r="F2377" s="25">
        <v>2</v>
      </c>
      <c r="G2377" s="25" t="s">
        <v>97</v>
      </c>
      <c r="H2377" s="25">
        <v>300</v>
      </c>
      <c r="I2377" s="25">
        <v>265</v>
      </c>
      <c r="J2377" s="25">
        <v>600</v>
      </c>
      <c r="K2377" s="25">
        <v>530</v>
      </c>
      <c r="L2377" s="25">
        <v>70</v>
      </c>
      <c r="M2377" s="27">
        <v>13.207547169811299</v>
      </c>
      <c r="N2377" s="25" t="s">
        <v>55</v>
      </c>
      <c r="O2377" s="25" t="s">
        <v>28</v>
      </c>
      <c r="P2377" s="25" t="s">
        <v>33</v>
      </c>
    </row>
    <row r="2378" spans="1:16" x14ac:dyDescent="0.3">
      <c r="A2378" s="25">
        <v>2377</v>
      </c>
      <c r="B2378" s="26">
        <v>45688</v>
      </c>
      <c r="C2378" s="25" t="s">
        <v>70</v>
      </c>
      <c r="D2378" s="25" t="s">
        <v>22</v>
      </c>
      <c r="E2378" s="25" t="s">
        <v>101</v>
      </c>
      <c r="F2378" s="25">
        <v>14</v>
      </c>
      <c r="G2378" s="25" t="s">
        <v>102</v>
      </c>
      <c r="H2378" s="25">
        <v>6</v>
      </c>
      <c r="I2378" s="25">
        <v>4</v>
      </c>
      <c r="J2378" s="25">
        <v>84</v>
      </c>
      <c r="K2378" s="25">
        <v>56</v>
      </c>
      <c r="L2378" s="25">
        <v>28</v>
      </c>
      <c r="M2378" s="27">
        <v>50</v>
      </c>
      <c r="N2378" s="25" t="s">
        <v>55</v>
      </c>
      <c r="O2378" s="25" t="s">
        <v>28</v>
      </c>
      <c r="P2378" s="25" t="s">
        <v>33</v>
      </c>
    </row>
    <row r="2379" spans="1:16" x14ac:dyDescent="0.3">
      <c r="A2379" s="25">
        <v>2378</v>
      </c>
      <c r="B2379" s="26">
        <v>45688</v>
      </c>
      <c r="C2379" s="25" t="s">
        <v>70</v>
      </c>
      <c r="D2379" s="25" t="s">
        <v>22</v>
      </c>
      <c r="E2379" s="25" t="s">
        <v>90</v>
      </c>
      <c r="F2379" s="25">
        <v>3</v>
      </c>
      <c r="G2379" s="25" t="s">
        <v>91</v>
      </c>
      <c r="H2379" s="25">
        <v>280</v>
      </c>
      <c r="I2379" s="25">
        <v>240</v>
      </c>
      <c r="J2379" s="25">
        <v>840</v>
      </c>
      <c r="K2379" s="25">
        <v>720</v>
      </c>
      <c r="L2379" s="25">
        <v>120</v>
      </c>
      <c r="M2379" s="27">
        <v>16.6666666666667</v>
      </c>
      <c r="N2379" s="25" t="s">
        <v>55</v>
      </c>
      <c r="O2379" s="25" t="s">
        <v>28</v>
      </c>
      <c r="P2379" s="25" t="s">
        <v>32</v>
      </c>
    </row>
  </sheetData>
  <autoFilter ref="A1:P237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4403-445B-4678-B660-88285EF2B212}">
  <dimension ref="A1:BG363"/>
  <sheetViews>
    <sheetView tabSelected="1" topLeftCell="BB1" workbookViewId="0">
      <selection activeCell="BJ12" sqref="BJ12"/>
    </sheetView>
  </sheetViews>
  <sheetFormatPr defaultRowHeight="14.4" x14ac:dyDescent="0.3"/>
  <cols>
    <col min="1" max="1" width="13.109375" customWidth="1"/>
    <col min="2" max="2" width="12.21875" customWidth="1"/>
  </cols>
  <sheetData>
    <row r="1" spans="1:59" x14ac:dyDescent="0.3">
      <c r="A1" s="29" t="s">
        <v>129</v>
      </c>
      <c r="B1" s="29" t="s">
        <v>46</v>
      </c>
      <c r="C1" s="30" t="s">
        <v>143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1" t="s">
        <v>144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2" t="s">
        <v>145</v>
      </c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3" t="s">
        <v>74</v>
      </c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2" t="s">
        <v>136</v>
      </c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4"/>
      <c r="BG1" s="34"/>
    </row>
    <row r="2" spans="1:59" x14ac:dyDescent="0.3">
      <c r="A2" s="29"/>
      <c r="B2" s="29"/>
      <c r="C2" s="35" t="s">
        <v>21</v>
      </c>
      <c r="D2" s="35"/>
      <c r="E2" s="35"/>
      <c r="F2" s="35"/>
      <c r="G2" s="35"/>
      <c r="H2" s="33" t="s">
        <v>22</v>
      </c>
      <c r="I2" s="33"/>
      <c r="J2" s="33"/>
      <c r="K2" s="33"/>
      <c r="L2" s="33"/>
      <c r="M2" s="33"/>
      <c r="N2" s="35" t="s">
        <v>21</v>
      </c>
      <c r="O2" s="35"/>
      <c r="P2" s="35"/>
      <c r="Q2" s="35"/>
      <c r="R2" s="35"/>
      <c r="S2" s="33" t="s">
        <v>22</v>
      </c>
      <c r="T2" s="33"/>
      <c r="U2" s="33"/>
      <c r="V2" s="33"/>
      <c r="W2" s="33"/>
      <c r="X2" s="33"/>
      <c r="Y2" s="35" t="s">
        <v>21</v>
      </c>
      <c r="Z2" s="35"/>
      <c r="AA2" s="35"/>
      <c r="AB2" s="35"/>
      <c r="AC2" s="35"/>
      <c r="AD2" s="33" t="s">
        <v>22</v>
      </c>
      <c r="AE2" s="33"/>
      <c r="AF2" s="33"/>
      <c r="AG2" s="33"/>
      <c r="AH2" s="33"/>
      <c r="AI2" s="33"/>
      <c r="AJ2" s="35" t="s">
        <v>21</v>
      </c>
      <c r="AK2" s="35"/>
      <c r="AL2" s="35"/>
      <c r="AM2" s="35"/>
      <c r="AN2" s="35"/>
      <c r="AO2" s="33" t="s">
        <v>22</v>
      </c>
      <c r="AP2" s="33"/>
      <c r="AQ2" s="33"/>
      <c r="AR2" s="33"/>
      <c r="AS2" s="33"/>
      <c r="AT2" s="33"/>
      <c r="AU2" s="35" t="s">
        <v>21</v>
      </c>
      <c r="AV2" s="35"/>
      <c r="AW2" s="35"/>
      <c r="AX2" s="35"/>
      <c r="AY2" s="35"/>
      <c r="AZ2" s="33" t="s">
        <v>22</v>
      </c>
      <c r="BA2" s="33"/>
      <c r="BB2" s="33"/>
      <c r="BC2" s="33"/>
      <c r="BD2" s="33"/>
      <c r="BE2" s="33"/>
      <c r="BF2" s="36"/>
      <c r="BG2" s="36"/>
    </row>
    <row r="3" spans="1:59" x14ac:dyDescent="0.3">
      <c r="A3" s="29"/>
      <c r="B3" s="29"/>
      <c r="C3" s="37" t="s">
        <v>88</v>
      </c>
      <c r="D3" s="37" t="s">
        <v>95</v>
      </c>
      <c r="E3" s="37" t="s">
        <v>94</v>
      </c>
      <c r="F3" s="37" t="s">
        <v>146</v>
      </c>
      <c r="G3" s="37" t="s">
        <v>147</v>
      </c>
      <c r="H3" s="38" t="s">
        <v>92</v>
      </c>
      <c r="I3" s="38" t="s">
        <v>90</v>
      </c>
      <c r="J3" s="38" t="s">
        <v>99</v>
      </c>
      <c r="K3" s="38" t="s">
        <v>148</v>
      </c>
      <c r="L3" s="38" t="s">
        <v>149</v>
      </c>
      <c r="M3" s="38" t="s">
        <v>96</v>
      </c>
      <c r="N3" s="37" t="s">
        <v>88</v>
      </c>
      <c r="O3" s="37" t="s">
        <v>95</v>
      </c>
      <c r="P3" s="37" t="s">
        <v>94</v>
      </c>
      <c r="Q3" s="37" t="s">
        <v>146</v>
      </c>
      <c r="R3" s="37" t="s">
        <v>147</v>
      </c>
      <c r="S3" s="38" t="s">
        <v>92</v>
      </c>
      <c r="T3" s="38" t="s">
        <v>90</v>
      </c>
      <c r="U3" s="38" t="s">
        <v>99</v>
      </c>
      <c r="V3" s="38" t="s">
        <v>148</v>
      </c>
      <c r="W3" s="38" t="s">
        <v>149</v>
      </c>
      <c r="X3" s="38" t="s">
        <v>96</v>
      </c>
      <c r="Y3" s="37" t="s">
        <v>88</v>
      </c>
      <c r="Z3" s="37" t="s">
        <v>95</v>
      </c>
      <c r="AA3" s="37" t="s">
        <v>94</v>
      </c>
      <c r="AB3" s="37" t="s">
        <v>146</v>
      </c>
      <c r="AC3" s="37" t="s">
        <v>147</v>
      </c>
      <c r="AD3" s="38" t="s">
        <v>92</v>
      </c>
      <c r="AE3" s="38" t="s">
        <v>90</v>
      </c>
      <c r="AF3" s="38" t="s">
        <v>99</v>
      </c>
      <c r="AG3" s="38" t="s">
        <v>148</v>
      </c>
      <c r="AH3" s="38" t="s">
        <v>149</v>
      </c>
      <c r="AI3" s="38" t="s">
        <v>96</v>
      </c>
      <c r="AJ3" s="37" t="s">
        <v>88</v>
      </c>
      <c r="AK3" s="37" t="s">
        <v>95</v>
      </c>
      <c r="AL3" s="37" t="s">
        <v>94</v>
      </c>
      <c r="AM3" s="37" t="s">
        <v>146</v>
      </c>
      <c r="AN3" s="37" t="s">
        <v>147</v>
      </c>
      <c r="AO3" s="38" t="s">
        <v>92</v>
      </c>
      <c r="AP3" s="38" t="s">
        <v>90</v>
      </c>
      <c r="AQ3" s="38" t="s">
        <v>99</v>
      </c>
      <c r="AR3" s="38" t="s">
        <v>148</v>
      </c>
      <c r="AS3" s="38" t="s">
        <v>149</v>
      </c>
      <c r="AT3" s="38" t="s">
        <v>96</v>
      </c>
      <c r="AU3" s="37" t="s">
        <v>88</v>
      </c>
      <c r="AV3" s="37" t="s">
        <v>95</v>
      </c>
      <c r="AW3" s="37" t="s">
        <v>94</v>
      </c>
      <c r="AX3" s="37" t="s">
        <v>146</v>
      </c>
      <c r="AY3" s="37" t="s">
        <v>147</v>
      </c>
      <c r="AZ3" s="38" t="s">
        <v>92</v>
      </c>
      <c r="BA3" s="38" t="s">
        <v>90</v>
      </c>
      <c r="BB3" s="38" t="s">
        <v>99</v>
      </c>
      <c r="BC3" s="38" t="s">
        <v>148</v>
      </c>
      <c r="BD3" s="38" t="s">
        <v>149</v>
      </c>
      <c r="BE3" s="38" t="s">
        <v>96</v>
      </c>
      <c r="BF3" s="36" t="s">
        <v>150</v>
      </c>
      <c r="BG3" s="36" t="s">
        <v>47</v>
      </c>
    </row>
    <row r="4" spans="1:59" x14ac:dyDescent="0.3">
      <c r="A4" s="39">
        <v>45329</v>
      </c>
      <c r="B4" s="40" t="str">
        <f t="shared" ref="B4:B67" si="0">TEXT(A4,"mmmm")</f>
        <v>February</v>
      </c>
      <c r="C4" s="41">
        <v>3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4</v>
      </c>
      <c r="J4" s="41">
        <v>3</v>
      </c>
      <c r="K4" s="41">
        <v>0</v>
      </c>
      <c r="L4" s="41">
        <v>0</v>
      </c>
      <c r="M4" s="41">
        <v>0</v>
      </c>
      <c r="N4" s="42">
        <v>110</v>
      </c>
      <c r="O4" s="42">
        <v>110</v>
      </c>
      <c r="P4" s="42">
        <v>26</v>
      </c>
      <c r="Q4" s="42">
        <v>65</v>
      </c>
      <c r="R4" s="42">
        <v>200</v>
      </c>
      <c r="S4" s="42">
        <v>230</v>
      </c>
      <c r="T4" s="42">
        <v>250</v>
      </c>
      <c r="U4" s="42">
        <v>170</v>
      </c>
      <c r="V4" s="42">
        <v>25</v>
      </c>
      <c r="W4" s="42">
        <v>4</v>
      </c>
      <c r="X4" s="42">
        <v>265</v>
      </c>
      <c r="Y4" s="43">
        <v>130</v>
      </c>
      <c r="Z4" s="43">
        <v>150</v>
      </c>
      <c r="AA4" s="43">
        <v>30</v>
      </c>
      <c r="AB4" s="43">
        <v>95</v>
      </c>
      <c r="AC4" s="43">
        <v>250</v>
      </c>
      <c r="AD4" s="43">
        <v>260</v>
      </c>
      <c r="AE4" s="43">
        <v>280</v>
      </c>
      <c r="AF4" s="43">
        <v>200</v>
      </c>
      <c r="AG4" s="43">
        <v>30</v>
      </c>
      <c r="AH4" s="43">
        <v>6</v>
      </c>
      <c r="AI4" s="43">
        <v>300</v>
      </c>
      <c r="AJ4" s="41">
        <f t="shared" ref="AJ4:AJ67" si="1" xml:space="preserve"> Y4*C4</f>
        <v>390</v>
      </c>
      <c r="AK4" s="41">
        <f t="shared" ref="AK4:AT67" si="2">D4*Z4</f>
        <v>0</v>
      </c>
      <c r="AL4" s="41">
        <f t="shared" si="2"/>
        <v>0</v>
      </c>
      <c r="AM4" s="41">
        <f t="shared" si="2"/>
        <v>0</v>
      </c>
      <c r="AN4" s="41">
        <f t="shared" si="2"/>
        <v>0</v>
      </c>
      <c r="AO4" s="41">
        <f t="shared" si="2"/>
        <v>0</v>
      </c>
      <c r="AP4" s="41">
        <f t="shared" si="2"/>
        <v>1120</v>
      </c>
      <c r="AQ4" s="41">
        <f t="shared" si="2"/>
        <v>600</v>
      </c>
      <c r="AR4" s="41">
        <f t="shared" si="2"/>
        <v>0</v>
      </c>
      <c r="AS4" s="41">
        <f t="shared" si="2"/>
        <v>0</v>
      </c>
      <c r="AT4" s="41">
        <f t="shared" si="2"/>
        <v>0</v>
      </c>
      <c r="AU4" s="43">
        <f t="shared" ref="AU4:BE67" si="3">AJ4-(C4*N4)</f>
        <v>60</v>
      </c>
      <c r="AV4" s="43">
        <f t="shared" si="3"/>
        <v>0</v>
      </c>
      <c r="AW4" s="43">
        <f t="shared" si="3"/>
        <v>0</v>
      </c>
      <c r="AX4" s="43">
        <f t="shared" si="3"/>
        <v>0</v>
      </c>
      <c r="AY4" s="43">
        <f t="shared" si="3"/>
        <v>0</v>
      </c>
      <c r="AZ4" s="43">
        <f t="shared" si="3"/>
        <v>0</v>
      </c>
      <c r="BA4" s="43">
        <f t="shared" si="3"/>
        <v>120</v>
      </c>
      <c r="BB4" s="43">
        <f t="shared" si="3"/>
        <v>90</v>
      </c>
      <c r="BC4" s="43">
        <f t="shared" si="3"/>
        <v>0</v>
      </c>
      <c r="BD4" s="43">
        <f t="shared" si="3"/>
        <v>0</v>
      </c>
      <c r="BE4" s="43">
        <f t="shared" si="3"/>
        <v>0</v>
      </c>
      <c r="BF4" s="41">
        <f t="shared" ref="BF4:BF67" si="4">SUM(AU4:BE4)</f>
        <v>270</v>
      </c>
      <c r="BG4" s="41" t="str">
        <f t="array" ref="BG4">_xlfn.IFS(
OR(MONTH(A4)=11,MONTH(A4)=12,MONTH(A4)=1,MONTH(A4)=2),"Winter",
OR(MONTH(A4)=3,MONTH(A4)=4),"Spring",
OR(MONTH(A4)=5,MONTH(A4)=6),"Summer",
OR(MONTH(A4)=7,MONTH(A4)=8,MONTH(A4)=9),"Monsoon",
MONTH(A4)=10,"Autumn/Festive",
TRUE,""
)</f>
        <v>Winter</v>
      </c>
    </row>
    <row r="5" spans="1:59" x14ac:dyDescent="0.3">
      <c r="A5" s="39">
        <v>45330</v>
      </c>
      <c r="B5" s="40" t="str">
        <f t="shared" si="0"/>
        <v>February</v>
      </c>
      <c r="C5" s="41">
        <v>0</v>
      </c>
      <c r="D5" s="41">
        <v>0</v>
      </c>
      <c r="E5" s="41">
        <v>0</v>
      </c>
      <c r="F5" s="41">
        <v>0</v>
      </c>
      <c r="G5" s="41">
        <v>0</v>
      </c>
      <c r="H5" s="41">
        <v>1</v>
      </c>
      <c r="I5" s="41">
        <v>3</v>
      </c>
      <c r="J5" s="41">
        <v>1</v>
      </c>
      <c r="K5" s="41">
        <v>0</v>
      </c>
      <c r="L5" s="41">
        <v>0</v>
      </c>
      <c r="M5" s="41">
        <v>1</v>
      </c>
      <c r="N5" s="42">
        <v>110</v>
      </c>
      <c r="O5" s="42">
        <v>110</v>
      </c>
      <c r="P5" s="42">
        <v>26</v>
      </c>
      <c r="Q5" s="42">
        <v>65</v>
      </c>
      <c r="R5" s="42">
        <v>200</v>
      </c>
      <c r="S5" s="42">
        <v>230</v>
      </c>
      <c r="T5" s="42">
        <v>250</v>
      </c>
      <c r="U5" s="42">
        <v>170</v>
      </c>
      <c r="V5" s="42">
        <v>25</v>
      </c>
      <c r="W5" s="42">
        <v>4</v>
      </c>
      <c r="X5" s="42">
        <v>265</v>
      </c>
      <c r="Y5" s="43">
        <v>130</v>
      </c>
      <c r="Z5" s="43">
        <v>150</v>
      </c>
      <c r="AA5" s="43">
        <v>30</v>
      </c>
      <c r="AB5" s="43">
        <v>95</v>
      </c>
      <c r="AC5" s="43">
        <v>250</v>
      </c>
      <c r="AD5" s="43">
        <v>260</v>
      </c>
      <c r="AE5" s="43">
        <v>280</v>
      </c>
      <c r="AF5" s="43">
        <v>200</v>
      </c>
      <c r="AG5" s="43">
        <v>30</v>
      </c>
      <c r="AH5" s="43">
        <v>6</v>
      </c>
      <c r="AI5" s="43">
        <v>300</v>
      </c>
      <c r="AJ5" s="41">
        <f t="shared" si="1"/>
        <v>0</v>
      </c>
      <c r="AK5" s="41">
        <f t="shared" si="2"/>
        <v>0</v>
      </c>
      <c r="AL5" s="41">
        <f t="shared" si="2"/>
        <v>0</v>
      </c>
      <c r="AM5" s="41">
        <f t="shared" si="2"/>
        <v>0</v>
      </c>
      <c r="AN5" s="41">
        <f t="shared" si="2"/>
        <v>0</v>
      </c>
      <c r="AO5" s="41">
        <f t="shared" si="2"/>
        <v>260</v>
      </c>
      <c r="AP5" s="41">
        <f t="shared" si="2"/>
        <v>840</v>
      </c>
      <c r="AQ5" s="41">
        <f t="shared" si="2"/>
        <v>200</v>
      </c>
      <c r="AR5" s="41">
        <f t="shared" si="2"/>
        <v>0</v>
      </c>
      <c r="AS5" s="41">
        <f t="shared" si="2"/>
        <v>0</v>
      </c>
      <c r="AT5" s="41">
        <f t="shared" si="2"/>
        <v>300</v>
      </c>
      <c r="AU5" s="43">
        <f t="shared" si="3"/>
        <v>0</v>
      </c>
      <c r="AV5" s="43">
        <f t="shared" si="3"/>
        <v>0</v>
      </c>
      <c r="AW5" s="43">
        <f t="shared" si="3"/>
        <v>0</v>
      </c>
      <c r="AX5" s="43">
        <f t="shared" si="3"/>
        <v>0</v>
      </c>
      <c r="AY5" s="43">
        <f t="shared" si="3"/>
        <v>0</v>
      </c>
      <c r="AZ5" s="43">
        <f t="shared" si="3"/>
        <v>30</v>
      </c>
      <c r="BA5" s="43">
        <f t="shared" si="3"/>
        <v>90</v>
      </c>
      <c r="BB5" s="43">
        <f t="shared" si="3"/>
        <v>30</v>
      </c>
      <c r="BC5" s="43">
        <f t="shared" si="3"/>
        <v>0</v>
      </c>
      <c r="BD5" s="43">
        <f t="shared" si="3"/>
        <v>0</v>
      </c>
      <c r="BE5" s="43">
        <f t="shared" si="3"/>
        <v>35</v>
      </c>
      <c r="BF5" s="41">
        <f t="shared" si="4"/>
        <v>185</v>
      </c>
      <c r="BG5" s="41" t="str">
        <f t="array" ref="BG5">_xlfn.IFS(
OR(MONTH(A5)=11,MONTH(A5)=12,MONTH(A5)=1,MONTH(A5)=2),"Winter",
OR(MONTH(A5)=3,MONTH(A5)=4),"Spring",
OR(MONTH(A5)=5,MONTH(A5)=6),"Summer",
OR(MONTH(A5)=7,MONTH(A5)=8,MONTH(A5)=9),"Monsoon",
MONTH(A5)=10,"Autumn/Festive",
TRUE,""
)</f>
        <v>Winter</v>
      </c>
    </row>
    <row r="6" spans="1:59" x14ac:dyDescent="0.3">
      <c r="A6" s="39">
        <v>45331</v>
      </c>
      <c r="B6" s="40" t="str">
        <f t="shared" si="0"/>
        <v>February</v>
      </c>
      <c r="C6" s="41">
        <v>4</v>
      </c>
      <c r="D6" s="41">
        <v>1</v>
      </c>
      <c r="E6" s="41">
        <v>2</v>
      </c>
      <c r="F6" s="41">
        <v>0</v>
      </c>
      <c r="G6" s="41">
        <v>0</v>
      </c>
      <c r="H6" s="41">
        <v>3</v>
      </c>
      <c r="I6" s="41">
        <v>10.5</v>
      </c>
      <c r="J6" s="41">
        <v>2</v>
      </c>
      <c r="K6" s="41">
        <v>1</v>
      </c>
      <c r="L6" s="41">
        <v>0</v>
      </c>
      <c r="M6" s="41">
        <v>4</v>
      </c>
      <c r="N6" s="42">
        <v>110</v>
      </c>
      <c r="O6" s="42">
        <v>110</v>
      </c>
      <c r="P6" s="42">
        <v>26</v>
      </c>
      <c r="Q6" s="42">
        <v>65</v>
      </c>
      <c r="R6" s="42">
        <v>200</v>
      </c>
      <c r="S6" s="42">
        <v>230</v>
      </c>
      <c r="T6" s="42">
        <v>250</v>
      </c>
      <c r="U6" s="42">
        <v>170</v>
      </c>
      <c r="V6" s="42">
        <v>25</v>
      </c>
      <c r="W6" s="42">
        <v>4</v>
      </c>
      <c r="X6" s="42">
        <v>265</v>
      </c>
      <c r="Y6" s="43">
        <v>130</v>
      </c>
      <c r="Z6" s="43">
        <v>150</v>
      </c>
      <c r="AA6" s="43">
        <v>30</v>
      </c>
      <c r="AB6" s="43">
        <v>95</v>
      </c>
      <c r="AC6" s="43">
        <v>250</v>
      </c>
      <c r="AD6" s="43">
        <v>260</v>
      </c>
      <c r="AE6" s="43">
        <v>280</v>
      </c>
      <c r="AF6" s="43">
        <v>200</v>
      </c>
      <c r="AG6" s="43">
        <v>30</v>
      </c>
      <c r="AH6" s="43">
        <v>6</v>
      </c>
      <c r="AI6" s="43">
        <v>300</v>
      </c>
      <c r="AJ6" s="41">
        <f t="shared" si="1"/>
        <v>520</v>
      </c>
      <c r="AK6" s="41">
        <f t="shared" si="2"/>
        <v>150</v>
      </c>
      <c r="AL6" s="41">
        <f t="shared" si="2"/>
        <v>60</v>
      </c>
      <c r="AM6" s="41">
        <f t="shared" si="2"/>
        <v>0</v>
      </c>
      <c r="AN6" s="41">
        <f t="shared" si="2"/>
        <v>0</v>
      </c>
      <c r="AO6" s="41">
        <f t="shared" si="2"/>
        <v>780</v>
      </c>
      <c r="AP6" s="41">
        <f t="shared" si="2"/>
        <v>2940</v>
      </c>
      <c r="AQ6" s="41">
        <f t="shared" si="2"/>
        <v>400</v>
      </c>
      <c r="AR6" s="41">
        <f t="shared" si="2"/>
        <v>30</v>
      </c>
      <c r="AS6" s="41">
        <f t="shared" si="2"/>
        <v>0</v>
      </c>
      <c r="AT6" s="41">
        <f t="shared" si="2"/>
        <v>1200</v>
      </c>
      <c r="AU6" s="43">
        <f t="shared" si="3"/>
        <v>80</v>
      </c>
      <c r="AV6" s="43">
        <f t="shared" si="3"/>
        <v>40</v>
      </c>
      <c r="AW6" s="43">
        <f t="shared" si="3"/>
        <v>8</v>
      </c>
      <c r="AX6" s="43">
        <f t="shared" si="3"/>
        <v>0</v>
      </c>
      <c r="AY6" s="43">
        <f t="shared" si="3"/>
        <v>0</v>
      </c>
      <c r="AZ6" s="43">
        <f t="shared" si="3"/>
        <v>90</v>
      </c>
      <c r="BA6" s="43">
        <f t="shared" si="3"/>
        <v>315</v>
      </c>
      <c r="BB6" s="43">
        <f t="shared" si="3"/>
        <v>60</v>
      </c>
      <c r="BC6" s="43">
        <f t="shared" si="3"/>
        <v>5</v>
      </c>
      <c r="BD6" s="43">
        <f t="shared" si="3"/>
        <v>0</v>
      </c>
      <c r="BE6" s="43">
        <f t="shared" si="3"/>
        <v>140</v>
      </c>
      <c r="BF6" s="41">
        <f t="shared" si="4"/>
        <v>738</v>
      </c>
      <c r="BG6" s="41" t="str">
        <f t="array" ref="BG6">_xlfn.IFS(
OR(MONTH(A6)=11,MONTH(A6)=12,MONTH(A6)=1,MONTH(A6)=2),"Winter",
OR(MONTH(A6)=3,MONTH(A6)=4),"Spring",
OR(MONTH(A6)=5,MONTH(A6)=6),"Summer",
OR(MONTH(A6)=7,MONTH(A6)=8,MONTH(A6)=9),"Monsoon",
MONTH(A6)=10,"Autumn/Festive",
TRUE,""
)</f>
        <v>Winter</v>
      </c>
    </row>
    <row r="7" spans="1:59" x14ac:dyDescent="0.3">
      <c r="A7" s="39">
        <v>45332</v>
      </c>
      <c r="B7" s="40" t="str">
        <f t="shared" si="0"/>
        <v>February</v>
      </c>
      <c r="C7" s="41">
        <v>4</v>
      </c>
      <c r="D7" s="41">
        <v>0</v>
      </c>
      <c r="E7" s="41">
        <v>0</v>
      </c>
      <c r="F7" s="41">
        <v>0</v>
      </c>
      <c r="G7" s="41">
        <v>0</v>
      </c>
      <c r="H7" s="41">
        <v>6</v>
      </c>
      <c r="I7" s="41">
        <v>3</v>
      </c>
      <c r="J7" s="41">
        <v>0</v>
      </c>
      <c r="K7" s="41">
        <v>0</v>
      </c>
      <c r="L7" s="41">
        <v>6</v>
      </c>
      <c r="M7" s="41">
        <v>0</v>
      </c>
      <c r="N7" s="42">
        <v>110</v>
      </c>
      <c r="O7" s="42">
        <v>110</v>
      </c>
      <c r="P7" s="42">
        <v>26</v>
      </c>
      <c r="Q7" s="42">
        <v>65</v>
      </c>
      <c r="R7" s="42">
        <v>200</v>
      </c>
      <c r="S7" s="42">
        <v>230</v>
      </c>
      <c r="T7" s="42">
        <v>250</v>
      </c>
      <c r="U7" s="42">
        <v>170</v>
      </c>
      <c r="V7" s="42">
        <v>25</v>
      </c>
      <c r="W7" s="42">
        <v>4</v>
      </c>
      <c r="X7" s="42">
        <v>265</v>
      </c>
      <c r="Y7" s="43">
        <v>130</v>
      </c>
      <c r="Z7" s="43">
        <v>150</v>
      </c>
      <c r="AA7" s="43">
        <v>30</v>
      </c>
      <c r="AB7" s="43">
        <v>95</v>
      </c>
      <c r="AC7" s="43">
        <v>250</v>
      </c>
      <c r="AD7" s="43">
        <v>260</v>
      </c>
      <c r="AE7" s="43">
        <v>280</v>
      </c>
      <c r="AF7" s="43">
        <v>200</v>
      </c>
      <c r="AG7" s="43">
        <v>30</v>
      </c>
      <c r="AH7" s="43">
        <v>6</v>
      </c>
      <c r="AI7" s="43">
        <v>300</v>
      </c>
      <c r="AJ7" s="41">
        <f t="shared" si="1"/>
        <v>520</v>
      </c>
      <c r="AK7" s="41">
        <f t="shared" si="2"/>
        <v>0</v>
      </c>
      <c r="AL7" s="41">
        <f t="shared" si="2"/>
        <v>0</v>
      </c>
      <c r="AM7" s="41">
        <f t="shared" si="2"/>
        <v>0</v>
      </c>
      <c r="AN7" s="41">
        <f t="shared" si="2"/>
        <v>0</v>
      </c>
      <c r="AO7" s="41">
        <f t="shared" si="2"/>
        <v>1560</v>
      </c>
      <c r="AP7" s="41">
        <f t="shared" si="2"/>
        <v>840</v>
      </c>
      <c r="AQ7" s="41">
        <f t="shared" si="2"/>
        <v>0</v>
      </c>
      <c r="AR7" s="41">
        <f t="shared" si="2"/>
        <v>0</v>
      </c>
      <c r="AS7" s="41">
        <f t="shared" si="2"/>
        <v>36</v>
      </c>
      <c r="AT7" s="41">
        <f t="shared" si="2"/>
        <v>0</v>
      </c>
      <c r="AU7" s="43">
        <f t="shared" si="3"/>
        <v>80</v>
      </c>
      <c r="AV7" s="43">
        <f t="shared" si="3"/>
        <v>0</v>
      </c>
      <c r="AW7" s="43">
        <f t="shared" si="3"/>
        <v>0</v>
      </c>
      <c r="AX7" s="43">
        <f t="shared" si="3"/>
        <v>0</v>
      </c>
      <c r="AY7" s="43">
        <f t="shared" si="3"/>
        <v>0</v>
      </c>
      <c r="AZ7" s="43">
        <f t="shared" si="3"/>
        <v>180</v>
      </c>
      <c r="BA7" s="43">
        <f t="shared" si="3"/>
        <v>90</v>
      </c>
      <c r="BB7" s="43">
        <f t="shared" si="3"/>
        <v>0</v>
      </c>
      <c r="BC7" s="43">
        <f t="shared" si="3"/>
        <v>0</v>
      </c>
      <c r="BD7" s="43">
        <f t="shared" si="3"/>
        <v>12</v>
      </c>
      <c r="BE7" s="43">
        <f t="shared" si="3"/>
        <v>0</v>
      </c>
      <c r="BF7" s="41">
        <f t="shared" si="4"/>
        <v>362</v>
      </c>
      <c r="BG7" s="41" t="str">
        <f t="array" ref="BG7">_xlfn.IFS(
OR(MONTH(A7)=11,MONTH(A7)=12,MONTH(A7)=1,MONTH(A7)=2),"Winter",
OR(MONTH(A7)=3,MONTH(A7)=4),"Spring",
OR(MONTH(A7)=5,MONTH(A7)=6),"Summer",
OR(MONTH(A7)=7,MONTH(A7)=8,MONTH(A7)=9),"Monsoon",
MONTH(A7)=10,"Autumn/Festive",
TRUE,""
)</f>
        <v>Winter</v>
      </c>
    </row>
    <row r="8" spans="1:59" x14ac:dyDescent="0.3">
      <c r="A8" s="39">
        <v>45333</v>
      </c>
      <c r="B8" s="40" t="str">
        <f t="shared" si="0"/>
        <v>February</v>
      </c>
      <c r="C8" s="41">
        <v>6</v>
      </c>
      <c r="D8" s="41">
        <v>0</v>
      </c>
      <c r="E8" s="41">
        <v>0</v>
      </c>
      <c r="F8" s="41">
        <v>0</v>
      </c>
      <c r="G8" s="41">
        <v>0</v>
      </c>
      <c r="H8" s="41">
        <v>4.5</v>
      </c>
      <c r="I8" s="41">
        <v>6.5</v>
      </c>
      <c r="J8" s="41">
        <v>0</v>
      </c>
      <c r="K8" s="41">
        <v>4</v>
      </c>
      <c r="L8" s="41">
        <v>0</v>
      </c>
      <c r="M8" s="41">
        <v>1</v>
      </c>
      <c r="N8" s="42">
        <v>110</v>
      </c>
      <c r="O8" s="42">
        <v>110</v>
      </c>
      <c r="P8" s="42">
        <v>26</v>
      </c>
      <c r="Q8" s="42">
        <v>65</v>
      </c>
      <c r="R8" s="42">
        <v>200</v>
      </c>
      <c r="S8" s="42">
        <v>230</v>
      </c>
      <c r="T8" s="42">
        <v>250</v>
      </c>
      <c r="U8" s="42">
        <v>170</v>
      </c>
      <c r="V8" s="42">
        <v>25</v>
      </c>
      <c r="W8" s="42">
        <v>4</v>
      </c>
      <c r="X8" s="42">
        <v>265</v>
      </c>
      <c r="Y8" s="43">
        <v>130</v>
      </c>
      <c r="Z8" s="43">
        <v>150</v>
      </c>
      <c r="AA8" s="43">
        <v>30</v>
      </c>
      <c r="AB8" s="43">
        <v>95</v>
      </c>
      <c r="AC8" s="43">
        <v>250</v>
      </c>
      <c r="AD8" s="43">
        <v>260</v>
      </c>
      <c r="AE8" s="43">
        <v>280</v>
      </c>
      <c r="AF8" s="43">
        <v>200</v>
      </c>
      <c r="AG8" s="43">
        <v>30</v>
      </c>
      <c r="AH8" s="43">
        <v>6</v>
      </c>
      <c r="AI8" s="43">
        <v>300</v>
      </c>
      <c r="AJ8" s="41">
        <f t="shared" si="1"/>
        <v>780</v>
      </c>
      <c r="AK8" s="41">
        <f t="shared" si="2"/>
        <v>0</v>
      </c>
      <c r="AL8" s="41">
        <f t="shared" si="2"/>
        <v>0</v>
      </c>
      <c r="AM8" s="41">
        <f t="shared" si="2"/>
        <v>0</v>
      </c>
      <c r="AN8" s="41">
        <f t="shared" si="2"/>
        <v>0</v>
      </c>
      <c r="AO8" s="41">
        <f t="shared" si="2"/>
        <v>1170</v>
      </c>
      <c r="AP8" s="41">
        <f t="shared" si="2"/>
        <v>1820</v>
      </c>
      <c r="AQ8" s="41">
        <f t="shared" si="2"/>
        <v>0</v>
      </c>
      <c r="AR8" s="41">
        <f t="shared" si="2"/>
        <v>120</v>
      </c>
      <c r="AS8" s="41">
        <f t="shared" si="2"/>
        <v>0</v>
      </c>
      <c r="AT8" s="41">
        <f t="shared" si="2"/>
        <v>300</v>
      </c>
      <c r="AU8" s="43">
        <f t="shared" si="3"/>
        <v>120</v>
      </c>
      <c r="AV8" s="43">
        <f t="shared" si="3"/>
        <v>0</v>
      </c>
      <c r="AW8" s="43">
        <f t="shared" si="3"/>
        <v>0</v>
      </c>
      <c r="AX8" s="43">
        <f t="shared" si="3"/>
        <v>0</v>
      </c>
      <c r="AY8" s="43">
        <f t="shared" si="3"/>
        <v>0</v>
      </c>
      <c r="AZ8" s="43">
        <f t="shared" si="3"/>
        <v>135</v>
      </c>
      <c r="BA8" s="43">
        <f t="shared" si="3"/>
        <v>195</v>
      </c>
      <c r="BB8" s="43">
        <f t="shared" si="3"/>
        <v>0</v>
      </c>
      <c r="BC8" s="43">
        <f t="shared" si="3"/>
        <v>20</v>
      </c>
      <c r="BD8" s="43">
        <f t="shared" si="3"/>
        <v>0</v>
      </c>
      <c r="BE8" s="43">
        <f t="shared" si="3"/>
        <v>35</v>
      </c>
      <c r="BF8" s="41">
        <f t="shared" si="4"/>
        <v>505</v>
      </c>
      <c r="BG8" s="41" t="str">
        <f t="array" ref="BG8">_xlfn.IFS(
OR(MONTH(A8)=11,MONTH(A8)=12,MONTH(A8)=1,MONTH(A8)=2),"Winter",
OR(MONTH(A8)=3,MONTH(A8)=4),"Spring",
OR(MONTH(A8)=5,MONTH(A8)=6),"Summer",
OR(MONTH(A8)=7,MONTH(A8)=8,MONTH(A8)=9),"Monsoon",
MONTH(A8)=10,"Autumn/Festive",
TRUE,""
)</f>
        <v>Winter</v>
      </c>
    </row>
    <row r="9" spans="1:59" x14ac:dyDescent="0.3">
      <c r="A9" s="39">
        <v>45334</v>
      </c>
      <c r="B9" s="40" t="str">
        <f t="shared" si="0"/>
        <v>February</v>
      </c>
      <c r="C9" s="41">
        <v>9</v>
      </c>
      <c r="D9" s="44">
        <v>0</v>
      </c>
      <c r="E9" s="41">
        <v>0</v>
      </c>
      <c r="F9" s="41">
        <v>0</v>
      </c>
      <c r="G9" s="41">
        <v>0</v>
      </c>
      <c r="H9" s="41">
        <v>6</v>
      </c>
      <c r="I9" s="41">
        <v>7</v>
      </c>
      <c r="J9" s="41">
        <v>0</v>
      </c>
      <c r="K9" s="41">
        <v>1</v>
      </c>
      <c r="L9" s="41">
        <v>0</v>
      </c>
      <c r="M9" s="41">
        <v>1</v>
      </c>
      <c r="N9" s="42">
        <v>110</v>
      </c>
      <c r="O9" s="42">
        <v>110</v>
      </c>
      <c r="P9" s="42">
        <v>26</v>
      </c>
      <c r="Q9" s="42">
        <v>65</v>
      </c>
      <c r="R9" s="42">
        <v>200</v>
      </c>
      <c r="S9" s="42">
        <v>230</v>
      </c>
      <c r="T9" s="42">
        <v>250</v>
      </c>
      <c r="U9" s="42">
        <v>170</v>
      </c>
      <c r="V9" s="42">
        <v>25</v>
      </c>
      <c r="W9" s="42">
        <v>4</v>
      </c>
      <c r="X9" s="42">
        <v>265</v>
      </c>
      <c r="Y9" s="43">
        <v>130</v>
      </c>
      <c r="Z9" s="43">
        <v>150</v>
      </c>
      <c r="AA9" s="43">
        <v>30</v>
      </c>
      <c r="AB9" s="43">
        <v>95</v>
      </c>
      <c r="AC9" s="43">
        <v>250</v>
      </c>
      <c r="AD9" s="43">
        <v>260</v>
      </c>
      <c r="AE9" s="43">
        <v>280</v>
      </c>
      <c r="AF9" s="43">
        <v>200</v>
      </c>
      <c r="AG9" s="43">
        <v>30</v>
      </c>
      <c r="AH9" s="43">
        <v>6</v>
      </c>
      <c r="AI9" s="43">
        <v>300</v>
      </c>
      <c r="AJ9" s="41">
        <f t="shared" si="1"/>
        <v>1170</v>
      </c>
      <c r="AK9" s="41">
        <f t="shared" si="2"/>
        <v>0</v>
      </c>
      <c r="AL9" s="41">
        <f t="shared" si="2"/>
        <v>0</v>
      </c>
      <c r="AM9" s="41">
        <f t="shared" si="2"/>
        <v>0</v>
      </c>
      <c r="AN9" s="41">
        <f t="shared" si="2"/>
        <v>0</v>
      </c>
      <c r="AO9" s="41">
        <f t="shared" si="2"/>
        <v>1560</v>
      </c>
      <c r="AP9" s="41">
        <f t="shared" si="2"/>
        <v>1960</v>
      </c>
      <c r="AQ9" s="41">
        <f t="shared" si="2"/>
        <v>0</v>
      </c>
      <c r="AR9" s="41">
        <f t="shared" si="2"/>
        <v>30</v>
      </c>
      <c r="AS9" s="41">
        <f t="shared" si="2"/>
        <v>0</v>
      </c>
      <c r="AT9" s="41">
        <f t="shared" si="2"/>
        <v>300</v>
      </c>
      <c r="AU9" s="43">
        <f t="shared" si="3"/>
        <v>180</v>
      </c>
      <c r="AV9" s="43">
        <f t="shared" si="3"/>
        <v>0</v>
      </c>
      <c r="AW9" s="43">
        <f t="shared" si="3"/>
        <v>0</v>
      </c>
      <c r="AX9" s="43">
        <f t="shared" si="3"/>
        <v>0</v>
      </c>
      <c r="AY9" s="43">
        <f t="shared" si="3"/>
        <v>0</v>
      </c>
      <c r="AZ9" s="43">
        <f t="shared" si="3"/>
        <v>180</v>
      </c>
      <c r="BA9" s="43">
        <f t="shared" si="3"/>
        <v>210</v>
      </c>
      <c r="BB9" s="43">
        <f t="shared" si="3"/>
        <v>0</v>
      </c>
      <c r="BC9" s="43">
        <f t="shared" si="3"/>
        <v>5</v>
      </c>
      <c r="BD9" s="43">
        <f t="shared" si="3"/>
        <v>0</v>
      </c>
      <c r="BE9" s="43">
        <f t="shared" si="3"/>
        <v>35</v>
      </c>
      <c r="BF9" s="41">
        <f t="shared" si="4"/>
        <v>610</v>
      </c>
      <c r="BG9" s="41" t="str">
        <f t="array" ref="BG9">_xlfn.IFS(
OR(MONTH(A9)=11,MONTH(A9)=12,MONTH(A9)=1,MONTH(A9)=2),"Winter",
OR(MONTH(A9)=3,MONTH(A9)=4),"Spring",
OR(MONTH(A9)=5,MONTH(A9)=6),"Summer",
OR(MONTH(A9)=7,MONTH(A9)=8,MONTH(A9)=9),"Monsoon",
MONTH(A9)=10,"Autumn/Festive",
TRUE,""
)</f>
        <v>Winter</v>
      </c>
    </row>
    <row r="10" spans="1:59" x14ac:dyDescent="0.3">
      <c r="A10" s="39">
        <v>45335</v>
      </c>
      <c r="B10" s="40" t="str">
        <f t="shared" si="0"/>
        <v>February</v>
      </c>
      <c r="C10" s="41">
        <v>3</v>
      </c>
      <c r="D10" s="41">
        <v>4</v>
      </c>
      <c r="E10" s="41">
        <v>0</v>
      </c>
      <c r="F10" s="41">
        <v>2</v>
      </c>
      <c r="G10" s="41">
        <v>0</v>
      </c>
      <c r="H10" s="41">
        <v>3</v>
      </c>
      <c r="I10" s="41">
        <v>7</v>
      </c>
      <c r="J10" s="41">
        <v>0</v>
      </c>
      <c r="K10" s="41">
        <v>0</v>
      </c>
      <c r="L10" s="41">
        <v>0</v>
      </c>
      <c r="M10" s="41">
        <v>0</v>
      </c>
      <c r="N10" s="42">
        <v>110</v>
      </c>
      <c r="O10" s="42">
        <v>110</v>
      </c>
      <c r="P10" s="42">
        <v>26</v>
      </c>
      <c r="Q10" s="42">
        <v>65</v>
      </c>
      <c r="R10" s="42">
        <v>200</v>
      </c>
      <c r="S10" s="42">
        <v>230</v>
      </c>
      <c r="T10" s="42">
        <v>250</v>
      </c>
      <c r="U10" s="42">
        <v>170</v>
      </c>
      <c r="V10" s="42">
        <v>25</v>
      </c>
      <c r="W10" s="42">
        <v>4</v>
      </c>
      <c r="X10" s="42">
        <v>265</v>
      </c>
      <c r="Y10" s="43">
        <v>130</v>
      </c>
      <c r="Z10" s="43">
        <v>150</v>
      </c>
      <c r="AA10" s="43">
        <v>30</v>
      </c>
      <c r="AB10" s="43">
        <v>95</v>
      </c>
      <c r="AC10" s="43">
        <v>250</v>
      </c>
      <c r="AD10" s="43">
        <v>260</v>
      </c>
      <c r="AE10" s="43">
        <v>280</v>
      </c>
      <c r="AF10" s="43">
        <v>200</v>
      </c>
      <c r="AG10" s="43">
        <v>30</v>
      </c>
      <c r="AH10" s="43">
        <v>6</v>
      </c>
      <c r="AI10" s="43">
        <v>300</v>
      </c>
      <c r="AJ10" s="41">
        <f t="shared" si="1"/>
        <v>390</v>
      </c>
      <c r="AK10" s="41">
        <f t="shared" si="2"/>
        <v>600</v>
      </c>
      <c r="AL10" s="41">
        <f t="shared" si="2"/>
        <v>0</v>
      </c>
      <c r="AM10" s="41">
        <f t="shared" si="2"/>
        <v>190</v>
      </c>
      <c r="AN10" s="41">
        <f t="shared" si="2"/>
        <v>0</v>
      </c>
      <c r="AO10" s="41">
        <f t="shared" si="2"/>
        <v>780</v>
      </c>
      <c r="AP10" s="41">
        <f t="shared" si="2"/>
        <v>1960</v>
      </c>
      <c r="AQ10" s="41">
        <f t="shared" si="2"/>
        <v>0</v>
      </c>
      <c r="AR10" s="41">
        <f t="shared" si="2"/>
        <v>0</v>
      </c>
      <c r="AS10" s="41">
        <f t="shared" si="2"/>
        <v>0</v>
      </c>
      <c r="AT10" s="41">
        <f t="shared" si="2"/>
        <v>0</v>
      </c>
      <c r="AU10" s="43">
        <f t="shared" si="3"/>
        <v>60</v>
      </c>
      <c r="AV10" s="43">
        <f t="shared" si="3"/>
        <v>160</v>
      </c>
      <c r="AW10" s="43">
        <f t="shared" si="3"/>
        <v>0</v>
      </c>
      <c r="AX10" s="43">
        <f t="shared" si="3"/>
        <v>60</v>
      </c>
      <c r="AY10" s="43">
        <f t="shared" si="3"/>
        <v>0</v>
      </c>
      <c r="AZ10" s="43">
        <f t="shared" si="3"/>
        <v>90</v>
      </c>
      <c r="BA10" s="43">
        <f t="shared" si="3"/>
        <v>210</v>
      </c>
      <c r="BB10" s="43">
        <f t="shared" si="3"/>
        <v>0</v>
      </c>
      <c r="BC10" s="43">
        <f t="shared" si="3"/>
        <v>0</v>
      </c>
      <c r="BD10" s="43">
        <f t="shared" si="3"/>
        <v>0</v>
      </c>
      <c r="BE10" s="43">
        <f t="shared" si="3"/>
        <v>0</v>
      </c>
      <c r="BF10" s="41">
        <f t="shared" si="4"/>
        <v>580</v>
      </c>
      <c r="BG10" s="41" t="str">
        <f t="array" ref="BG10">_xlfn.IFS(
OR(MONTH(A10)=11,MONTH(A10)=12,MONTH(A10)=1,MONTH(A10)=2),"Winter",
OR(MONTH(A10)=3,MONTH(A10)=4),"Spring",
OR(MONTH(A10)=5,MONTH(A10)=6),"Summer",
OR(MONTH(A10)=7,MONTH(A10)=8,MONTH(A10)=9),"Monsoon",
MONTH(A10)=10,"Autumn/Festive",
TRUE,""
)</f>
        <v>Winter</v>
      </c>
    </row>
    <row r="11" spans="1:59" x14ac:dyDescent="0.3">
      <c r="A11" s="39">
        <v>45336</v>
      </c>
      <c r="B11" s="40" t="str">
        <f t="shared" si="0"/>
        <v>February</v>
      </c>
      <c r="C11" s="41">
        <v>5</v>
      </c>
      <c r="D11" s="41">
        <v>0</v>
      </c>
      <c r="E11" s="41">
        <v>0</v>
      </c>
      <c r="F11" s="41">
        <v>0</v>
      </c>
      <c r="G11" s="41">
        <v>0</v>
      </c>
      <c r="H11" s="41">
        <v>4</v>
      </c>
      <c r="I11" s="41">
        <v>5</v>
      </c>
      <c r="J11" s="41">
        <v>0</v>
      </c>
      <c r="K11" s="41">
        <v>0</v>
      </c>
      <c r="L11" s="41">
        <v>0</v>
      </c>
      <c r="M11" s="41">
        <v>0</v>
      </c>
      <c r="N11" s="42">
        <v>110</v>
      </c>
      <c r="O11" s="42">
        <v>110</v>
      </c>
      <c r="P11" s="42">
        <v>26</v>
      </c>
      <c r="Q11" s="42">
        <v>65</v>
      </c>
      <c r="R11" s="42">
        <v>200</v>
      </c>
      <c r="S11" s="42">
        <v>230</v>
      </c>
      <c r="T11" s="42">
        <v>250</v>
      </c>
      <c r="U11" s="42">
        <v>170</v>
      </c>
      <c r="V11" s="42">
        <v>25</v>
      </c>
      <c r="W11" s="42">
        <v>4</v>
      </c>
      <c r="X11" s="42">
        <v>265</v>
      </c>
      <c r="Y11" s="43">
        <v>130</v>
      </c>
      <c r="Z11" s="43">
        <v>150</v>
      </c>
      <c r="AA11" s="43">
        <v>30</v>
      </c>
      <c r="AB11" s="43">
        <v>95</v>
      </c>
      <c r="AC11" s="43">
        <v>250</v>
      </c>
      <c r="AD11" s="43">
        <v>260</v>
      </c>
      <c r="AE11" s="43">
        <v>280</v>
      </c>
      <c r="AF11" s="43">
        <v>200</v>
      </c>
      <c r="AG11" s="43">
        <v>30</v>
      </c>
      <c r="AH11" s="43">
        <v>6</v>
      </c>
      <c r="AI11" s="43">
        <v>300</v>
      </c>
      <c r="AJ11" s="41">
        <f t="shared" si="1"/>
        <v>650</v>
      </c>
      <c r="AK11" s="41">
        <f t="shared" si="2"/>
        <v>0</v>
      </c>
      <c r="AL11" s="41">
        <f t="shared" si="2"/>
        <v>0</v>
      </c>
      <c r="AM11" s="41">
        <f t="shared" si="2"/>
        <v>0</v>
      </c>
      <c r="AN11" s="41">
        <f t="shared" si="2"/>
        <v>0</v>
      </c>
      <c r="AO11" s="41">
        <f t="shared" si="2"/>
        <v>1040</v>
      </c>
      <c r="AP11" s="41">
        <f t="shared" si="2"/>
        <v>1400</v>
      </c>
      <c r="AQ11" s="41">
        <f t="shared" si="2"/>
        <v>0</v>
      </c>
      <c r="AR11" s="41">
        <f t="shared" si="2"/>
        <v>0</v>
      </c>
      <c r="AS11" s="41">
        <f t="shared" si="2"/>
        <v>0</v>
      </c>
      <c r="AT11" s="41">
        <f t="shared" si="2"/>
        <v>0</v>
      </c>
      <c r="AU11" s="43">
        <f t="shared" si="3"/>
        <v>100</v>
      </c>
      <c r="AV11" s="43">
        <f t="shared" si="3"/>
        <v>0</v>
      </c>
      <c r="AW11" s="43">
        <f t="shared" si="3"/>
        <v>0</v>
      </c>
      <c r="AX11" s="43">
        <f t="shared" si="3"/>
        <v>0</v>
      </c>
      <c r="AY11" s="43">
        <f t="shared" si="3"/>
        <v>0</v>
      </c>
      <c r="AZ11" s="43">
        <f t="shared" si="3"/>
        <v>120</v>
      </c>
      <c r="BA11" s="43">
        <f t="shared" si="3"/>
        <v>150</v>
      </c>
      <c r="BB11" s="43">
        <f t="shared" si="3"/>
        <v>0</v>
      </c>
      <c r="BC11" s="43">
        <f t="shared" si="3"/>
        <v>0</v>
      </c>
      <c r="BD11" s="43">
        <f t="shared" si="3"/>
        <v>0</v>
      </c>
      <c r="BE11" s="43">
        <f t="shared" si="3"/>
        <v>0</v>
      </c>
      <c r="BF11" s="41">
        <f t="shared" si="4"/>
        <v>370</v>
      </c>
      <c r="BG11" s="41" t="str">
        <f t="array" ref="BG11">_xlfn.IFS(
OR(MONTH(A11)=11,MONTH(A11)=12,MONTH(A11)=1,MONTH(A11)=2),"Winter",
OR(MONTH(A11)=3,MONTH(A11)=4),"Spring",
OR(MONTH(A11)=5,MONTH(A11)=6),"Summer",
OR(MONTH(A11)=7,MONTH(A11)=8,MONTH(A11)=9),"Monsoon",
MONTH(A11)=10,"Autumn/Festive",
TRUE,""
)</f>
        <v>Winter</v>
      </c>
    </row>
    <row r="12" spans="1:59" x14ac:dyDescent="0.3">
      <c r="A12" s="39">
        <v>45337</v>
      </c>
      <c r="B12" s="40" t="str">
        <f t="shared" si="0"/>
        <v>February</v>
      </c>
      <c r="C12" s="41">
        <v>10</v>
      </c>
      <c r="D12" s="41">
        <v>0</v>
      </c>
      <c r="E12" s="41">
        <v>0</v>
      </c>
      <c r="F12" s="41">
        <v>0</v>
      </c>
      <c r="G12" s="41">
        <v>0</v>
      </c>
      <c r="H12" s="41">
        <v>2.5</v>
      </c>
      <c r="I12" s="41">
        <v>3.5</v>
      </c>
      <c r="J12" s="41">
        <v>2</v>
      </c>
      <c r="K12" s="41">
        <v>2</v>
      </c>
      <c r="L12" s="41">
        <v>15</v>
      </c>
      <c r="M12" s="41">
        <v>1</v>
      </c>
      <c r="N12" s="42">
        <v>110</v>
      </c>
      <c r="O12" s="42">
        <v>110</v>
      </c>
      <c r="P12" s="42">
        <v>26</v>
      </c>
      <c r="Q12" s="42">
        <v>65</v>
      </c>
      <c r="R12" s="42">
        <v>200</v>
      </c>
      <c r="S12" s="42">
        <v>230</v>
      </c>
      <c r="T12" s="42">
        <v>250</v>
      </c>
      <c r="U12" s="42">
        <v>170</v>
      </c>
      <c r="V12" s="42">
        <v>25</v>
      </c>
      <c r="W12" s="42">
        <v>4</v>
      </c>
      <c r="X12" s="42">
        <v>265</v>
      </c>
      <c r="Y12" s="43">
        <v>130</v>
      </c>
      <c r="Z12" s="43">
        <v>150</v>
      </c>
      <c r="AA12" s="43">
        <v>30</v>
      </c>
      <c r="AB12" s="43">
        <v>95</v>
      </c>
      <c r="AC12" s="43">
        <v>250</v>
      </c>
      <c r="AD12" s="43">
        <v>260</v>
      </c>
      <c r="AE12" s="43">
        <v>280</v>
      </c>
      <c r="AF12" s="43">
        <v>200</v>
      </c>
      <c r="AG12" s="43">
        <v>30</v>
      </c>
      <c r="AH12" s="43">
        <v>6</v>
      </c>
      <c r="AI12" s="43">
        <v>300</v>
      </c>
      <c r="AJ12" s="41">
        <f t="shared" si="1"/>
        <v>1300</v>
      </c>
      <c r="AK12" s="41">
        <f t="shared" si="2"/>
        <v>0</v>
      </c>
      <c r="AL12" s="41">
        <f t="shared" si="2"/>
        <v>0</v>
      </c>
      <c r="AM12" s="41">
        <f t="shared" si="2"/>
        <v>0</v>
      </c>
      <c r="AN12" s="41">
        <f t="shared" si="2"/>
        <v>0</v>
      </c>
      <c r="AO12" s="41">
        <f t="shared" si="2"/>
        <v>650</v>
      </c>
      <c r="AP12" s="41">
        <f t="shared" si="2"/>
        <v>980</v>
      </c>
      <c r="AQ12" s="41">
        <f t="shared" si="2"/>
        <v>400</v>
      </c>
      <c r="AR12" s="41">
        <f t="shared" si="2"/>
        <v>60</v>
      </c>
      <c r="AS12" s="41">
        <f t="shared" si="2"/>
        <v>90</v>
      </c>
      <c r="AT12" s="41">
        <f t="shared" si="2"/>
        <v>300</v>
      </c>
      <c r="AU12" s="43">
        <f t="shared" si="3"/>
        <v>200</v>
      </c>
      <c r="AV12" s="43">
        <f t="shared" si="3"/>
        <v>0</v>
      </c>
      <c r="AW12" s="43">
        <f t="shared" si="3"/>
        <v>0</v>
      </c>
      <c r="AX12" s="43">
        <f t="shared" si="3"/>
        <v>0</v>
      </c>
      <c r="AY12" s="43">
        <f t="shared" si="3"/>
        <v>0</v>
      </c>
      <c r="AZ12" s="43">
        <f t="shared" si="3"/>
        <v>75</v>
      </c>
      <c r="BA12" s="43">
        <f t="shared" si="3"/>
        <v>105</v>
      </c>
      <c r="BB12" s="43">
        <f t="shared" si="3"/>
        <v>60</v>
      </c>
      <c r="BC12" s="43">
        <f t="shared" si="3"/>
        <v>10</v>
      </c>
      <c r="BD12" s="43">
        <f t="shared" si="3"/>
        <v>30</v>
      </c>
      <c r="BE12" s="43">
        <f t="shared" si="3"/>
        <v>35</v>
      </c>
      <c r="BF12" s="41">
        <f t="shared" si="4"/>
        <v>515</v>
      </c>
      <c r="BG12" s="41" t="str">
        <f t="array" ref="BG12">_xlfn.IFS(
OR(MONTH(A12)=11,MONTH(A12)=12,MONTH(A12)=1,MONTH(A12)=2),"Winter",
OR(MONTH(A12)=3,MONTH(A12)=4),"Spring",
OR(MONTH(A12)=5,MONTH(A12)=6),"Summer",
OR(MONTH(A12)=7,MONTH(A12)=8,MONTH(A12)=9),"Monsoon",
MONTH(A12)=10,"Autumn/Festive",
TRUE,""
)</f>
        <v>Winter</v>
      </c>
    </row>
    <row r="13" spans="1:59" x14ac:dyDescent="0.3">
      <c r="A13" s="39">
        <v>45338</v>
      </c>
      <c r="B13" s="40" t="str">
        <f t="shared" si="0"/>
        <v>February</v>
      </c>
      <c r="C13" s="41">
        <v>3</v>
      </c>
      <c r="D13" s="41">
        <v>2</v>
      </c>
      <c r="E13" s="41">
        <v>0</v>
      </c>
      <c r="F13" s="41">
        <v>0</v>
      </c>
      <c r="G13" s="41">
        <v>0</v>
      </c>
      <c r="H13" s="41">
        <v>5</v>
      </c>
      <c r="I13" s="41">
        <v>6</v>
      </c>
      <c r="J13" s="41">
        <v>1</v>
      </c>
      <c r="K13" s="41">
        <v>0</v>
      </c>
      <c r="L13" s="41">
        <v>0</v>
      </c>
      <c r="M13" s="41">
        <v>0</v>
      </c>
      <c r="N13" s="42">
        <v>110</v>
      </c>
      <c r="O13" s="42">
        <v>110</v>
      </c>
      <c r="P13" s="42">
        <v>26</v>
      </c>
      <c r="Q13" s="42">
        <v>65</v>
      </c>
      <c r="R13" s="42">
        <v>200</v>
      </c>
      <c r="S13" s="42">
        <v>230</v>
      </c>
      <c r="T13" s="42">
        <v>250</v>
      </c>
      <c r="U13" s="42">
        <v>170</v>
      </c>
      <c r="V13" s="42">
        <v>25</v>
      </c>
      <c r="W13" s="42">
        <v>4</v>
      </c>
      <c r="X13" s="42">
        <v>265</v>
      </c>
      <c r="Y13" s="43">
        <v>130</v>
      </c>
      <c r="Z13" s="43">
        <v>150</v>
      </c>
      <c r="AA13" s="43">
        <v>30</v>
      </c>
      <c r="AB13" s="43">
        <v>95</v>
      </c>
      <c r="AC13" s="43">
        <v>250</v>
      </c>
      <c r="AD13" s="43">
        <v>260</v>
      </c>
      <c r="AE13" s="43">
        <v>280</v>
      </c>
      <c r="AF13" s="43">
        <v>200</v>
      </c>
      <c r="AG13" s="43">
        <v>30</v>
      </c>
      <c r="AH13" s="43">
        <v>6</v>
      </c>
      <c r="AI13" s="43">
        <v>300</v>
      </c>
      <c r="AJ13" s="41">
        <f t="shared" si="1"/>
        <v>390</v>
      </c>
      <c r="AK13" s="41">
        <f t="shared" si="2"/>
        <v>300</v>
      </c>
      <c r="AL13" s="41">
        <f t="shared" si="2"/>
        <v>0</v>
      </c>
      <c r="AM13" s="41">
        <f t="shared" si="2"/>
        <v>0</v>
      </c>
      <c r="AN13" s="41">
        <f t="shared" si="2"/>
        <v>0</v>
      </c>
      <c r="AO13" s="41">
        <f t="shared" si="2"/>
        <v>1300</v>
      </c>
      <c r="AP13" s="41">
        <f t="shared" si="2"/>
        <v>1680</v>
      </c>
      <c r="AQ13" s="41">
        <f t="shared" si="2"/>
        <v>200</v>
      </c>
      <c r="AR13" s="41">
        <f t="shared" si="2"/>
        <v>0</v>
      </c>
      <c r="AS13" s="41">
        <f t="shared" si="2"/>
        <v>0</v>
      </c>
      <c r="AT13" s="41">
        <f t="shared" si="2"/>
        <v>0</v>
      </c>
      <c r="AU13" s="43">
        <f t="shared" si="3"/>
        <v>60</v>
      </c>
      <c r="AV13" s="43">
        <f t="shared" si="3"/>
        <v>80</v>
      </c>
      <c r="AW13" s="43">
        <f t="shared" si="3"/>
        <v>0</v>
      </c>
      <c r="AX13" s="43">
        <f t="shared" si="3"/>
        <v>0</v>
      </c>
      <c r="AY13" s="43">
        <f t="shared" si="3"/>
        <v>0</v>
      </c>
      <c r="AZ13" s="43">
        <f t="shared" si="3"/>
        <v>150</v>
      </c>
      <c r="BA13" s="43">
        <f t="shared" si="3"/>
        <v>180</v>
      </c>
      <c r="BB13" s="43">
        <f t="shared" si="3"/>
        <v>30</v>
      </c>
      <c r="BC13" s="43">
        <f t="shared" si="3"/>
        <v>0</v>
      </c>
      <c r="BD13" s="43">
        <f t="shared" si="3"/>
        <v>0</v>
      </c>
      <c r="BE13" s="43">
        <f t="shared" si="3"/>
        <v>0</v>
      </c>
      <c r="BF13" s="41">
        <f t="shared" si="4"/>
        <v>500</v>
      </c>
      <c r="BG13" s="41" t="str">
        <f t="array" ref="BG13">_xlfn.IFS(
OR(MONTH(A13)=11,MONTH(A13)=12,MONTH(A13)=1,MONTH(A13)=2),"Winter",
OR(MONTH(A13)=3,MONTH(A13)=4),"Spring",
OR(MONTH(A13)=5,MONTH(A13)=6),"Summer",
OR(MONTH(A13)=7,MONTH(A13)=8,MONTH(A13)=9),"Monsoon",
MONTH(A13)=10,"Autumn/Festive",
TRUE,""
)</f>
        <v>Winter</v>
      </c>
    </row>
    <row r="14" spans="1:59" x14ac:dyDescent="0.3">
      <c r="A14" s="39">
        <v>45339</v>
      </c>
      <c r="B14" s="40" t="str">
        <f t="shared" si="0"/>
        <v>February</v>
      </c>
      <c r="C14" s="41">
        <v>6</v>
      </c>
      <c r="D14" s="41">
        <v>0</v>
      </c>
      <c r="E14" s="41">
        <v>0</v>
      </c>
      <c r="F14" s="41">
        <v>0</v>
      </c>
      <c r="G14" s="41">
        <v>0</v>
      </c>
      <c r="H14" s="41">
        <v>4.5</v>
      </c>
      <c r="I14" s="41">
        <v>6</v>
      </c>
      <c r="J14" s="41">
        <v>1</v>
      </c>
      <c r="K14" s="41">
        <v>2</v>
      </c>
      <c r="L14" s="41">
        <v>0</v>
      </c>
      <c r="M14" s="41">
        <v>2</v>
      </c>
      <c r="N14" s="42">
        <v>110</v>
      </c>
      <c r="O14" s="42">
        <v>110</v>
      </c>
      <c r="P14" s="42">
        <v>26</v>
      </c>
      <c r="Q14" s="42">
        <v>65</v>
      </c>
      <c r="R14" s="42">
        <v>200</v>
      </c>
      <c r="S14" s="42">
        <v>230</v>
      </c>
      <c r="T14" s="42">
        <v>250</v>
      </c>
      <c r="U14" s="42">
        <v>170</v>
      </c>
      <c r="V14" s="42">
        <v>25</v>
      </c>
      <c r="W14" s="42">
        <v>4</v>
      </c>
      <c r="X14" s="42">
        <v>265</v>
      </c>
      <c r="Y14" s="43">
        <v>130</v>
      </c>
      <c r="Z14" s="43">
        <v>150</v>
      </c>
      <c r="AA14" s="43">
        <v>30</v>
      </c>
      <c r="AB14" s="43">
        <v>95</v>
      </c>
      <c r="AC14" s="43">
        <v>250</v>
      </c>
      <c r="AD14" s="43">
        <v>260</v>
      </c>
      <c r="AE14" s="43">
        <v>280</v>
      </c>
      <c r="AF14" s="43">
        <v>200</v>
      </c>
      <c r="AG14" s="43">
        <v>30</v>
      </c>
      <c r="AH14" s="43">
        <v>6</v>
      </c>
      <c r="AI14" s="43">
        <v>300</v>
      </c>
      <c r="AJ14" s="41">
        <f t="shared" si="1"/>
        <v>780</v>
      </c>
      <c r="AK14" s="41">
        <f t="shared" si="2"/>
        <v>0</v>
      </c>
      <c r="AL14" s="41">
        <f t="shared" si="2"/>
        <v>0</v>
      </c>
      <c r="AM14" s="41">
        <f t="shared" si="2"/>
        <v>0</v>
      </c>
      <c r="AN14" s="41">
        <f t="shared" si="2"/>
        <v>0</v>
      </c>
      <c r="AO14" s="41">
        <f t="shared" si="2"/>
        <v>1170</v>
      </c>
      <c r="AP14" s="41">
        <f t="shared" si="2"/>
        <v>1680</v>
      </c>
      <c r="AQ14" s="41">
        <f t="shared" si="2"/>
        <v>200</v>
      </c>
      <c r="AR14" s="41">
        <f t="shared" si="2"/>
        <v>60</v>
      </c>
      <c r="AS14" s="41">
        <f t="shared" si="2"/>
        <v>0</v>
      </c>
      <c r="AT14" s="41">
        <f t="shared" si="2"/>
        <v>600</v>
      </c>
      <c r="AU14" s="43">
        <f t="shared" si="3"/>
        <v>120</v>
      </c>
      <c r="AV14" s="43">
        <f t="shared" si="3"/>
        <v>0</v>
      </c>
      <c r="AW14" s="43">
        <f t="shared" si="3"/>
        <v>0</v>
      </c>
      <c r="AX14" s="43">
        <f t="shared" si="3"/>
        <v>0</v>
      </c>
      <c r="AY14" s="43">
        <f t="shared" si="3"/>
        <v>0</v>
      </c>
      <c r="AZ14" s="43">
        <f t="shared" si="3"/>
        <v>135</v>
      </c>
      <c r="BA14" s="43">
        <f t="shared" si="3"/>
        <v>180</v>
      </c>
      <c r="BB14" s="43">
        <f t="shared" si="3"/>
        <v>30</v>
      </c>
      <c r="BC14" s="43">
        <f t="shared" si="3"/>
        <v>10</v>
      </c>
      <c r="BD14" s="43">
        <f t="shared" si="3"/>
        <v>0</v>
      </c>
      <c r="BE14" s="43">
        <f t="shared" si="3"/>
        <v>70</v>
      </c>
      <c r="BF14" s="41">
        <f t="shared" si="4"/>
        <v>545</v>
      </c>
      <c r="BG14" s="41" t="str">
        <f t="array" ref="BG14">_xlfn.IFS(
OR(MONTH(A14)=11,MONTH(A14)=12,MONTH(A14)=1,MONTH(A14)=2),"Winter",
OR(MONTH(A14)=3,MONTH(A14)=4),"Spring",
OR(MONTH(A14)=5,MONTH(A14)=6),"Summer",
OR(MONTH(A14)=7,MONTH(A14)=8,MONTH(A14)=9),"Monsoon",
MONTH(A14)=10,"Autumn/Festive",
TRUE,""
)</f>
        <v>Winter</v>
      </c>
    </row>
    <row r="15" spans="1:59" x14ac:dyDescent="0.3">
      <c r="A15" s="39">
        <v>45340</v>
      </c>
      <c r="B15" s="40" t="str">
        <f t="shared" si="0"/>
        <v>February</v>
      </c>
      <c r="C15" s="41">
        <v>7</v>
      </c>
      <c r="D15" s="41">
        <v>0</v>
      </c>
      <c r="E15" s="41">
        <v>0</v>
      </c>
      <c r="F15" s="41">
        <v>1</v>
      </c>
      <c r="G15" s="41">
        <v>0</v>
      </c>
      <c r="H15" s="41">
        <v>4</v>
      </c>
      <c r="I15" s="41">
        <v>4</v>
      </c>
      <c r="J15" s="41">
        <v>0</v>
      </c>
      <c r="K15" s="41">
        <v>0</v>
      </c>
      <c r="L15" s="41">
        <v>0</v>
      </c>
      <c r="M15" s="41">
        <v>0</v>
      </c>
      <c r="N15" s="42">
        <v>110</v>
      </c>
      <c r="O15" s="42">
        <v>110</v>
      </c>
      <c r="P15" s="42">
        <v>26</v>
      </c>
      <c r="Q15" s="42">
        <v>65</v>
      </c>
      <c r="R15" s="42">
        <v>200</v>
      </c>
      <c r="S15" s="42">
        <v>230</v>
      </c>
      <c r="T15" s="42">
        <v>250</v>
      </c>
      <c r="U15" s="42">
        <v>170</v>
      </c>
      <c r="V15" s="42">
        <v>25</v>
      </c>
      <c r="W15" s="42">
        <v>4</v>
      </c>
      <c r="X15" s="42">
        <v>265</v>
      </c>
      <c r="Y15" s="43">
        <v>130</v>
      </c>
      <c r="Z15" s="43">
        <v>150</v>
      </c>
      <c r="AA15" s="43">
        <v>30</v>
      </c>
      <c r="AB15" s="43">
        <v>95</v>
      </c>
      <c r="AC15" s="43">
        <v>250</v>
      </c>
      <c r="AD15" s="43">
        <v>260</v>
      </c>
      <c r="AE15" s="43">
        <v>280</v>
      </c>
      <c r="AF15" s="43">
        <v>200</v>
      </c>
      <c r="AG15" s="43">
        <v>30</v>
      </c>
      <c r="AH15" s="43">
        <v>6</v>
      </c>
      <c r="AI15" s="43">
        <v>300</v>
      </c>
      <c r="AJ15" s="41">
        <f t="shared" si="1"/>
        <v>910</v>
      </c>
      <c r="AK15" s="41">
        <f t="shared" si="2"/>
        <v>0</v>
      </c>
      <c r="AL15" s="41">
        <f t="shared" si="2"/>
        <v>0</v>
      </c>
      <c r="AM15" s="41">
        <f t="shared" si="2"/>
        <v>95</v>
      </c>
      <c r="AN15" s="41">
        <f t="shared" si="2"/>
        <v>0</v>
      </c>
      <c r="AO15" s="41">
        <f t="shared" si="2"/>
        <v>1040</v>
      </c>
      <c r="AP15" s="41">
        <f t="shared" si="2"/>
        <v>1120</v>
      </c>
      <c r="AQ15" s="41">
        <f t="shared" si="2"/>
        <v>0</v>
      </c>
      <c r="AR15" s="41">
        <f t="shared" si="2"/>
        <v>0</v>
      </c>
      <c r="AS15" s="41">
        <f t="shared" si="2"/>
        <v>0</v>
      </c>
      <c r="AT15" s="41">
        <f t="shared" si="2"/>
        <v>0</v>
      </c>
      <c r="AU15" s="43">
        <f t="shared" si="3"/>
        <v>140</v>
      </c>
      <c r="AV15" s="43">
        <f t="shared" si="3"/>
        <v>0</v>
      </c>
      <c r="AW15" s="43">
        <f t="shared" si="3"/>
        <v>0</v>
      </c>
      <c r="AX15" s="43">
        <f t="shared" si="3"/>
        <v>30</v>
      </c>
      <c r="AY15" s="43">
        <f t="shared" si="3"/>
        <v>0</v>
      </c>
      <c r="AZ15" s="43">
        <f t="shared" si="3"/>
        <v>120</v>
      </c>
      <c r="BA15" s="43">
        <f t="shared" si="3"/>
        <v>120</v>
      </c>
      <c r="BB15" s="43">
        <f t="shared" si="3"/>
        <v>0</v>
      </c>
      <c r="BC15" s="43">
        <f t="shared" si="3"/>
        <v>0</v>
      </c>
      <c r="BD15" s="43">
        <f t="shared" si="3"/>
        <v>0</v>
      </c>
      <c r="BE15" s="43">
        <f t="shared" si="3"/>
        <v>0</v>
      </c>
      <c r="BF15" s="41">
        <f t="shared" si="4"/>
        <v>410</v>
      </c>
      <c r="BG15" s="41" t="str">
        <f t="array" ref="BG15">_xlfn.IFS(
OR(MONTH(A15)=11,MONTH(A15)=12,MONTH(A15)=1,MONTH(A15)=2),"Winter",
OR(MONTH(A15)=3,MONTH(A15)=4),"Spring",
OR(MONTH(A15)=5,MONTH(A15)=6),"Summer",
OR(MONTH(A15)=7,MONTH(A15)=8,MONTH(A15)=9),"Monsoon",
MONTH(A15)=10,"Autumn/Festive",
TRUE,""
)</f>
        <v>Winter</v>
      </c>
    </row>
    <row r="16" spans="1:59" x14ac:dyDescent="0.3">
      <c r="A16" s="39">
        <v>45341</v>
      </c>
      <c r="B16" s="40" t="str">
        <f t="shared" si="0"/>
        <v>February</v>
      </c>
      <c r="C16" s="41">
        <v>14</v>
      </c>
      <c r="D16" s="41">
        <v>11</v>
      </c>
      <c r="E16" s="41">
        <v>0</v>
      </c>
      <c r="F16" s="41">
        <v>0</v>
      </c>
      <c r="G16" s="41">
        <v>0</v>
      </c>
      <c r="H16" s="41">
        <v>3</v>
      </c>
      <c r="I16" s="41">
        <v>6</v>
      </c>
      <c r="J16" s="41">
        <v>0</v>
      </c>
      <c r="K16" s="41">
        <v>0</v>
      </c>
      <c r="L16" s="41">
        <v>0</v>
      </c>
      <c r="M16" s="41">
        <v>0</v>
      </c>
      <c r="N16" s="42">
        <v>110</v>
      </c>
      <c r="O16" s="42">
        <v>110</v>
      </c>
      <c r="P16" s="42">
        <v>26</v>
      </c>
      <c r="Q16" s="42">
        <v>65</v>
      </c>
      <c r="R16" s="42">
        <v>200</v>
      </c>
      <c r="S16" s="42">
        <v>230</v>
      </c>
      <c r="T16" s="42">
        <v>250</v>
      </c>
      <c r="U16" s="42">
        <v>170</v>
      </c>
      <c r="V16" s="42">
        <v>25</v>
      </c>
      <c r="W16" s="42">
        <v>4</v>
      </c>
      <c r="X16" s="42">
        <v>265</v>
      </c>
      <c r="Y16" s="43">
        <v>130</v>
      </c>
      <c r="Z16" s="43">
        <v>150</v>
      </c>
      <c r="AA16" s="43">
        <v>30</v>
      </c>
      <c r="AB16" s="43">
        <v>95</v>
      </c>
      <c r="AC16" s="43">
        <v>250</v>
      </c>
      <c r="AD16" s="43">
        <v>260</v>
      </c>
      <c r="AE16" s="43">
        <v>280</v>
      </c>
      <c r="AF16" s="43">
        <v>200</v>
      </c>
      <c r="AG16" s="43">
        <v>30</v>
      </c>
      <c r="AH16" s="43">
        <v>6</v>
      </c>
      <c r="AI16" s="43">
        <v>300</v>
      </c>
      <c r="AJ16" s="41">
        <f t="shared" si="1"/>
        <v>1820</v>
      </c>
      <c r="AK16" s="41">
        <f t="shared" si="2"/>
        <v>1650</v>
      </c>
      <c r="AL16" s="41">
        <f t="shared" si="2"/>
        <v>0</v>
      </c>
      <c r="AM16" s="41">
        <f t="shared" si="2"/>
        <v>0</v>
      </c>
      <c r="AN16" s="41">
        <f t="shared" si="2"/>
        <v>0</v>
      </c>
      <c r="AO16" s="41">
        <f t="shared" si="2"/>
        <v>780</v>
      </c>
      <c r="AP16" s="41">
        <f t="shared" si="2"/>
        <v>1680</v>
      </c>
      <c r="AQ16" s="41">
        <f t="shared" si="2"/>
        <v>0</v>
      </c>
      <c r="AR16" s="41">
        <f t="shared" si="2"/>
        <v>0</v>
      </c>
      <c r="AS16" s="41">
        <f t="shared" si="2"/>
        <v>0</v>
      </c>
      <c r="AT16" s="41">
        <f t="shared" si="2"/>
        <v>0</v>
      </c>
      <c r="AU16" s="43">
        <f t="shared" si="3"/>
        <v>280</v>
      </c>
      <c r="AV16" s="43">
        <f t="shared" si="3"/>
        <v>440</v>
      </c>
      <c r="AW16" s="43">
        <f t="shared" si="3"/>
        <v>0</v>
      </c>
      <c r="AX16" s="43">
        <f t="shared" si="3"/>
        <v>0</v>
      </c>
      <c r="AY16" s="43">
        <f t="shared" si="3"/>
        <v>0</v>
      </c>
      <c r="AZ16" s="43">
        <f t="shared" si="3"/>
        <v>90</v>
      </c>
      <c r="BA16" s="43">
        <f t="shared" si="3"/>
        <v>180</v>
      </c>
      <c r="BB16" s="43">
        <f t="shared" si="3"/>
        <v>0</v>
      </c>
      <c r="BC16" s="43">
        <f t="shared" si="3"/>
        <v>0</v>
      </c>
      <c r="BD16" s="43">
        <f t="shared" si="3"/>
        <v>0</v>
      </c>
      <c r="BE16" s="43">
        <f t="shared" si="3"/>
        <v>0</v>
      </c>
      <c r="BF16" s="41">
        <f t="shared" si="4"/>
        <v>990</v>
      </c>
      <c r="BG16" s="41" t="str">
        <f t="array" ref="BG16">_xlfn.IFS(
OR(MONTH(A16)=11,MONTH(A16)=12,MONTH(A16)=1,MONTH(A16)=2),"Winter",
OR(MONTH(A16)=3,MONTH(A16)=4),"Spring",
OR(MONTH(A16)=5,MONTH(A16)=6),"Summer",
OR(MONTH(A16)=7,MONTH(A16)=8,MONTH(A16)=9),"Monsoon",
MONTH(A16)=10,"Autumn/Festive",
TRUE,""
)</f>
        <v>Winter</v>
      </c>
    </row>
    <row r="17" spans="1:59" x14ac:dyDescent="0.3">
      <c r="A17" s="39">
        <v>45342</v>
      </c>
      <c r="B17" s="40" t="str">
        <f t="shared" si="0"/>
        <v>February</v>
      </c>
      <c r="C17" s="41">
        <v>6</v>
      </c>
      <c r="D17" s="41">
        <v>0</v>
      </c>
      <c r="E17" s="41">
        <v>0</v>
      </c>
      <c r="F17" s="41">
        <v>0</v>
      </c>
      <c r="G17" s="41">
        <v>0</v>
      </c>
      <c r="H17" s="41">
        <v>12</v>
      </c>
      <c r="I17" s="41">
        <v>2</v>
      </c>
      <c r="J17" s="41">
        <v>0</v>
      </c>
      <c r="K17" s="41">
        <v>0</v>
      </c>
      <c r="L17" s="41">
        <v>0</v>
      </c>
      <c r="M17" s="41">
        <v>1</v>
      </c>
      <c r="N17" s="42">
        <v>110</v>
      </c>
      <c r="O17" s="42">
        <v>110</v>
      </c>
      <c r="P17" s="42">
        <v>26</v>
      </c>
      <c r="Q17" s="42">
        <v>65</v>
      </c>
      <c r="R17" s="42">
        <v>200</v>
      </c>
      <c r="S17" s="42">
        <v>230</v>
      </c>
      <c r="T17" s="42">
        <v>250</v>
      </c>
      <c r="U17" s="42">
        <v>170</v>
      </c>
      <c r="V17" s="42">
        <v>25</v>
      </c>
      <c r="W17" s="42">
        <v>4</v>
      </c>
      <c r="X17" s="42">
        <v>265</v>
      </c>
      <c r="Y17" s="43">
        <v>130</v>
      </c>
      <c r="Z17" s="43">
        <v>150</v>
      </c>
      <c r="AA17" s="43">
        <v>30</v>
      </c>
      <c r="AB17" s="43">
        <v>95</v>
      </c>
      <c r="AC17" s="43">
        <v>250</v>
      </c>
      <c r="AD17" s="43">
        <v>260</v>
      </c>
      <c r="AE17" s="43">
        <v>280</v>
      </c>
      <c r="AF17" s="43">
        <v>200</v>
      </c>
      <c r="AG17" s="43">
        <v>30</v>
      </c>
      <c r="AH17" s="43">
        <v>6</v>
      </c>
      <c r="AI17" s="43">
        <v>300</v>
      </c>
      <c r="AJ17" s="41">
        <f t="shared" si="1"/>
        <v>780</v>
      </c>
      <c r="AK17" s="41">
        <f t="shared" si="2"/>
        <v>0</v>
      </c>
      <c r="AL17" s="41">
        <f t="shared" si="2"/>
        <v>0</v>
      </c>
      <c r="AM17" s="41">
        <f t="shared" si="2"/>
        <v>0</v>
      </c>
      <c r="AN17" s="41">
        <f t="shared" si="2"/>
        <v>0</v>
      </c>
      <c r="AO17" s="41">
        <f t="shared" si="2"/>
        <v>3120</v>
      </c>
      <c r="AP17" s="41">
        <f t="shared" si="2"/>
        <v>560</v>
      </c>
      <c r="AQ17" s="41">
        <f t="shared" si="2"/>
        <v>0</v>
      </c>
      <c r="AR17" s="41">
        <f t="shared" si="2"/>
        <v>0</v>
      </c>
      <c r="AS17" s="41">
        <f t="shared" si="2"/>
        <v>0</v>
      </c>
      <c r="AT17" s="41">
        <f t="shared" si="2"/>
        <v>300</v>
      </c>
      <c r="AU17" s="43">
        <f t="shared" si="3"/>
        <v>120</v>
      </c>
      <c r="AV17" s="43">
        <f t="shared" si="3"/>
        <v>0</v>
      </c>
      <c r="AW17" s="43">
        <f t="shared" si="3"/>
        <v>0</v>
      </c>
      <c r="AX17" s="43">
        <f t="shared" si="3"/>
        <v>0</v>
      </c>
      <c r="AY17" s="43">
        <f t="shared" si="3"/>
        <v>0</v>
      </c>
      <c r="AZ17" s="43">
        <f t="shared" si="3"/>
        <v>360</v>
      </c>
      <c r="BA17" s="43">
        <f t="shared" si="3"/>
        <v>60</v>
      </c>
      <c r="BB17" s="43">
        <f t="shared" si="3"/>
        <v>0</v>
      </c>
      <c r="BC17" s="43">
        <f t="shared" si="3"/>
        <v>0</v>
      </c>
      <c r="BD17" s="43">
        <f t="shared" si="3"/>
        <v>0</v>
      </c>
      <c r="BE17" s="43">
        <f t="shared" si="3"/>
        <v>35</v>
      </c>
      <c r="BF17" s="41">
        <f t="shared" si="4"/>
        <v>575</v>
      </c>
      <c r="BG17" s="41" t="str">
        <f t="array" ref="BG17">_xlfn.IFS(
OR(MONTH(A17)=11,MONTH(A17)=12,MONTH(A17)=1,MONTH(A17)=2),"Winter",
OR(MONTH(A17)=3,MONTH(A17)=4),"Spring",
OR(MONTH(A17)=5,MONTH(A17)=6),"Summer",
OR(MONTH(A17)=7,MONTH(A17)=8,MONTH(A17)=9),"Monsoon",
MONTH(A17)=10,"Autumn/Festive",
TRUE,""
)</f>
        <v>Winter</v>
      </c>
    </row>
    <row r="18" spans="1:59" x14ac:dyDescent="0.3">
      <c r="A18" s="39">
        <v>45343</v>
      </c>
      <c r="B18" s="40" t="str">
        <f t="shared" si="0"/>
        <v>February</v>
      </c>
      <c r="C18" s="41">
        <v>9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2.5</v>
      </c>
      <c r="J18" s="41">
        <v>0</v>
      </c>
      <c r="K18" s="41">
        <v>2</v>
      </c>
      <c r="L18" s="41">
        <v>8</v>
      </c>
      <c r="M18" s="41">
        <v>0</v>
      </c>
      <c r="N18" s="42">
        <v>110</v>
      </c>
      <c r="O18" s="42">
        <v>110</v>
      </c>
      <c r="P18" s="42">
        <v>26</v>
      </c>
      <c r="Q18" s="42">
        <v>65</v>
      </c>
      <c r="R18" s="42">
        <v>200</v>
      </c>
      <c r="S18" s="42">
        <v>230</v>
      </c>
      <c r="T18" s="42">
        <v>250</v>
      </c>
      <c r="U18" s="42">
        <v>170</v>
      </c>
      <c r="V18" s="42">
        <v>25</v>
      </c>
      <c r="W18" s="42">
        <v>4</v>
      </c>
      <c r="X18" s="42">
        <v>265</v>
      </c>
      <c r="Y18" s="43">
        <v>130</v>
      </c>
      <c r="Z18" s="43">
        <v>150</v>
      </c>
      <c r="AA18" s="43">
        <v>30</v>
      </c>
      <c r="AB18" s="43">
        <v>95</v>
      </c>
      <c r="AC18" s="43">
        <v>250</v>
      </c>
      <c r="AD18" s="43">
        <v>260</v>
      </c>
      <c r="AE18" s="43">
        <v>280</v>
      </c>
      <c r="AF18" s="43">
        <v>200</v>
      </c>
      <c r="AG18" s="43">
        <v>30</v>
      </c>
      <c r="AH18" s="43">
        <v>6</v>
      </c>
      <c r="AI18" s="43">
        <v>300</v>
      </c>
      <c r="AJ18" s="41">
        <f t="shared" si="1"/>
        <v>1170</v>
      </c>
      <c r="AK18" s="41">
        <f t="shared" si="2"/>
        <v>0</v>
      </c>
      <c r="AL18" s="41">
        <f t="shared" si="2"/>
        <v>0</v>
      </c>
      <c r="AM18" s="41">
        <f t="shared" si="2"/>
        <v>0</v>
      </c>
      <c r="AN18" s="41">
        <f t="shared" si="2"/>
        <v>0</v>
      </c>
      <c r="AO18" s="41">
        <f t="shared" si="2"/>
        <v>0</v>
      </c>
      <c r="AP18" s="41">
        <f t="shared" si="2"/>
        <v>700</v>
      </c>
      <c r="AQ18" s="41">
        <f t="shared" si="2"/>
        <v>0</v>
      </c>
      <c r="AR18" s="41">
        <f t="shared" si="2"/>
        <v>60</v>
      </c>
      <c r="AS18" s="41">
        <f t="shared" si="2"/>
        <v>48</v>
      </c>
      <c r="AT18" s="41">
        <f t="shared" si="2"/>
        <v>0</v>
      </c>
      <c r="AU18" s="43">
        <f t="shared" si="3"/>
        <v>180</v>
      </c>
      <c r="AV18" s="43">
        <f t="shared" si="3"/>
        <v>0</v>
      </c>
      <c r="AW18" s="43">
        <f t="shared" si="3"/>
        <v>0</v>
      </c>
      <c r="AX18" s="43">
        <f t="shared" si="3"/>
        <v>0</v>
      </c>
      <c r="AY18" s="43">
        <f t="shared" si="3"/>
        <v>0</v>
      </c>
      <c r="AZ18" s="43">
        <f t="shared" si="3"/>
        <v>0</v>
      </c>
      <c r="BA18" s="43">
        <f t="shared" si="3"/>
        <v>75</v>
      </c>
      <c r="BB18" s="43">
        <f t="shared" si="3"/>
        <v>0</v>
      </c>
      <c r="BC18" s="43">
        <f t="shared" si="3"/>
        <v>10</v>
      </c>
      <c r="BD18" s="43">
        <f t="shared" si="3"/>
        <v>16</v>
      </c>
      <c r="BE18" s="43">
        <f t="shared" si="3"/>
        <v>0</v>
      </c>
      <c r="BF18" s="41">
        <f t="shared" si="4"/>
        <v>281</v>
      </c>
      <c r="BG18" s="41" t="str">
        <f t="array" ref="BG18">_xlfn.IFS(
OR(MONTH(A18)=11,MONTH(A18)=12,MONTH(A18)=1,MONTH(A18)=2),"Winter",
OR(MONTH(A18)=3,MONTH(A18)=4),"Spring",
OR(MONTH(A18)=5,MONTH(A18)=6),"Summer",
OR(MONTH(A18)=7,MONTH(A18)=8,MONTH(A18)=9),"Monsoon",
MONTH(A18)=10,"Autumn/Festive",
TRUE,""
)</f>
        <v>Winter</v>
      </c>
    </row>
    <row r="19" spans="1:59" x14ac:dyDescent="0.3">
      <c r="A19" s="39">
        <v>45344</v>
      </c>
      <c r="B19" s="40" t="str">
        <f t="shared" si="0"/>
        <v>February</v>
      </c>
      <c r="C19" s="41">
        <v>10</v>
      </c>
      <c r="D19" s="41">
        <v>0</v>
      </c>
      <c r="E19" s="41">
        <v>0</v>
      </c>
      <c r="F19" s="41">
        <v>0</v>
      </c>
      <c r="G19" s="41">
        <v>0</v>
      </c>
      <c r="H19" s="41">
        <v>4</v>
      </c>
      <c r="I19" s="41">
        <v>3.5</v>
      </c>
      <c r="J19" s="41">
        <v>2</v>
      </c>
      <c r="K19" s="41">
        <v>3</v>
      </c>
      <c r="L19" s="41">
        <v>0</v>
      </c>
      <c r="M19" s="41">
        <v>0</v>
      </c>
      <c r="N19" s="42">
        <v>110</v>
      </c>
      <c r="O19" s="42">
        <v>110</v>
      </c>
      <c r="P19" s="42">
        <v>26</v>
      </c>
      <c r="Q19" s="42">
        <v>65</v>
      </c>
      <c r="R19" s="42">
        <v>200</v>
      </c>
      <c r="S19" s="42">
        <v>230</v>
      </c>
      <c r="T19" s="42">
        <v>250</v>
      </c>
      <c r="U19" s="42">
        <v>170</v>
      </c>
      <c r="V19" s="42">
        <v>25</v>
      </c>
      <c r="W19" s="42">
        <v>4</v>
      </c>
      <c r="X19" s="42">
        <v>265</v>
      </c>
      <c r="Y19" s="43">
        <v>130</v>
      </c>
      <c r="Z19" s="43">
        <v>150</v>
      </c>
      <c r="AA19" s="43">
        <v>30</v>
      </c>
      <c r="AB19" s="43">
        <v>95</v>
      </c>
      <c r="AC19" s="43">
        <v>250</v>
      </c>
      <c r="AD19" s="43">
        <v>260</v>
      </c>
      <c r="AE19" s="43">
        <v>280</v>
      </c>
      <c r="AF19" s="43">
        <v>200</v>
      </c>
      <c r="AG19" s="43">
        <v>30</v>
      </c>
      <c r="AH19" s="43">
        <v>6</v>
      </c>
      <c r="AI19" s="43">
        <v>300</v>
      </c>
      <c r="AJ19" s="41">
        <f t="shared" si="1"/>
        <v>1300</v>
      </c>
      <c r="AK19" s="41">
        <f t="shared" si="2"/>
        <v>0</v>
      </c>
      <c r="AL19" s="41">
        <f t="shared" si="2"/>
        <v>0</v>
      </c>
      <c r="AM19" s="41">
        <f t="shared" si="2"/>
        <v>0</v>
      </c>
      <c r="AN19" s="41">
        <f t="shared" si="2"/>
        <v>0</v>
      </c>
      <c r="AO19" s="41">
        <f t="shared" si="2"/>
        <v>1040</v>
      </c>
      <c r="AP19" s="41">
        <f t="shared" si="2"/>
        <v>980</v>
      </c>
      <c r="AQ19" s="41">
        <f t="shared" si="2"/>
        <v>400</v>
      </c>
      <c r="AR19" s="41">
        <f t="shared" si="2"/>
        <v>90</v>
      </c>
      <c r="AS19" s="41">
        <f t="shared" si="2"/>
        <v>0</v>
      </c>
      <c r="AT19" s="41">
        <f t="shared" si="2"/>
        <v>0</v>
      </c>
      <c r="AU19" s="43">
        <f t="shared" si="3"/>
        <v>200</v>
      </c>
      <c r="AV19" s="43">
        <f t="shared" si="3"/>
        <v>0</v>
      </c>
      <c r="AW19" s="43">
        <f t="shared" si="3"/>
        <v>0</v>
      </c>
      <c r="AX19" s="43">
        <f t="shared" si="3"/>
        <v>0</v>
      </c>
      <c r="AY19" s="43">
        <f t="shared" si="3"/>
        <v>0</v>
      </c>
      <c r="AZ19" s="43">
        <f t="shared" si="3"/>
        <v>120</v>
      </c>
      <c r="BA19" s="43">
        <f t="shared" si="3"/>
        <v>105</v>
      </c>
      <c r="BB19" s="43">
        <f t="shared" si="3"/>
        <v>60</v>
      </c>
      <c r="BC19" s="43">
        <f t="shared" si="3"/>
        <v>15</v>
      </c>
      <c r="BD19" s="43">
        <f t="shared" si="3"/>
        <v>0</v>
      </c>
      <c r="BE19" s="43">
        <f t="shared" si="3"/>
        <v>0</v>
      </c>
      <c r="BF19" s="41">
        <f t="shared" si="4"/>
        <v>500</v>
      </c>
      <c r="BG19" s="41" t="str">
        <f t="array" ref="BG19">_xlfn.IFS(
OR(MONTH(A19)=11,MONTH(A19)=12,MONTH(A19)=1,MONTH(A19)=2),"Winter",
OR(MONTH(A19)=3,MONTH(A19)=4),"Spring",
OR(MONTH(A19)=5,MONTH(A19)=6),"Summer",
OR(MONTH(A19)=7,MONTH(A19)=8,MONTH(A19)=9),"Monsoon",
MONTH(A19)=10,"Autumn/Festive",
TRUE,""
)</f>
        <v>Winter</v>
      </c>
    </row>
    <row r="20" spans="1:59" x14ac:dyDescent="0.3">
      <c r="A20" s="39">
        <v>45345</v>
      </c>
      <c r="B20" s="40" t="str">
        <f t="shared" si="0"/>
        <v>February</v>
      </c>
      <c r="C20" s="41">
        <v>0</v>
      </c>
      <c r="D20" s="41">
        <v>2</v>
      </c>
      <c r="E20" s="41">
        <v>0</v>
      </c>
      <c r="F20" s="41">
        <v>0</v>
      </c>
      <c r="G20" s="41">
        <v>0</v>
      </c>
      <c r="H20" s="41">
        <v>8</v>
      </c>
      <c r="I20" s="41">
        <v>4.5</v>
      </c>
      <c r="J20" s="41">
        <v>0</v>
      </c>
      <c r="K20" s="41">
        <v>2</v>
      </c>
      <c r="L20" s="41">
        <v>16</v>
      </c>
      <c r="M20" s="41">
        <v>1</v>
      </c>
      <c r="N20" s="42">
        <v>110</v>
      </c>
      <c r="O20" s="42">
        <v>110</v>
      </c>
      <c r="P20" s="42">
        <v>26</v>
      </c>
      <c r="Q20" s="42">
        <v>65</v>
      </c>
      <c r="R20" s="42">
        <v>200</v>
      </c>
      <c r="S20" s="42">
        <v>230</v>
      </c>
      <c r="T20" s="42">
        <v>250</v>
      </c>
      <c r="U20" s="42">
        <v>170</v>
      </c>
      <c r="V20" s="42">
        <v>25</v>
      </c>
      <c r="W20" s="42">
        <v>4</v>
      </c>
      <c r="X20" s="42">
        <v>265</v>
      </c>
      <c r="Y20" s="43">
        <v>130</v>
      </c>
      <c r="Z20" s="43">
        <v>150</v>
      </c>
      <c r="AA20" s="43">
        <v>30</v>
      </c>
      <c r="AB20" s="43">
        <v>95</v>
      </c>
      <c r="AC20" s="43">
        <v>250</v>
      </c>
      <c r="AD20" s="43">
        <v>260</v>
      </c>
      <c r="AE20" s="43">
        <v>280</v>
      </c>
      <c r="AF20" s="43">
        <v>200</v>
      </c>
      <c r="AG20" s="43">
        <v>30</v>
      </c>
      <c r="AH20" s="43">
        <v>6</v>
      </c>
      <c r="AI20" s="43">
        <v>300</v>
      </c>
      <c r="AJ20" s="41">
        <f t="shared" si="1"/>
        <v>0</v>
      </c>
      <c r="AK20" s="41">
        <f t="shared" si="2"/>
        <v>300</v>
      </c>
      <c r="AL20" s="41">
        <f t="shared" si="2"/>
        <v>0</v>
      </c>
      <c r="AM20" s="41">
        <f t="shared" si="2"/>
        <v>0</v>
      </c>
      <c r="AN20" s="41">
        <f t="shared" si="2"/>
        <v>0</v>
      </c>
      <c r="AO20" s="41">
        <f t="shared" si="2"/>
        <v>2080</v>
      </c>
      <c r="AP20" s="41">
        <f t="shared" si="2"/>
        <v>1260</v>
      </c>
      <c r="AQ20" s="41">
        <f t="shared" si="2"/>
        <v>0</v>
      </c>
      <c r="AR20" s="41">
        <f t="shared" si="2"/>
        <v>60</v>
      </c>
      <c r="AS20" s="41">
        <f t="shared" si="2"/>
        <v>96</v>
      </c>
      <c r="AT20" s="41">
        <f t="shared" si="2"/>
        <v>300</v>
      </c>
      <c r="AU20" s="43">
        <f t="shared" si="3"/>
        <v>0</v>
      </c>
      <c r="AV20" s="43">
        <f t="shared" si="3"/>
        <v>80</v>
      </c>
      <c r="AW20" s="43">
        <f t="shared" si="3"/>
        <v>0</v>
      </c>
      <c r="AX20" s="43">
        <f t="shared" si="3"/>
        <v>0</v>
      </c>
      <c r="AY20" s="43">
        <f t="shared" si="3"/>
        <v>0</v>
      </c>
      <c r="AZ20" s="43">
        <f t="shared" si="3"/>
        <v>240</v>
      </c>
      <c r="BA20" s="43">
        <f t="shared" si="3"/>
        <v>135</v>
      </c>
      <c r="BB20" s="43">
        <f t="shared" si="3"/>
        <v>0</v>
      </c>
      <c r="BC20" s="43">
        <f t="shared" si="3"/>
        <v>10</v>
      </c>
      <c r="BD20" s="43">
        <f t="shared" si="3"/>
        <v>32</v>
      </c>
      <c r="BE20" s="43">
        <f t="shared" si="3"/>
        <v>35</v>
      </c>
      <c r="BF20" s="41">
        <f t="shared" si="4"/>
        <v>532</v>
      </c>
      <c r="BG20" s="41" t="str">
        <f t="array" ref="BG20">_xlfn.IFS(
OR(MONTH(A20)=11,MONTH(A20)=12,MONTH(A20)=1,MONTH(A20)=2),"Winter",
OR(MONTH(A20)=3,MONTH(A20)=4),"Spring",
OR(MONTH(A20)=5,MONTH(A20)=6),"Summer",
OR(MONTH(A20)=7,MONTH(A20)=8,MONTH(A20)=9),"Monsoon",
MONTH(A20)=10,"Autumn/Festive",
TRUE,""
)</f>
        <v>Winter</v>
      </c>
    </row>
    <row r="21" spans="1:59" x14ac:dyDescent="0.3">
      <c r="A21" s="39">
        <v>45346</v>
      </c>
      <c r="B21" s="40" t="str">
        <f t="shared" si="0"/>
        <v>February</v>
      </c>
      <c r="C21" s="41">
        <v>13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6</v>
      </c>
      <c r="J21" s="41">
        <v>2</v>
      </c>
      <c r="K21" s="41">
        <v>0</v>
      </c>
      <c r="L21" s="41">
        <v>0</v>
      </c>
      <c r="M21" s="41">
        <v>1</v>
      </c>
      <c r="N21" s="42">
        <v>110</v>
      </c>
      <c r="O21" s="42">
        <v>110</v>
      </c>
      <c r="P21" s="42">
        <v>26</v>
      </c>
      <c r="Q21" s="42">
        <v>65</v>
      </c>
      <c r="R21" s="42">
        <v>200</v>
      </c>
      <c r="S21" s="42">
        <v>230</v>
      </c>
      <c r="T21" s="42">
        <v>250</v>
      </c>
      <c r="U21" s="42">
        <v>170</v>
      </c>
      <c r="V21" s="42">
        <v>25</v>
      </c>
      <c r="W21" s="42">
        <v>4</v>
      </c>
      <c r="X21" s="42">
        <v>265</v>
      </c>
      <c r="Y21" s="43">
        <v>130</v>
      </c>
      <c r="Z21" s="43">
        <v>150</v>
      </c>
      <c r="AA21" s="43">
        <v>30</v>
      </c>
      <c r="AB21" s="43">
        <v>95</v>
      </c>
      <c r="AC21" s="43">
        <v>250</v>
      </c>
      <c r="AD21" s="43">
        <v>260</v>
      </c>
      <c r="AE21" s="43">
        <v>280</v>
      </c>
      <c r="AF21" s="43">
        <v>200</v>
      </c>
      <c r="AG21" s="43">
        <v>30</v>
      </c>
      <c r="AH21" s="43">
        <v>6</v>
      </c>
      <c r="AI21" s="43">
        <v>300</v>
      </c>
      <c r="AJ21" s="41">
        <f t="shared" si="1"/>
        <v>1690</v>
      </c>
      <c r="AK21" s="41">
        <f t="shared" si="2"/>
        <v>0</v>
      </c>
      <c r="AL21" s="41">
        <f t="shared" si="2"/>
        <v>0</v>
      </c>
      <c r="AM21" s="41">
        <f t="shared" si="2"/>
        <v>0</v>
      </c>
      <c r="AN21" s="41">
        <f t="shared" si="2"/>
        <v>0</v>
      </c>
      <c r="AO21" s="41">
        <f t="shared" si="2"/>
        <v>0</v>
      </c>
      <c r="AP21" s="41">
        <f t="shared" si="2"/>
        <v>1680</v>
      </c>
      <c r="AQ21" s="41">
        <f t="shared" si="2"/>
        <v>400</v>
      </c>
      <c r="AR21" s="41">
        <f t="shared" si="2"/>
        <v>0</v>
      </c>
      <c r="AS21" s="41">
        <f t="shared" si="2"/>
        <v>0</v>
      </c>
      <c r="AT21" s="41">
        <f t="shared" si="2"/>
        <v>300</v>
      </c>
      <c r="AU21" s="43">
        <f t="shared" si="3"/>
        <v>260</v>
      </c>
      <c r="AV21" s="43">
        <f t="shared" si="3"/>
        <v>0</v>
      </c>
      <c r="AW21" s="43">
        <f t="shared" si="3"/>
        <v>0</v>
      </c>
      <c r="AX21" s="43">
        <f t="shared" si="3"/>
        <v>0</v>
      </c>
      <c r="AY21" s="43">
        <f t="shared" si="3"/>
        <v>0</v>
      </c>
      <c r="AZ21" s="43">
        <f t="shared" si="3"/>
        <v>0</v>
      </c>
      <c r="BA21" s="43">
        <f t="shared" si="3"/>
        <v>180</v>
      </c>
      <c r="BB21" s="43">
        <f t="shared" si="3"/>
        <v>60</v>
      </c>
      <c r="BC21" s="43">
        <f t="shared" si="3"/>
        <v>0</v>
      </c>
      <c r="BD21" s="43">
        <f t="shared" si="3"/>
        <v>0</v>
      </c>
      <c r="BE21" s="43">
        <f t="shared" si="3"/>
        <v>35</v>
      </c>
      <c r="BF21" s="41">
        <f t="shared" si="4"/>
        <v>535</v>
      </c>
      <c r="BG21" s="41" t="str">
        <f t="array" ref="BG21">_xlfn.IFS(
OR(MONTH(A21)=11,MONTH(A21)=12,MONTH(A21)=1,MONTH(A21)=2),"Winter",
OR(MONTH(A21)=3,MONTH(A21)=4),"Spring",
OR(MONTH(A21)=5,MONTH(A21)=6),"Summer",
OR(MONTH(A21)=7,MONTH(A21)=8,MONTH(A21)=9),"Monsoon",
MONTH(A21)=10,"Autumn/Festive",
TRUE,""
)</f>
        <v>Winter</v>
      </c>
    </row>
    <row r="22" spans="1:59" x14ac:dyDescent="0.3">
      <c r="A22" s="39">
        <v>45347</v>
      </c>
      <c r="B22" s="40" t="str">
        <f t="shared" si="0"/>
        <v>February</v>
      </c>
      <c r="C22" s="41">
        <v>4</v>
      </c>
      <c r="D22" s="41">
        <v>0</v>
      </c>
      <c r="E22" s="41">
        <v>0</v>
      </c>
      <c r="F22" s="41">
        <v>1</v>
      </c>
      <c r="G22" s="41">
        <v>0</v>
      </c>
      <c r="H22" s="41">
        <v>4.5</v>
      </c>
      <c r="I22" s="41">
        <v>5</v>
      </c>
      <c r="J22" s="41">
        <v>0</v>
      </c>
      <c r="K22" s="41">
        <v>0</v>
      </c>
      <c r="L22" s="41">
        <v>0</v>
      </c>
      <c r="M22" s="41">
        <v>1</v>
      </c>
      <c r="N22" s="42">
        <v>110</v>
      </c>
      <c r="O22" s="42">
        <v>110</v>
      </c>
      <c r="P22" s="42">
        <v>26</v>
      </c>
      <c r="Q22" s="42">
        <v>65</v>
      </c>
      <c r="R22" s="42">
        <v>200</v>
      </c>
      <c r="S22" s="42">
        <v>230</v>
      </c>
      <c r="T22" s="42">
        <v>250</v>
      </c>
      <c r="U22" s="42">
        <v>170</v>
      </c>
      <c r="V22" s="42">
        <v>25</v>
      </c>
      <c r="W22" s="42">
        <v>4</v>
      </c>
      <c r="X22" s="42">
        <v>265</v>
      </c>
      <c r="Y22" s="43">
        <v>130</v>
      </c>
      <c r="Z22" s="43">
        <v>150</v>
      </c>
      <c r="AA22" s="43">
        <v>30</v>
      </c>
      <c r="AB22" s="43">
        <v>95</v>
      </c>
      <c r="AC22" s="43">
        <v>250</v>
      </c>
      <c r="AD22" s="43">
        <v>260</v>
      </c>
      <c r="AE22" s="43">
        <v>280</v>
      </c>
      <c r="AF22" s="43">
        <v>200</v>
      </c>
      <c r="AG22" s="43">
        <v>30</v>
      </c>
      <c r="AH22" s="43">
        <v>6</v>
      </c>
      <c r="AI22" s="43">
        <v>300</v>
      </c>
      <c r="AJ22" s="41">
        <f t="shared" si="1"/>
        <v>520</v>
      </c>
      <c r="AK22" s="41">
        <f t="shared" si="2"/>
        <v>0</v>
      </c>
      <c r="AL22" s="41">
        <f t="shared" si="2"/>
        <v>0</v>
      </c>
      <c r="AM22" s="41">
        <f t="shared" si="2"/>
        <v>95</v>
      </c>
      <c r="AN22" s="41">
        <f t="shared" si="2"/>
        <v>0</v>
      </c>
      <c r="AO22" s="41">
        <f t="shared" si="2"/>
        <v>1170</v>
      </c>
      <c r="AP22" s="41">
        <f t="shared" si="2"/>
        <v>1400</v>
      </c>
      <c r="AQ22" s="41">
        <f t="shared" si="2"/>
        <v>0</v>
      </c>
      <c r="AR22" s="41">
        <f t="shared" si="2"/>
        <v>0</v>
      </c>
      <c r="AS22" s="41">
        <f t="shared" si="2"/>
        <v>0</v>
      </c>
      <c r="AT22" s="41">
        <f t="shared" si="2"/>
        <v>300</v>
      </c>
      <c r="AU22" s="43">
        <f t="shared" si="3"/>
        <v>80</v>
      </c>
      <c r="AV22" s="43">
        <f t="shared" si="3"/>
        <v>0</v>
      </c>
      <c r="AW22" s="43">
        <f t="shared" si="3"/>
        <v>0</v>
      </c>
      <c r="AX22" s="43">
        <f t="shared" si="3"/>
        <v>30</v>
      </c>
      <c r="AY22" s="43">
        <f t="shared" si="3"/>
        <v>0</v>
      </c>
      <c r="AZ22" s="43">
        <f t="shared" si="3"/>
        <v>135</v>
      </c>
      <c r="BA22" s="43">
        <f t="shared" si="3"/>
        <v>150</v>
      </c>
      <c r="BB22" s="43">
        <f t="shared" si="3"/>
        <v>0</v>
      </c>
      <c r="BC22" s="43">
        <f t="shared" si="3"/>
        <v>0</v>
      </c>
      <c r="BD22" s="43">
        <f t="shared" si="3"/>
        <v>0</v>
      </c>
      <c r="BE22" s="43">
        <f t="shared" si="3"/>
        <v>35</v>
      </c>
      <c r="BF22" s="41">
        <f t="shared" si="4"/>
        <v>430</v>
      </c>
      <c r="BG22" s="41" t="str">
        <f t="array" ref="BG22">_xlfn.IFS(
OR(MONTH(A22)=11,MONTH(A22)=12,MONTH(A22)=1,MONTH(A22)=2),"Winter",
OR(MONTH(A22)=3,MONTH(A22)=4),"Spring",
OR(MONTH(A22)=5,MONTH(A22)=6),"Summer",
OR(MONTH(A22)=7,MONTH(A22)=8,MONTH(A22)=9),"Monsoon",
MONTH(A22)=10,"Autumn/Festive",
TRUE,""
)</f>
        <v>Winter</v>
      </c>
    </row>
    <row r="23" spans="1:59" x14ac:dyDescent="0.3">
      <c r="A23" s="39">
        <v>45348</v>
      </c>
      <c r="B23" s="40" t="str">
        <f t="shared" si="0"/>
        <v>February</v>
      </c>
      <c r="C23" s="41">
        <v>2</v>
      </c>
      <c r="D23" s="41">
        <v>2</v>
      </c>
      <c r="E23" s="41">
        <v>0</v>
      </c>
      <c r="F23" s="41">
        <v>0</v>
      </c>
      <c r="G23" s="41">
        <v>0</v>
      </c>
      <c r="H23" s="41">
        <v>0</v>
      </c>
      <c r="I23" s="41">
        <v>4.5</v>
      </c>
      <c r="J23" s="41">
        <v>0</v>
      </c>
      <c r="K23" s="41">
        <v>4</v>
      </c>
      <c r="L23" s="41">
        <v>16</v>
      </c>
      <c r="M23" s="41">
        <v>0</v>
      </c>
      <c r="N23" s="42">
        <v>110</v>
      </c>
      <c r="O23" s="42">
        <v>110</v>
      </c>
      <c r="P23" s="42">
        <v>26</v>
      </c>
      <c r="Q23" s="42">
        <v>65</v>
      </c>
      <c r="R23" s="42">
        <v>200</v>
      </c>
      <c r="S23" s="42">
        <v>230</v>
      </c>
      <c r="T23" s="42">
        <v>250</v>
      </c>
      <c r="U23" s="42">
        <v>170</v>
      </c>
      <c r="V23" s="42">
        <v>25</v>
      </c>
      <c r="W23" s="42">
        <v>4</v>
      </c>
      <c r="X23" s="42">
        <v>265</v>
      </c>
      <c r="Y23" s="43">
        <v>130</v>
      </c>
      <c r="Z23" s="43">
        <v>150</v>
      </c>
      <c r="AA23" s="43">
        <v>30</v>
      </c>
      <c r="AB23" s="43">
        <v>95</v>
      </c>
      <c r="AC23" s="43">
        <v>250</v>
      </c>
      <c r="AD23" s="43">
        <v>260</v>
      </c>
      <c r="AE23" s="43">
        <v>280</v>
      </c>
      <c r="AF23" s="43">
        <v>200</v>
      </c>
      <c r="AG23" s="43">
        <v>30</v>
      </c>
      <c r="AH23" s="43">
        <v>6</v>
      </c>
      <c r="AI23" s="43">
        <v>300</v>
      </c>
      <c r="AJ23" s="41">
        <f t="shared" si="1"/>
        <v>260</v>
      </c>
      <c r="AK23" s="41">
        <f t="shared" si="2"/>
        <v>300</v>
      </c>
      <c r="AL23" s="41">
        <f t="shared" si="2"/>
        <v>0</v>
      </c>
      <c r="AM23" s="41">
        <f t="shared" si="2"/>
        <v>0</v>
      </c>
      <c r="AN23" s="41">
        <f t="shared" si="2"/>
        <v>0</v>
      </c>
      <c r="AO23" s="41">
        <f t="shared" si="2"/>
        <v>0</v>
      </c>
      <c r="AP23" s="41">
        <f t="shared" si="2"/>
        <v>1260</v>
      </c>
      <c r="AQ23" s="41">
        <f t="shared" si="2"/>
        <v>0</v>
      </c>
      <c r="AR23" s="41">
        <f t="shared" si="2"/>
        <v>120</v>
      </c>
      <c r="AS23" s="41">
        <f t="shared" si="2"/>
        <v>96</v>
      </c>
      <c r="AT23" s="41">
        <f t="shared" si="2"/>
        <v>0</v>
      </c>
      <c r="AU23" s="43">
        <f t="shared" si="3"/>
        <v>40</v>
      </c>
      <c r="AV23" s="43">
        <f t="shared" si="3"/>
        <v>80</v>
      </c>
      <c r="AW23" s="43">
        <f t="shared" si="3"/>
        <v>0</v>
      </c>
      <c r="AX23" s="43">
        <f t="shared" si="3"/>
        <v>0</v>
      </c>
      <c r="AY23" s="43">
        <f t="shared" si="3"/>
        <v>0</v>
      </c>
      <c r="AZ23" s="43">
        <f t="shared" si="3"/>
        <v>0</v>
      </c>
      <c r="BA23" s="43">
        <f t="shared" si="3"/>
        <v>135</v>
      </c>
      <c r="BB23" s="43">
        <f t="shared" si="3"/>
        <v>0</v>
      </c>
      <c r="BC23" s="43">
        <f t="shared" si="3"/>
        <v>20</v>
      </c>
      <c r="BD23" s="43">
        <f t="shared" si="3"/>
        <v>32</v>
      </c>
      <c r="BE23" s="43">
        <f t="shared" si="3"/>
        <v>0</v>
      </c>
      <c r="BF23" s="41">
        <f t="shared" si="4"/>
        <v>307</v>
      </c>
      <c r="BG23" s="41" t="str">
        <f t="array" ref="BG23">_xlfn.IFS(
OR(MONTH(A23)=11,MONTH(A23)=12,MONTH(A23)=1,MONTH(A23)=2),"Winter",
OR(MONTH(A23)=3,MONTH(A23)=4),"Spring",
OR(MONTH(A23)=5,MONTH(A23)=6),"Summer",
OR(MONTH(A23)=7,MONTH(A23)=8,MONTH(A23)=9),"Monsoon",
MONTH(A23)=10,"Autumn/Festive",
TRUE,""
)</f>
        <v>Winter</v>
      </c>
    </row>
    <row r="24" spans="1:59" x14ac:dyDescent="0.3">
      <c r="A24" s="39">
        <v>45349</v>
      </c>
      <c r="B24" s="40" t="str">
        <f t="shared" si="0"/>
        <v>February</v>
      </c>
      <c r="C24" s="41">
        <v>6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9</v>
      </c>
      <c r="J24" s="41">
        <v>0</v>
      </c>
      <c r="K24" s="41">
        <v>0</v>
      </c>
      <c r="L24" s="41">
        <v>0</v>
      </c>
      <c r="M24" s="41">
        <v>0</v>
      </c>
      <c r="N24" s="42">
        <v>110</v>
      </c>
      <c r="O24" s="42">
        <v>110</v>
      </c>
      <c r="P24" s="42">
        <v>26</v>
      </c>
      <c r="Q24" s="42">
        <v>65</v>
      </c>
      <c r="R24" s="42">
        <v>200</v>
      </c>
      <c r="S24" s="42">
        <v>230</v>
      </c>
      <c r="T24" s="42">
        <v>250</v>
      </c>
      <c r="U24" s="42">
        <v>170</v>
      </c>
      <c r="V24" s="42">
        <v>25</v>
      </c>
      <c r="W24" s="42">
        <v>4</v>
      </c>
      <c r="X24" s="42">
        <v>265</v>
      </c>
      <c r="Y24" s="43">
        <v>130</v>
      </c>
      <c r="Z24" s="43">
        <v>150</v>
      </c>
      <c r="AA24" s="43">
        <v>30</v>
      </c>
      <c r="AB24" s="43">
        <v>95</v>
      </c>
      <c r="AC24" s="43">
        <v>250</v>
      </c>
      <c r="AD24" s="43">
        <v>260</v>
      </c>
      <c r="AE24" s="43">
        <v>280</v>
      </c>
      <c r="AF24" s="43">
        <v>200</v>
      </c>
      <c r="AG24" s="43">
        <v>30</v>
      </c>
      <c r="AH24" s="43">
        <v>6</v>
      </c>
      <c r="AI24" s="43">
        <v>300</v>
      </c>
      <c r="AJ24" s="41">
        <f t="shared" si="1"/>
        <v>780</v>
      </c>
      <c r="AK24" s="41">
        <f t="shared" si="2"/>
        <v>0</v>
      </c>
      <c r="AL24" s="41">
        <f t="shared" si="2"/>
        <v>0</v>
      </c>
      <c r="AM24" s="41">
        <f t="shared" si="2"/>
        <v>0</v>
      </c>
      <c r="AN24" s="41">
        <f t="shared" si="2"/>
        <v>0</v>
      </c>
      <c r="AO24" s="41">
        <f t="shared" si="2"/>
        <v>0</v>
      </c>
      <c r="AP24" s="41">
        <f t="shared" si="2"/>
        <v>2520</v>
      </c>
      <c r="AQ24" s="41">
        <f t="shared" si="2"/>
        <v>0</v>
      </c>
      <c r="AR24" s="41">
        <f t="shared" si="2"/>
        <v>0</v>
      </c>
      <c r="AS24" s="41">
        <f t="shared" si="2"/>
        <v>0</v>
      </c>
      <c r="AT24" s="41">
        <f t="shared" si="2"/>
        <v>0</v>
      </c>
      <c r="AU24" s="43">
        <f t="shared" si="3"/>
        <v>120</v>
      </c>
      <c r="AV24" s="43">
        <f t="shared" si="3"/>
        <v>0</v>
      </c>
      <c r="AW24" s="43">
        <f t="shared" si="3"/>
        <v>0</v>
      </c>
      <c r="AX24" s="43">
        <f t="shared" si="3"/>
        <v>0</v>
      </c>
      <c r="AY24" s="43">
        <f t="shared" si="3"/>
        <v>0</v>
      </c>
      <c r="AZ24" s="43">
        <f t="shared" si="3"/>
        <v>0</v>
      </c>
      <c r="BA24" s="43">
        <f t="shared" si="3"/>
        <v>270</v>
      </c>
      <c r="BB24" s="43">
        <f t="shared" si="3"/>
        <v>0</v>
      </c>
      <c r="BC24" s="43">
        <f t="shared" si="3"/>
        <v>0</v>
      </c>
      <c r="BD24" s="43">
        <f t="shared" si="3"/>
        <v>0</v>
      </c>
      <c r="BE24" s="43">
        <f t="shared" si="3"/>
        <v>0</v>
      </c>
      <c r="BF24" s="41">
        <f t="shared" si="4"/>
        <v>390</v>
      </c>
      <c r="BG24" s="41" t="str">
        <f t="array" ref="BG24">_xlfn.IFS(
OR(MONTH(A24)=11,MONTH(A24)=12,MONTH(A24)=1,MONTH(A24)=2),"Winter",
OR(MONTH(A24)=3,MONTH(A24)=4),"Spring",
OR(MONTH(A24)=5,MONTH(A24)=6),"Summer",
OR(MONTH(A24)=7,MONTH(A24)=8,MONTH(A24)=9),"Monsoon",
MONTH(A24)=10,"Autumn/Festive",
TRUE,""
)</f>
        <v>Winter</v>
      </c>
    </row>
    <row r="25" spans="1:59" x14ac:dyDescent="0.3">
      <c r="A25" s="39">
        <v>45350</v>
      </c>
      <c r="B25" s="40" t="str">
        <f t="shared" si="0"/>
        <v>February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2">
        <v>110</v>
      </c>
      <c r="O25" s="42">
        <v>110</v>
      </c>
      <c r="P25" s="42">
        <v>26</v>
      </c>
      <c r="Q25" s="42">
        <v>65</v>
      </c>
      <c r="R25" s="42">
        <v>200</v>
      </c>
      <c r="S25" s="42">
        <v>230</v>
      </c>
      <c r="T25" s="42">
        <v>250</v>
      </c>
      <c r="U25" s="42">
        <v>170</v>
      </c>
      <c r="V25" s="42">
        <v>25</v>
      </c>
      <c r="W25" s="42">
        <v>4</v>
      </c>
      <c r="X25" s="42">
        <v>265</v>
      </c>
      <c r="Y25" s="43">
        <v>130</v>
      </c>
      <c r="Z25" s="43">
        <v>150</v>
      </c>
      <c r="AA25" s="43">
        <v>30</v>
      </c>
      <c r="AB25" s="43">
        <v>95</v>
      </c>
      <c r="AC25" s="43">
        <v>250</v>
      </c>
      <c r="AD25" s="43">
        <v>260</v>
      </c>
      <c r="AE25" s="43">
        <v>280</v>
      </c>
      <c r="AF25" s="43">
        <v>200</v>
      </c>
      <c r="AG25" s="43">
        <v>30</v>
      </c>
      <c r="AH25" s="43">
        <v>6</v>
      </c>
      <c r="AI25" s="43">
        <v>300</v>
      </c>
      <c r="AJ25" s="41">
        <f t="shared" si="1"/>
        <v>0</v>
      </c>
      <c r="AK25" s="41">
        <f t="shared" si="2"/>
        <v>0</v>
      </c>
      <c r="AL25" s="41">
        <f t="shared" si="2"/>
        <v>0</v>
      </c>
      <c r="AM25" s="41">
        <f t="shared" si="2"/>
        <v>0</v>
      </c>
      <c r="AN25" s="41">
        <f t="shared" si="2"/>
        <v>0</v>
      </c>
      <c r="AO25" s="41">
        <f t="shared" si="2"/>
        <v>0</v>
      </c>
      <c r="AP25" s="41">
        <f t="shared" si="2"/>
        <v>0</v>
      </c>
      <c r="AQ25" s="41">
        <f t="shared" si="2"/>
        <v>0</v>
      </c>
      <c r="AR25" s="41">
        <f t="shared" si="2"/>
        <v>0</v>
      </c>
      <c r="AS25" s="41">
        <f t="shared" si="2"/>
        <v>0</v>
      </c>
      <c r="AT25" s="41">
        <f t="shared" si="2"/>
        <v>0</v>
      </c>
      <c r="AU25" s="43">
        <f t="shared" si="3"/>
        <v>0</v>
      </c>
      <c r="AV25" s="43">
        <f t="shared" si="3"/>
        <v>0</v>
      </c>
      <c r="AW25" s="43">
        <f t="shared" si="3"/>
        <v>0</v>
      </c>
      <c r="AX25" s="43">
        <f t="shared" si="3"/>
        <v>0</v>
      </c>
      <c r="AY25" s="43">
        <f t="shared" si="3"/>
        <v>0</v>
      </c>
      <c r="AZ25" s="43">
        <f t="shared" si="3"/>
        <v>0</v>
      </c>
      <c r="BA25" s="43">
        <f t="shared" si="3"/>
        <v>0</v>
      </c>
      <c r="BB25" s="43">
        <f t="shared" si="3"/>
        <v>0</v>
      </c>
      <c r="BC25" s="43">
        <f t="shared" si="3"/>
        <v>0</v>
      </c>
      <c r="BD25" s="43">
        <f t="shared" si="3"/>
        <v>0</v>
      </c>
      <c r="BE25" s="43">
        <f t="shared" si="3"/>
        <v>0</v>
      </c>
      <c r="BF25" s="41">
        <f t="shared" si="4"/>
        <v>0</v>
      </c>
      <c r="BG25" s="41" t="str">
        <f t="array" ref="BG25">_xlfn.IFS(
OR(MONTH(A25)=11,MONTH(A25)=12,MONTH(A25)=1,MONTH(A25)=2),"Winter",
OR(MONTH(A25)=3,MONTH(A25)=4),"Spring",
OR(MONTH(A25)=5,MONTH(A25)=6),"Summer",
OR(MONTH(A25)=7,MONTH(A25)=8,MONTH(A25)=9),"Monsoon",
MONTH(A25)=10,"Autumn/Festive",
TRUE,""
)</f>
        <v>Winter</v>
      </c>
    </row>
    <row r="26" spans="1:59" x14ac:dyDescent="0.3">
      <c r="A26" s="39">
        <v>45351</v>
      </c>
      <c r="B26" s="40" t="str">
        <f t="shared" si="0"/>
        <v>February</v>
      </c>
      <c r="C26" s="41">
        <v>7</v>
      </c>
      <c r="D26" s="41">
        <v>5</v>
      </c>
      <c r="E26" s="41">
        <v>0</v>
      </c>
      <c r="F26" s="41">
        <v>0</v>
      </c>
      <c r="G26" s="41">
        <v>0</v>
      </c>
      <c r="H26" s="41">
        <v>0</v>
      </c>
      <c r="I26" s="41">
        <v>9</v>
      </c>
      <c r="J26" s="41">
        <v>0</v>
      </c>
      <c r="K26" s="41">
        <v>2</v>
      </c>
      <c r="L26" s="41">
        <v>0</v>
      </c>
      <c r="M26" s="41">
        <v>0</v>
      </c>
      <c r="N26" s="42">
        <v>110</v>
      </c>
      <c r="O26" s="42">
        <v>110</v>
      </c>
      <c r="P26" s="42">
        <v>26</v>
      </c>
      <c r="Q26" s="42">
        <v>65</v>
      </c>
      <c r="R26" s="42">
        <v>200</v>
      </c>
      <c r="S26" s="42">
        <v>230</v>
      </c>
      <c r="T26" s="42">
        <v>250</v>
      </c>
      <c r="U26" s="42">
        <v>170</v>
      </c>
      <c r="V26" s="42">
        <v>25</v>
      </c>
      <c r="W26" s="42">
        <v>4</v>
      </c>
      <c r="X26" s="42">
        <v>265</v>
      </c>
      <c r="Y26" s="43">
        <v>130</v>
      </c>
      <c r="Z26" s="43">
        <v>150</v>
      </c>
      <c r="AA26" s="43">
        <v>30</v>
      </c>
      <c r="AB26" s="43">
        <v>95</v>
      </c>
      <c r="AC26" s="43">
        <v>250</v>
      </c>
      <c r="AD26" s="43">
        <v>260</v>
      </c>
      <c r="AE26" s="43">
        <v>280</v>
      </c>
      <c r="AF26" s="43">
        <v>200</v>
      </c>
      <c r="AG26" s="43">
        <v>30</v>
      </c>
      <c r="AH26" s="43">
        <v>6</v>
      </c>
      <c r="AI26" s="43">
        <v>300</v>
      </c>
      <c r="AJ26" s="41">
        <f t="shared" si="1"/>
        <v>910</v>
      </c>
      <c r="AK26" s="41">
        <f t="shared" si="2"/>
        <v>750</v>
      </c>
      <c r="AL26" s="41">
        <f t="shared" si="2"/>
        <v>0</v>
      </c>
      <c r="AM26" s="41">
        <f t="shared" si="2"/>
        <v>0</v>
      </c>
      <c r="AN26" s="41">
        <f t="shared" si="2"/>
        <v>0</v>
      </c>
      <c r="AO26" s="41">
        <f t="shared" si="2"/>
        <v>0</v>
      </c>
      <c r="AP26" s="41">
        <f t="shared" si="2"/>
        <v>2520</v>
      </c>
      <c r="AQ26" s="41">
        <f t="shared" si="2"/>
        <v>0</v>
      </c>
      <c r="AR26" s="41">
        <f t="shared" si="2"/>
        <v>60</v>
      </c>
      <c r="AS26" s="41">
        <f t="shared" si="2"/>
        <v>0</v>
      </c>
      <c r="AT26" s="41">
        <f t="shared" si="2"/>
        <v>0</v>
      </c>
      <c r="AU26" s="43">
        <f t="shared" si="3"/>
        <v>140</v>
      </c>
      <c r="AV26" s="43">
        <f t="shared" si="3"/>
        <v>200</v>
      </c>
      <c r="AW26" s="43">
        <f t="shared" si="3"/>
        <v>0</v>
      </c>
      <c r="AX26" s="43">
        <f t="shared" si="3"/>
        <v>0</v>
      </c>
      <c r="AY26" s="43">
        <f t="shared" si="3"/>
        <v>0</v>
      </c>
      <c r="AZ26" s="43">
        <f t="shared" si="3"/>
        <v>0</v>
      </c>
      <c r="BA26" s="43">
        <f t="shared" si="3"/>
        <v>270</v>
      </c>
      <c r="BB26" s="43">
        <f t="shared" si="3"/>
        <v>0</v>
      </c>
      <c r="BC26" s="43">
        <f t="shared" si="3"/>
        <v>10</v>
      </c>
      <c r="BD26" s="43">
        <f t="shared" si="3"/>
        <v>0</v>
      </c>
      <c r="BE26" s="43">
        <f t="shared" si="3"/>
        <v>0</v>
      </c>
      <c r="BF26" s="41">
        <f t="shared" si="4"/>
        <v>620</v>
      </c>
      <c r="BG26" s="41" t="str">
        <f t="array" ref="BG26">_xlfn.IFS(
OR(MONTH(A26)=11,MONTH(A26)=12,MONTH(A26)=1,MONTH(A26)=2),"Winter",
OR(MONTH(A26)=3,MONTH(A26)=4),"Spring",
OR(MONTH(A26)=5,MONTH(A26)=6),"Summer",
OR(MONTH(A26)=7,MONTH(A26)=8,MONTH(A26)=9),"Monsoon",
MONTH(A26)=10,"Autumn/Festive",
TRUE,""
)</f>
        <v>Winter</v>
      </c>
    </row>
    <row r="27" spans="1:59" x14ac:dyDescent="0.3">
      <c r="A27" s="39">
        <v>45352</v>
      </c>
      <c r="B27" s="40" t="str">
        <f t="shared" si="0"/>
        <v>March</v>
      </c>
      <c r="C27" s="41">
        <v>9</v>
      </c>
      <c r="D27" s="41">
        <v>8</v>
      </c>
      <c r="E27" s="41">
        <v>0</v>
      </c>
      <c r="F27" s="41">
        <v>0</v>
      </c>
      <c r="G27" s="41">
        <v>0</v>
      </c>
      <c r="H27" s="41">
        <v>2.5</v>
      </c>
      <c r="I27" s="41">
        <v>6</v>
      </c>
      <c r="J27" s="41">
        <v>0</v>
      </c>
      <c r="K27" s="41">
        <v>0</v>
      </c>
      <c r="L27" s="41">
        <v>0</v>
      </c>
      <c r="M27" s="41">
        <v>3</v>
      </c>
      <c r="N27" s="42">
        <v>110</v>
      </c>
      <c r="O27" s="42">
        <v>110</v>
      </c>
      <c r="P27" s="42">
        <v>26</v>
      </c>
      <c r="Q27" s="42">
        <v>65</v>
      </c>
      <c r="R27" s="42">
        <v>200</v>
      </c>
      <c r="S27" s="42">
        <v>230</v>
      </c>
      <c r="T27" s="42">
        <v>250</v>
      </c>
      <c r="U27" s="42">
        <v>170</v>
      </c>
      <c r="V27" s="42">
        <v>25</v>
      </c>
      <c r="W27" s="42">
        <v>4</v>
      </c>
      <c r="X27" s="42">
        <v>265</v>
      </c>
      <c r="Y27" s="43">
        <v>130</v>
      </c>
      <c r="Z27" s="43">
        <v>150</v>
      </c>
      <c r="AA27" s="43">
        <v>30</v>
      </c>
      <c r="AB27" s="43">
        <v>95</v>
      </c>
      <c r="AC27" s="43">
        <v>250</v>
      </c>
      <c r="AD27" s="43">
        <v>260</v>
      </c>
      <c r="AE27" s="43">
        <v>280</v>
      </c>
      <c r="AF27" s="43">
        <v>200</v>
      </c>
      <c r="AG27" s="43">
        <v>30</v>
      </c>
      <c r="AH27" s="43">
        <v>6</v>
      </c>
      <c r="AI27" s="43">
        <v>300</v>
      </c>
      <c r="AJ27" s="41">
        <f t="shared" si="1"/>
        <v>1170</v>
      </c>
      <c r="AK27" s="41">
        <f t="shared" si="2"/>
        <v>1200</v>
      </c>
      <c r="AL27" s="41">
        <f t="shared" si="2"/>
        <v>0</v>
      </c>
      <c r="AM27" s="41">
        <f t="shared" si="2"/>
        <v>0</v>
      </c>
      <c r="AN27" s="41">
        <f t="shared" si="2"/>
        <v>0</v>
      </c>
      <c r="AO27" s="41">
        <f t="shared" si="2"/>
        <v>650</v>
      </c>
      <c r="AP27" s="41">
        <f t="shared" si="2"/>
        <v>1680</v>
      </c>
      <c r="AQ27" s="41">
        <f t="shared" si="2"/>
        <v>0</v>
      </c>
      <c r="AR27" s="41">
        <f t="shared" si="2"/>
        <v>0</v>
      </c>
      <c r="AS27" s="41">
        <f t="shared" si="2"/>
        <v>0</v>
      </c>
      <c r="AT27" s="41">
        <f t="shared" si="2"/>
        <v>900</v>
      </c>
      <c r="AU27" s="43">
        <f t="shared" si="3"/>
        <v>180</v>
      </c>
      <c r="AV27" s="43">
        <f t="shared" si="3"/>
        <v>320</v>
      </c>
      <c r="AW27" s="43">
        <f t="shared" ref="AW27:BE90" si="5">AL27-(E27*P27)</f>
        <v>0</v>
      </c>
      <c r="AX27" s="43">
        <f t="shared" si="5"/>
        <v>0</v>
      </c>
      <c r="AY27" s="43">
        <f t="shared" si="5"/>
        <v>0</v>
      </c>
      <c r="AZ27" s="43">
        <f t="shared" si="5"/>
        <v>75</v>
      </c>
      <c r="BA27" s="43">
        <f t="shared" si="5"/>
        <v>180</v>
      </c>
      <c r="BB27" s="43">
        <f t="shared" si="5"/>
        <v>0</v>
      </c>
      <c r="BC27" s="43">
        <f t="shared" si="5"/>
        <v>0</v>
      </c>
      <c r="BD27" s="43">
        <f t="shared" si="5"/>
        <v>0</v>
      </c>
      <c r="BE27" s="43">
        <f t="shared" si="5"/>
        <v>105</v>
      </c>
      <c r="BF27" s="41">
        <f t="shared" si="4"/>
        <v>860</v>
      </c>
      <c r="BG27" s="41" t="str">
        <f t="array" ref="BG27">_xlfn.IFS(
OR(MONTH(A27)=11,MONTH(A27)=12,MONTH(A27)=1,MONTH(A27)=2),"Winter",
OR(MONTH(A27)=3,MONTH(A27)=4),"Spring",
OR(MONTH(A27)=5,MONTH(A27)=6),"Summer",
OR(MONTH(A27)=7,MONTH(A27)=8,MONTH(A27)=9),"Monsoon",
MONTH(A27)=10,"Autumn/Festive",
TRUE,""
)</f>
        <v>Spring</v>
      </c>
    </row>
    <row r="28" spans="1:59" x14ac:dyDescent="0.3">
      <c r="A28" s="39">
        <v>45353</v>
      </c>
      <c r="B28" s="40" t="str">
        <f t="shared" si="0"/>
        <v>March</v>
      </c>
      <c r="C28" s="41">
        <v>12</v>
      </c>
      <c r="D28" s="41">
        <v>3</v>
      </c>
      <c r="E28" s="41">
        <v>0</v>
      </c>
      <c r="F28" s="41">
        <v>2</v>
      </c>
      <c r="G28" s="41">
        <v>0</v>
      </c>
      <c r="H28" s="41">
        <v>0</v>
      </c>
      <c r="I28" s="41">
        <v>5.5</v>
      </c>
      <c r="J28" s="41">
        <v>0</v>
      </c>
      <c r="K28" s="41">
        <v>3</v>
      </c>
      <c r="L28" s="41">
        <v>20</v>
      </c>
      <c r="M28" s="41">
        <v>0</v>
      </c>
      <c r="N28" s="42">
        <v>110</v>
      </c>
      <c r="O28" s="42">
        <v>110</v>
      </c>
      <c r="P28" s="42">
        <v>26</v>
      </c>
      <c r="Q28" s="42">
        <v>65</v>
      </c>
      <c r="R28" s="42">
        <v>200</v>
      </c>
      <c r="S28" s="42">
        <v>230</v>
      </c>
      <c r="T28" s="42">
        <v>250</v>
      </c>
      <c r="U28" s="42">
        <v>170</v>
      </c>
      <c r="V28" s="42">
        <v>25</v>
      </c>
      <c r="W28" s="42">
        <v>4</v>
      </c>
      <c r="X28" s="42">
        <v>265</v>
      </c>
      <c r="Y28" s="43">
        <v>130</v>
      </c>
      <c r="Z28" s="43">
        <v>150</v>
      </c>
      <c r="AA28" s="43">
        <v>30</v>
      </c>
      <c r="AB28" s="43">
        <v>95</v>
      </c>
      <c r="AC28" s="43">
        <v>250</v>
      </c>
      <c r="AD28" s="43">
        <v>260</v>
      </c>
      <c r="AE28" s="43">
        <v>280</v>
      </c>
      <c r="AF28" s="43">
        <v>200</v>
      </c>
      <c r="AG28" s="43">
        <v>30</v>
      </c>
      <c r="AH28" s="43">
        <v>6</v>
      </c>
      <c r="AI28" s="43">
        <v>300</v>
      </c>
      <c r="AJ28" s="41">
        <f t="shared" si="1"/>
        <v>1560</v>
      </c>
      <c r="AK28" s="41">
        <f t="shared" si="2"/>
        <v>450</v>
      </c>
      <c r="AL28" s="41">
        <f t="shared" si="2"/>
        <v>0</v>
      </c>
      <c r="AM28" s="41">
        <f t="shared" si="2"/>
        <v>190</v>
      </c>
      <c r="AN28" s="41">
        <f t="shared" si="2"/>
        <v>0</v>
      </c>
      <c r="AO28" s="41">
        <f t="shared" si="2"/>
        <v>0</v>
      </c>
      <c r="AP28" s="41">
        <f t="shared" si="2"/>
        <v>1540</v>
      </c>
      <c r="AQ28" s="41">
        <f t="shared" si="2"/>
        <v>0</v>
      </c>
      <c r="AR28" s="41">
        <f t="shared" si="2"/>
        <v>90</v>
      </c>
      <c r="AS28" s="41">
        <f t="shared" si="2"/>
        <v>120</v>
      </c>
      <c r="AT28" s="41">
        <f t="shared" si="2"/>
        <v>0</v>
      </c>
      <c r="AU28" s="43">
        <f t="shared" ref="AU28:AY91" si="6">AJ28-(C28*N28)</f>
        <v>240</v>
      </c>
      <c r="AV28" s="43">
        <f t="shared" si="6"/>
        <v>120</v>
      </c>
      <c r="AW28" s="43">
        <f t="shared" si="5"/>
        <v>0</v>
      </c>
      <c r="AX28" s="43">
        <f t="shared" si="5"/>
        <v>60</v>
      </c>
      <c r="AY28" s="43">
        <f t="shared" si="5"/>
        <v>0</v>
      </c>
      <c r="AZ28" s="43">
        <f t="shared" si="5"/>
        <v>0</v>
      </c>
      <c r="BA28" s="43">
        <f t="shared" si="5"/>
        <v>165</v>
      </c>
      <c r="BB28" s="43">
        <f t="shared" si="5"/>
        <v>0</v>
      </c>
      <c r="BC28" s="43">
        <f t="shared" si="5"/>
        <v>15</v>
      </c>
      <c r="BD28" s="43">
        <f t="shared" si="5"/>
        <v>40</v>
      </c>
      <c r="BE28" s="43">
        <f t="shared" si="5"/>
        <v>0</v>
      </c>
      <c r="BF28" s="41">
        <f t="shared" si="4"/>
        <v>640</v>
      </c>
      <c r="BG28" s="41" t="str">
        <f t="array" ref="BG28">_xlfn.IFS(
OR(MONTH(A28)=11,MONTH(A28)=12,MONTH(A28)=1,MONTH(A28)=2),"Winter",
OR(MONTH(A28)=3,MONTH(A28)=4),"Spring",
OR(MONTH(A28)=5,MONTH(A28)=6),"Summer",
OR(MONTH(A28)=7,MONTH(A28)=8,MONTH(A28)=9),"Monsoon",
MONTH(A28)=10,"Autumn/Festive",
TRUE,""
)</f>
        <v>Spring</v>
      </c>
    </row>
    <row r="29" spans="1:59" x14ac:dyDescent="0.3">
      <c r="A29" s="39">
        <v>45354</v>
      </c>
      <c r="B29" s="40" t="str">
        <f t="shared" si="0"/>
        <v>March</v>
      </c>
      <c r="C29" s="41">
        <v>5</v>
      </c>
      <c r="D29" s="41">
        <v>0</v>
      </c>
      <c r="E29" s="41">
        <v>0</v>
      </c>
      <c r="F29" s="41">
        <v>0</v>
      </c>
      <c r="G29" s="41">
        <v>0</v>
      </c>
      <c r="H29" s="41">
        <v>7</v>
      </c>
      <c r="I29" s="41">
        <v>3</v>
      </c>
      <c r="J29" s="41">
        <v>2</v>
      </c>
      <c r="K29" s="41">
        <v>2</v>
      </c>
      <c r="L29" s="41">
        <v>0</v>
      </c>
      <c r="M29" s="41">
        <v>1</v>
      </c>
      <c r="N29" s="42">
        <v>110</v>
      </c>
      <c r="O29" s="42">
        <v>110</v>
      </c>
      <c r="P29" s="42">
        <v>26</v>
      </c>
      <c r="Q29" s="42">
        <v>65</v>
      </c>
      <c r="R29" s="42">
        <v>200</v>
      </c>
      <c r="S29" s="42">
        <v>230</v>
      </c>
      <c r="T29" s="42">
        <v>250</v>
      </c>
      <c r="U29" s="42">
        <v>170</v>
      </c>
      <c r="V29" s="42">
        <v>25</v>
      </c>
      <c r="W29" s="42">
        <v>4</v>
      </c>
      <c r="X29" s="42">
        <v>265</v>
      </c>
      <c r="Y29" s="43">
        <v>130</v>
      </c>
      <c r="Z29" s="43">
        <v>150</v>
      </c>
      <c r="AA29" s="43">
        <v>30</v>
      </c>
      <c r="AB29" s="43">
        <v>95</v>
      </c>
      <c r="AC29" s="43">
        <v>250</v>
      </c>
      <c r="AD29" s="43">
        <v>260</v>
      </c>
      <c r="AE29" s="43">
        <v>280</v>
      </c>
      <c r="AF29" s="43">
        <v>200</v>
      </c>
      <c r="AG29" s="43">
        <v>30</v>
      </c>
      <c r="AH29" s="43">
        <v>6</v>
      </c>
      <c r="AI29" s="43">
        <v>300</v>
      </c>
      <c r="AJ29" s="41">
        <f t="shared" si="1"/>
        <v>650</v>
      </c>
      <c r="AK29" s="41">
        <f t="shared" si="2"/>
        <v>0</v>
      </c>
      <c r="AL29" s="41">
        <f t="shared" si="2"/>
        <v>0</v>
      </c>
      <c r="AM29" s="41">
        <f t="shared" si="2"/>
        <v>0</v>
      </c>
      <c r="AN29" s="41">
        <f t="shared" si="2"/>
        <v>0</v>
      </c>
      <c r="AO29" s="41">
        <f t="shared" si="2"/>
        <v>1820</v>
      </c>
      <c r="AP29" s="41">
        <f t="shared" ref="AP29:AT92" si="7">I29*AE29</f>
        <v>840</v>
      </c>
      <c r="AQ29" s="41">
        <f t="shared" si="7"/>
        <v>400</v>
      </c>
      <c r="AR29" s="41">
        <f t="shared" si="7"/>
        <v>60</v>
      </c>
      <c r="AS29" s="41">
        <f t="shared" si="7"/>
        <v>0</v>
      </c>
      <c r="AT29" s="41">
        <f t="shared" si="7"/>
        <v>300</v>
      </c>
      <c r="AU29" s="43">
        <f t="shared" si="6"/>
        <v>100</v>
      </c>
      <c r="AV29" s="43">
        <f t="shared" si="6"/>
        <v>0</v>
      </c>
      <c r="AW29" s="43">
        <f t="shared" si="5"/>
        <v>0</v>
      </c>
      <c r="AX29" s="43">
        <f t="shared" si="5"/>
        <v>0</v>
      </c>
      <c r="AY29" s="43">
        <f t="shared" si="5"/>
        <v>0</v>
      </c>
      <c r="AZ29" s="43">
        <f t="shared" si="5"/>
        <v>210</v>
      </c>
      <c r="BA29" s="43">
        <f t="shared" si="5"/>
        <v>90</v>
      </c>
      <c r="BB29" s="43">
        <f t="shared" si="5"/>
        <v>60</v>
      </c>
      <c r="BC29" s="43">
        <f t="shared" si="5"/>
        <v>10</v>
      </c>
      <c r="BD29" s="43">
        <f t="shared" si="5"/>
        <v>0</v>
      </c>
      <c r="BE29" s="43">
        <f t="shared" si="5"/>
        <v>35</v>
      </c>
      <c r="BF29" s="41">
        <f t="shared" si="4"/>
        <v>505</v>
      </c>
      <c r="BG29" s="41" t="str">
        <f t="array" ref="BG29">_xlfn.IFS(
OR(MONTH(A29)=11,MONTH(A29)=12,MONTH(A29)=1,MONTH(A29)=2),"Winter",
OR(MONTH(A29)=3,MONTH(A29)=4),"Spring",
OR(MONTH(A29)=5,MONTH(A29)=6),"Summer",
OR(MONTH(A29)=7,MONTH(A29)=8,MONTH(A29)=9),"Monsoon",
MONTH(A29)=10,"Autumn/Festive",
TRUE,""
)</f>
        <v>Spring</v>
      </c>
    </row>
    <row r="30" spans="1:59" x14ac:dyDescent="0.3">
      <c r="A30" s="39">
        <v>45355</v>
      </c>
      <c r="B30" s="40" t="str">
        <f t="shared" si="0"/>
        <v>March</v>
      </c>
      <c r="C30" s="41">
        <v>8</v>
      </c>
      <c r="D30" s="41">
        <v>0</v>
      </c>
      <c r="E30" s="41">
        <v>0</v>
      </c>
      <c r="F30" s="41">
        <v>0</v>
      </c>
      <c r="G30" s="41">
        <v>0</v>
      </c>
      <c r="H30" s="41">
        <v>7</v>
      </c>
      <c r="I30" s="41">
        <v>2</v>
      </c>
      <c r="J30" s="41">
        <v>0</v>
      </c>
      <c r="K30" s="41">
        <v>0</v>
      </c>
      <c r="L30" s="41">
        <v>0</v>
      </c>
      <c r="M30" s="41">
        <v>0</v>
      </c>
      <c r="N30" s="42">
        <v>110</v>
      </c>
      <c r="O30" s="42">
        <v>110</v>
      </c>
      <c r="P30" s="42">
        <v>26</v>
      </c>
      <c r="Q30" s="42">
        <v>65</v>
      </c>
      <c r="R30" s="42">
        <v>200</v>
      </c>
      <c r="S30" s="42">
        <v>230</v>
      </c>
      <c r="T30" s="42">
        <v>250</v>
      </c>
      <c r="U30" s="42">
        <v>170</v>
      </c>
      <c r="V30" s="42">
        <v>25</v>
      </c>
      <c r="W30" s="42">
        <v>4</v>
      </c>
      <c r="X30" s="42">
        <v>265</v>
      </c>
      <c r="Y30" s="43">
        <v>130</v>
      </c>
      <c r="Z30" s="43">
        <v>150</v>
      </c>
      <c r="AA30" s="43">
        <v>30</v>
      </c>
      <c r="AB30" s="43">
        <v>95</v>
      </c>
      <c r="AC30" s="43">
        <v>250</v>
      </c>
      <c r="AD30" s="43">
        <v>260</v>
      </c>
      <c r="AE30" s="43">
        <v>280</v>
      </c>
      <c r="AF30" s="43">
        <v>200</v>
      </c>
      <c r="AG30" s="43">
        <v>30</v>
      </c>
      <c r="AH30" s="43">
        <v>6</v>
      </c>
      <c r="AI30" s="43">
        <v>300</v>
      </c>
      <c r="AJ30" s="41">
        <f t="shared" si="1"/>
        <v>1040</v>
      </c>
      <c r="AK30" s="41">
        <f t="shared" ref="AK30:AO93" si="8">D30*Z30</f>
        <v>0</v>
      </c>
      <c r="AL30" s="41">
        <f t="shared" si="8"/>
        <v>0</v>
      </c>
      <c r="AM30" s="41">
        <f t="shared" si="8"/>
        <v>0</v>
      </c>
      <c r="AN30" s="41">
        <f t="shared" si="8"/>
        <v>0</v>
      </c>
      <c r="AO30" s="41">
        <f t="shared" si="8"/>
        <v>1820</v>
      </c>
      <c r="AP30" s="41">
        <f t="shared" si="7"/>
        <v>560</v>
      </c>
      <c r="AQ30" s="41">
        <f t="shared" si="7"/>
        <v>0</v>
      </c>
      <c r="AR30" s="41">
        <f t="shared" si="7"/>
        <v>0</v>
      </c>
      <c r="AS30" s="41">
        <f t="shared" si="7"/>
        <v>0</v>
      </c>
      <c r="AT30" s="41">
        <f t="shared" si="7"/>
        <v>0</v>
      </c>
      <c r="AU30" s="43">
        <f t="shared" si="6"/>
        <v>160</v>
      </c>
      <c r="AV30" s="43">
        <f t="shared" si="6"/>
        <v>0</v>
      </c>
      <c r="AW30" s="43">
        <f t="shared" si="5"/>
        <v>0</v>
      </c>
      <c r="AX30" s="43">
        <f t="shared" si="5"/>
        <v>0</v>
      </c>
      <c r="AY30" s="43">
        <f t="shared" si="5"/>
        <v>0</v>
      </c>
      <c r="AZ30" s="43">
        <f t="shared" si="5"/>
        <v>210</v>
      </c>
      <c r="BA30" s="43">
        <f t="shared" si="5"/>
        <v>60</v>
      </c>
      <c r="BB30" s="43">
        <f t="shared" si="5"/>
        <v>0</v>
      </c>
      <c r="BC30" s="43">
        <f t="shared" si="5"/>
        <v>0</v>
      </c>
      <c r="BD30" s="43">
        <f t="shared" si="5"/>
        <v>0</v>
      </c>
      <c r="BE30" s="43">
        <f t="shared" si="5"/>
        <v>0</v>
      </c>
      <c r="BF30" s="41">
        <f t="shared" si="4"/>
        <v>430</v>
      </c>
      <c r="BG30" s="41" t="str">
        <f t="array" ref="BG30">_xlfn.IFS(
OR(MONTH(A30)=11,MONTH(A30)=12,MONTH(A30)=1,MONTH(A30)=2),"Winter",
OR(MONTH(A30)=3,MONTH(A30)=4),"Spring",
OR(MONTH(A30)=5,MONTH(A30)=6),"Summer",
OR(MONTH(A30)=7,MONTH(A30)=8,MONTH(A30)=9),"Monsoon",
MONTH(A30)=10,"Autumn/Festive",
TRUE,""
)</f>
        <v>Spring</v>
      </c>
    </row>
    <row r="31" spans="1:59" x14ac:dyDescent="0.3">
      <c r="A31" s="39">
        <v>45356</v>
      </c>
      <c r="B31" s="40" t="str">
        <f t="shared" si="0"/>
        <v>March</v>
      </c>
      <c r="C31" s="41">
        <v>6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6</v>
      </c>
      <c r="J31" s="41">
        <v>0</v>
      </c>
      <c r="K31" s="41">
        <v>0</v>
      </c>
      <c r="L31" s="41">
        <v>0</v>
      </c>
      <c r="M31" s="41">
        <v>0</v>
      </c>
      <c r="N31" s="42">
        <v>110</v>
      </c>
      <c r="O31" s="42">
        <v>110</v>
      </c>
      <c r="P31" s="42">
        <v>26</v>
      </c>
      <c r="Q31" s="42">
        <v>65</v>
      </c>
      <c r="R31" s="42">
        <v>200</v>
      </c>
      <c r="S31" s="42">
        <v>230</v>
      </c>
      <c r="T31" s="42">
        <v>250</v>
      </c>
      <c r="U31" s="42">
        <v>170</v>
      </c>
      <c r="V31" s="42">
        <v>25</v>
      </c>
      <c r="W31" s="42">
        <v>4</v>
      </c>
      <c r="X31" s="42">
        <v>265</v>
      </c>
      <c r="Y31" s="43">
        <v>130</v>
      </c>
      <c r="Z31" s="43">
        <v>150</v>
      </c>
      <c r="AA31" s="43">
        <v>30</v>
      </c>
      <c r="AB31" s="43">
        <v>95</v>
      </c>
      <c r="AC31" s="43">
        <v>250</v>
      </c>
      <c r="AD31" s="43">
        <v>260</v>
      </c>
      <c r="AE31" s="43">
        <v>280</v>
      </c>
      <c r="AF31" s="43">
        <v>200</v>
      </c>
      <c r="AG31" s="43">
        <v>30</v>
      </c>
      <c r="AH31" s="43">
        <v>6</v>
      </c>
      <c r="AI31" s="43">
        <v>300</v>
      </c>
      <c r="AJ31" s="41">
        <f t="shared" si="1"/>
        <v>780</v>
      </c>
      <c r="AK31" s="41">
        <f t="shared" si="8"/>
        <v>0</v>
      </c>
      <c r="AL31" s="41">
        <f t="shared" si="8"/>
        <v>0</v>
      </c>
      <c r="AM31" s="41">
        <f t="shared" si="8"/>
        <v>0</v>
      </c>
      <c r="AN31" s="41">
        <f t="shared" si="8"/>
        <v>0</v>
      </c>
      <c r="AO31" s="41">
        <f t="shared" si="8"/>
        <v>0</v>
      </c>
      <c r="AP31" s="41">
        <f t="shared" si="7"/>
        <v>1680</v>
      </c>
      <c r="AQ31" s="41">
        <f t="shared" si="7"/>
        <v>0</v>
      </c>
      <c r="AR31" s="41">
        <f t="shared" si="7"/>
        <v>0</v>
      </c>
      <c r="AS31" s="41">
        <f t="shared" si="7"/>
        <v>0</v>
      </c>
      <c r="AT31" s="41">
        <f t="shared" si="7"/>
        <v>0</v>
      </c>
      <c r="AU31" s="43">
        <f t="shared" si="6"/>
        <v>120</v>
      </c>
      <c r="AV31" s="43">
        <f t="shared" si="6"/>
        <v>0</v>
      </c>
      <c r="AW31" s="43">
        <f t="shared" si="5"/>
        <v>0</v>
      </c>
      <c r="AX31" s="43">
        <f t="shared" si="5"/>
        <v>0</v>
      </c>
      <c r="AY31" s="43">
        <f t="shared" si="5"/>
        <v>0</v>
      </c>
      <c r="AZ31" s="43">
        <f t="shared" si="5"/>
        <v>0</v>
      </c>
      <c r="BA31" s="43">
        <f t="shared" si="5"/>
        <v>180</v>
      </c>
      <c r="BB31" s="43">
        <f t="shared" si="5"/>
        <v>0</v>
      </c>
      <c r="BC31" s="43">
        <f t="shared" si="5"/>
        <v>0</v>
      </c>
      <c r="BD31" s="43">
        <f t="shared" si="5"/>
        <v>0</v>
      </c>
      <c r="BE31" s="43">
        <f t="shared" si="5"/>
        <v>0</v>
      </c>
      <c r="BF31" s="41">
        <f t="shared" si="4"/>
        <v>300</v>
      </c>
      <c r="BG31" s="41" t="str">
        <f t="array" ref="BG31">_xlfn.IFS(
OR(MONTH(A31)=11,MONTH(A31)=12,MONTH(A31)=1,MONTH(A31)=2),"Winter",
OR(MONTH(A31)=3,MONTH(A31)=4),"Spring",
OR(MONTH(A31)=5,MONTH(A31)=6),"Summer",
OR(MONTH(A31)=7,MONTH(A31)=8,MONTH(A31)=9),"Monsoon",
MONTH(A31)=10,"Autumn/Festive",
TRUE,""
)</f>
        <v>Spring</v>
      </c>
    </row>
    <row r="32" spans="1:59" x14ac:dyDescent="0.3">
      <c r="A32" s="39">
        <v>45357</v>
      </c>
      <c r="B32" s="40" t="str">
        <f t="shared" si="0"/>
        <v>March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2">
        <v>110</v>
      </c>
      <c r="O32" s="42">
        <v>110</v>
      </c>
      <c r="P32" s="42">
        <v>26</v>
      </c>
      <c r="Q32" s="42">
        <v>65</v>
      </c>
      <c r="R32" s="42">
        <v>200</v>
      </c>
      <c r="S32" s="42">
        <v>230</v>
      </c>
      <c r="T32" s="42">
        <v>250</v>
      </c>
      <c r="U32" s="42">
        <v>170</v>
      </c>
      <c r="V32" s="42">
        <v>25</v>
      </c>
      <c r="W32" s="42">
        <v>4</v>
      </c>
      <c r="X32" s="42">
        <v>265</v>
      </c>
      <c r="Y32" s="43">
        <v>130</v>
      </c>
      <c r="Z32" s="43">
        <v>150</v>
      </c>
      <c r="AA32" s="43">
        <v>30</v>
      </c>
      <c r="AB32" s="43">
        <v>95</v>
      </c>
      <c r="AC32" s="43">
        <v>250</v>
      </c>
      <c r="AD32" s="43">
        <v>260</v>
      </c>
      <c r="AE32" s="43">
        <v>280</v>
      </c>
      <c r="AF32" s="43">
        <v>200</v>
      </c>
      <c r="AG32" s="43">
        <v>30</v>
      </c>
      <c r="AH32" s="43">
        <v>6</v>
      </c>
      <c r="AI32" s="43">
        <v>300</v>
      </c>
      <c r="AJ32" s="41">
        <f t="shared" si="1"/>
        <v>0</v>
      </c>
      <c r="AK32" s="41">
        <f t="shared" si="8"/>
        <v>0</v>
      </c>
      <c r="AL32" s="41">
        <f t="shared" si="8"/>
        <v>0</v>
      </c>
      <c r="AM32" s="41">
        <f t="shared" si="8"/>
        <v>0</v>
      </c>
      <c r="AN32" s="41">
        <f t="shared" si="8"/>
        <v>0</v>
      </c>
      <c r="AO32" s="41">
        <f t="shared" si="8"/>
        <v>0</v>
      </c>
      <c r="AP32" s="41">
        <f t="shared" si="7"/>
        <v>0</v>
      </c>
      <c r="AQ32" s="41">
        <f t="shared" si="7"/>
        <v>0</v>
      </c>
      <c r="AR32" s="41">
        <f t="shared" si="7"/>
        <v>0</v>
      </c>
      <c r="AS32" s="41">
        <f t="shared" si="7"/>
        <v>0</v>
      </c>
      <c r="AT32" s="41">
        <f t="shared" si="7"/>
        <v>0</v>
      </c>
      <c r="AU32" s="43">
        <f t="shared" si="6"/>
        <v>0</v>
      </c>
      <c r="AV32" s="43">
        <f t="shared" si="6"/>
        <v>0</v>
      </c>
      <c r="AW32" s="43">
        <f t="shared" si="5"/>
        <v>0</v>
      </c>
      <c r="AX32" s="43">
        <f t="shared" si="5"/>
        <v>0</v>
      </c>
      <c r="AY32" s="43">
        <f t="shared" si="5"/>
        <v>0</v>
      </c>
      <c r="AZ32" s="43">
        <f t="shared" si="5"/>
        <v>0</v>
      </c>
      <c r="BA32" s="43">
        <f t="shared" si="5"/>
        <v>0</v>
      </c>
      <c r="BB32" s="43">
        <f t="shared" si="5"/>
        <v>0</v>
      </c>
      <c r="BC32" s="43">
        <f t="shared" si="5"/>
        <v>0</v>
      </c>
      <c r="BD32" s="43">
        <f t="shared" si="5"/>
        <v>0</v>
      </c>
      <c r="BE32" s="43">
        <f t="shared" si="5"/>
        <v>0</v>
      </c>
      <c r="BF32" s="41">
        <f t="shared" si="4"/>
        <v>0</v>
      </c>
      <c r="BG32" s="41" t="str">
        <f t="array" ref="BG32">_xlfn.IFS(
OR(MONTH(A32)=11,MONTH(A32)=12,MONTH(A32)=1,MONTH(A32)=2),"Winter",
OR(MONTH(A32)=3,MONTH(A32)=4),"Spring",
OR(MONTH(A32)=5,MONTH(A32)=6),"Summer",
OR(MONTH(A32)=7,MONTH(A32)=8,MONTH(A32)=9),"Monsoon",
MONTH(A32)=10,"Autumn/Festive",
TRUE,""
)</f>
        <v>Spring</v>
      </c>
    </row>
    <row r="33" spans="1:59" x14ac:dyDescent="0.3">
      <c r="A33" s="39">
        <v>45358</v>
      </c>
      <c r="B33" s="40" t="str">
        <f t="shared" si="0"/>
        <v>March</v>
      </c>
      <c r="C33" s="41">
        <v>24</v>
      </c>
      <c r="D33" s="41">
        <v>0</v>
      </c>
      <c r="E33" s="41">
        <v>0</v>
      </c>
      <c r="F33" s="41">
        <v>0</v>
      </c>
      <c r="G33" s="41">
        <v>0</v>
      </c>
      <c r="H33" s="41">
        <v>1.5</v>
      </c>
      <c r="I33" s="41">
        <v>3</v>
      </c>
      <c r="J33" s="41">
        <v>2</v>
      </c>
      <c r="K33" s="41">
        <v>1</v>
      </c>
      <c r="L33" s="41">
        <v>0</v>
      </c>
      <c r="M33" s="41">
        <v>0</v>
      </c>
      <c r="N33" s="42">
        <v>110</v>
      </c>
      <c r="O33" s="42">
        <v>110</v>
      </c>
      <c r="P33" s="42">
        <v>26</v>
      </c>
      <c r="Q33" s="42">
        <v>65</v>
      </c>
      <c r="R33" s="42">
        <v>200</v>
      </c>
      <c r="S33" s="42">
        <v>230</v>
      </c>
      <c r="T33" s="42">
        <v>250</v>
      </c>
      <c r="U33" s="42">
        <v>170</v>
      </c>
      <c r="V33" s="42">
        <v>25</v>
      </c>
      <c r="W33" s="42">
        <v>4</v>
      </c>
      <c r="X33" s="42">
        <v>265</v>
      </c>
      <c r="Y33" s="43">
        <v>130</v>
      </c>
      <c r="Z33" s="43">
        <v>150</v>
      </c>
      <c r="AA33" s="43">
        <v>30</v>
      </c>
      <c r="AB33" s="43">
        <v>95</v>
      </c>
      <c r="AC33" s="43">
        <v>250</v>
      </c>
      <c r="AD33" s="43">
        <v>260</v>
      </c>
      <c r="AE33" s="43">
        <v>280</v>
      </c>
      <c r="AF33" s="43">
        <v>200</v>
      </c>
      <c r="AG33" s="43">
        <v>30</v>
      </c>
      <c r="AH33" s="43">
        <v>6</v>
      </c>
      <c r="AI33" s="43">
        <v>300</v>
      </c>
      <c r="AJ33" s="41">
        <f t="shared" si="1"/>
        <v>3120</v>
      </c>
      <c r="AK33" s="41">
        <f t="shared" si="8"/>
        <v>0</v>
      </c>
      <c r="AL33" s="41">
        <f t="shared" si="8"/>
        <v>0</v>
      </c>
      <c r="AM33" s="41">
        <f t="shared" si="8"/>
        <v>0</v>
      </c>
      <c r="AN33" s="41">
        <f t="shared" si="8"/>
        <v>0</v>
      </c>
      <c r="AO33" s="41">
        <f t="shared" si="8"/>
        <v>390</v>
      </c>
      <c r="AP33" s="41">
        <f t="shared" si="7"/>
        <v>840</v>
      </c>
      <c r="AQ33" s="41">
        <f t="shared" si="7"/>
        <v>400</v>
      </c>
      <c r="AR33" s="41">
        <f t="shared" si="7"/>
        <v>30</v>
      </c>
      <c r="AS33" s="41">
        <f t="shared" si="7"/>
        <v>0</v>
      </c>
      <c r="AT33" s="41">
        <f t="shared" si="7"/>
        <v>0</v>
      </c>
      <c r="AU33" s="43">
        <f t="shared" si="6"/>
        <v>480</v>
      </c>
      <c r="AV33" s="43">
        <f t="shared" si="6"/>
        <v>0</v>
      </c>
      <c r="AW33" s="43">
        <f t="shared" si="5"/>
        <v>0</v>
      </c>
      <c r="AX33" s="43">
        <f t="shared" si="5"/>
        <v>0</v>
      </c>
      <c r="AY33" s="43">
        <f t="shared" si="5"/>
        <v>0</v>
      </c>
      <c r="AZ33" s="43">
        <f t="shared" si="5"/>
        <v>45</v>
      </c>
      <c r="BA33" s="43">
        <f t="shared" si="5"/>
        <v>90</v>
      </c>
      <c r="BB33" s="43">
        <f t="shared" si="5"/>
        <v>60</v>
      </c>
      <c r="BC33" s="43">
        <f t="shared" si="5"/>
        <v>5</v>
      </c>
      <c r="BD33" s="43">
        <f t="shared" si="5"/>
        <v>0</v>
      </c>
      <c r="BE33" s="43">
        <f t="shared" si="5"/>
        <v>0</v>
      </c>
      <c r="BF33" s="41">
        <f t="shared" si="4"/>
        <v>680</v>
      </c>
      <c r="BG33" s="41" t="str">
        <f t="array" ref="BG33">_xlfn.IFS(
OR(MONTH(A33)=11,MONTH(A33)=12,MONTH(A33)=1,MONTH(A33)=2),"Winter",
OR(MONTH(A33)=3,MONTH(A33)=4),"Spring",
OR(MONTH(A33)=5,MONTH(A33)=6),"Summer",
OR(MONTH(A33)=7,MONTH(A33)=8,MONTH(A33)=9),"Monsoon",
MONTH(A33)=10,"Autumn/Festive",
TRUE,""
)</f>
        <v>Spring</v>
      </c>
    </row>
    <row r="34" spans="1:59" x14ac:dyDescent="0.3">
      <c r="A34" s="39">
        <v>45359</v>
      </c>
      <c r="B34" s="40" t="str">
        <f t="shared" si="0"/>
        <v>March</v>
      </c>
      <c r="C34" s="41">
        <v>5</v>
      </c>
      <c r="D34" s="41">
        <v>2</v>
      </c>
      <c r="E34" s="41">
        <v>0</v>
      </c>
      <c r="F34" s="41">
        <v>0</v>
      </c>
      <c r="G34" s="41">
        <v>0</v>
      </c>
      <c r="H34" s="41">
        <v>0</v>
      </c>
      <c r="I34" s="41">
        <v>3</v>
      </c>
      <c r="J34" s="41">
        <v>0</v>
      </c>
      <c r="K34" s="41">
        <v>2</v>
      </c>
      <c r="L34" s="41">
        <v>0</v>
      </c>
      <c r="M34" s="41">
        <v>0</v>
      </c>
      <c r="N34" s="42">
        <v>110</v>
      </c>
      <c r="O34" s="42">
        <v>110</v>
      </c>
      <c r="P34" s="42">
        <v>26</v>
      </c>
      <c r="Q34" s="42">
        <v>65</v>
      </c>
      <c r="R34" s="42">
        <v>200</v>
      </c>
      <c r="S34" s="42">
        <v>230</v>
      </c>
      <c r="T34" s="42">
        <v>250</v>
      </c>
      <c r="U34" s="42">
        <v>170</v>
      </c>
      <c r="V34" s="42">
        <v>25</v>
      </c>
      <c r="W34" s="42">
        <v>4</v>
      </c>
      <c r="X34" s="42">
        <v>265</v>
      </c>
      <c r="Y34" s="43">
        <v>130</v>
      </c>
      <c r="Z34" s="43">
        <v>150</v>
      </c>
      <c r="AA34" s="43">
        <v>30</v>
      </c>
      <c r="AB34" s="43">
        <v>95</v>
      </c>
      <c r="AC34" s="43">
        <v>250</v>
      </c>
      <c r="AD34" s="43">
        <v>260</v>
      </c>
      <c r="AE34" s="43">
        <v>280</v>
      </c>
      <c r="AF34" s="43">
        <v>200</v>
      </c>
      <c r="AG34" s="43">
        <v>30</v>
      </c>
      <c r="AH34" s="43">
        <v>6</v>
      </c>
      <c r="AI34" s="43">
        <v>300</v>
      </c>
      <c r="AJ34" s="41">
        <f t="shared" si="1"/>
        <v>650</v>
      </c>
      <c r="AK34" s="41">
        <f t="shared" si="8"/>
        <v>300</v>
      </c>
      <c r="AL34" s="41">
        <f t="shared" si="8"/>
        <v>0</v>
      </c>
      <c r="AM34" s="41">
        <f t="shared" si="8"/>
        <v>0</v>
      </c>
      <c r="AN34" s="41">
        <f t="shared" si="8"/>
        <v>0</v>
      </c>
      <c r="AO34" s="41">
        <f t="shared" si="8"/>
        <v>0</v>
      </c>
      <c r="AP34" s="41">
        <f t="shared" si="7"/>
        <v>840</v>
      </c>
      <c r="AQ34" s="41">
        <f t="shared" si="7"/>
        <v>0</v>
      </c>
      <c r="AR34" s="41">
        <f t="shared" si="7"/>
        <v>60</v>
      </c>
      <c r="AS34" s="41">
        <f t="shared" si="7"/>
        <v>0</v>
      </c>
      <c r="AT34" s="41">
        <f t="shared" si="7"/>
        <v>0</v>
      </c>
      <c r="AU34" s="43">
        <f t="shared" si="6"/>
        <v>100</v>
      </c>
      <c r="AV34" s="43">
        <f t="shared" si="6"/>
        <v>80</v>
      </c>
      <c r="AW34" s="43">
        <f t="shared" si="5"/>
        <v>0</v>
      </c>
      <c r="AX34" s="43">
        <f t="shared" si="5"/>
        <v>0</v>
      </c>
      <c r="AY34" s="43">
        <f t="shared" si="5"/>
        <v>0</v>
      </c>
      <c r="AZ34" s="43">
        <f t="shared" si="5"/>
        <v>0</v>
      </c>
      <c r="BA34" s="43">
        <f t="shared" si="5"/>
        <v>90</v>
      </c>
      <c r="BB34" s="43">
        <f t="shared" si="5"/>
        <v>0</v>
      </c>
      <c r="BC34" s="43">
        <f t="shared" si="5"/>
        <v>10</v>
      </c>
      <c r="BD34" s="43">
        <f t="shared" si="5"/>
        <v>0</v>
      </c>
      <c r="BE34" s="43">
        <f t="shared" si="5"/>
        <v>0</v>
      </c>
      <c r="BF34" s="41">
        <f t="shared" si="4"/>
        <v>280</v>
      </c>
      <c r="BG34" s="41" t="str">
        <f t="array" ref="BG34">_xlfn.IFS(
OR(MONTH(A34)=11,MONTH(A34)=12,MONTH(A34)=1,MONTH(A34)=2),"Winter",
OR(MONTH(A34)=3,MONTH(A34)=4),"Spring",
OR(MONTH(A34)=5,MONTH(A34)=6),"Summer",
OR(MONTH(A34)=7,MONTH(A34)=8,MONTH(A34)=9),"Monsoon",
MONTH(A34)=10,"Autumn/Festive",
TRUE,""
)</f>
        <v>Spring</v>
      </c>
    </row>
    <row r="35" spans="1:59" x14ac:dyDescent="0.3">
      <c r="A35" s="39">
        <v>45360</v>
      </c>
      <c r="B35" s="40" t="str">
        <f t="shared" si="0"/>
        <v>March</v>
      </c>
      <c r="C35" s="41">
        <v>5</v>
      </c>
      <c r="D35" s="41">
        <v>0</v>
      </c>
      <c r="E35" s="41">
        <v>0</v>
      </c>
      <c r="F35" s="41">
        <v>0</v>
      </c>
      <c r="G35" s="41">
        <v>0</v>
      </c>
      <c r="H35" s="41">
        <v>3</v>
      </c>
      <c r="I35" s="41">
        <v>6.5</v>
      </c>
      <c r="J35" s="41">
        <v>0</v>
      </c>
      <c r="K35" s="41">
        <v>2</v>
      </c>
      <c r="L35" s="41">
        <v>12</v>
      </c>
      <c r="M35" s="41">
        <v>0</v>
      </c>
      <c r="N35" s="42">
        <v>110</v>
      </c>
      <c r="O35" s="42">
        <v>110</v>
      </c>
      <c r="P35" s="42">
        <v>26</v>
      </c>
      <c r="Q35" s="42">
        <v>65</v>
      </c>
      <c r="R35" s="42">
        <v>200</v>
      </c>
      <c r="S35" s="42">
        <v>230</v>
      </c>
      <c r="T35" s="42">
        <v>250</v>
      </c>
      <c r="U35" s="42">
        <v>170</v>
      </c>
      <c r="V35" s="42">
        <v>25</v>
      </c>
      <c r="W35" s="42">
        <v>4</v>
      </c>
      <c r="X35" s="42">
        <v>265</v>
      </c>
      <c r="Y35" s="43">
        <v>130</v>
      </c>
      <c r="Z35" s="43">
        <v>150</v>
      </c>
      <c r="AA35" s="43">
        <v>30</v>
      </c>
      <c r="AB35" s="43">
        <v>95</v>
      </c>
      <c r="AC35" s="43">
        <v>250</v>
      </c>
      <c r="AD35" s="43">
        <v>260</v>
      </c>
      <c r="AE35" s="43">
        <v>280</v>
      </c>
      <c r="AF35" s="43">
        <v>200</v>
      </c>
      <c r="AG35" s="43">
        <v>30</v>
      </c>
      <c r="AH35" s="43">
        <v>6</v>
      </c>
      <c r="AI35" s="43">
        <v>300</v>
      </c>
      <c r="AJ35" s="41">
        <f t="shared" si="1"/>
        <v>650</v>
      </c>
      <c r="AK35" s="41">
        <f t="shared" si="8"/>
        <v>0</v>
      </c>
      <c r="AL35" s="41">
        <f t="shared" si="8"/>
        <v>0</v>
      </c>
      <c r="AM35" s="41">
        <f t="shared" si="8"/>
        <v>0</v>
      </c>
      <c r="AN35" s="41">
        <f t="shared" si="8"/>
        <v>0</v>
      </c>
      <c r="AO35" s="41">
        <f t="shared" si="8"/>
        <v>780</v>
      </c>
      <c r="AP35" s="41">
        <f t="shared" si="7"/>
        <v>1820</v>
      </c>
      <c r="AQ35" s="41">
        <f t="shared" si="7"/>
        <v>0</v>
      </c>
      <c r="AR35" s="41">
        <f t="shared" si="7"/>
        <v>60</v>
      </c>
      <c r="AS35" s="41">
        <f t="shared" si="7"/>
        <v>72</v>
      </c>
      <c r="AT35" s="41">
        <f t="shared" si="7"/>
        <v>0</v>
      </c>
      <c r="AU35" s="43">
        <f t="shared" si="6"/>
        <v>100</v>
      </c>
      <c r="AV35" s="43">
        <f t="shared" si="6"/>
        <v>0</v>
      </c>
      <c r="AW35" s="43">
        <f t="shared" si="5"/>
        <v>0</v>
      </c>
      <c r="AX35" s="43">
        <f t="shared" si="5"/>
        <v>0</v>
      </c>
      <c r="AY35" s="43">
        <f t="shared" si="5"/>
        <v>0</v>
      </c>
      <c r="AZ35" s="43">
        <f t="shared" si="5"/>
        <v>90</v>
      </c>
      <c r="BA35" s="43">
        <f t="shared" si="5"/>
        <v>195</v>
      </c>
      <c r="BB35" s="43">
        <f t="shared" si="5"/>
        <v>0</v>
      </c>
      <c r="BC35" s="43">
        <f t="shared" si="5"/>
        <v>10</v>
      </c>
      <c r="BD35" s="43">
        <f t="shared" si="5"/>
        <v>24</v>
      </c>
      <c r="BE35" s="43">
        <f t="shared" si="5"/>
        <v>0</v>
      </c>
      <c r="BF35" s="41">
        <f t="shared" si="4"/>
        <v>419</v>
      </c>
      <c r="BG35" s="41" t="str">
        <f t="array" ref="BG35">_xlfn.IFS(
OR(MONTH(A35)=11,MONTH(A35)=12,MONTH(A35)=1,MONTH(A35)=2),"Winter",
OR(MONTH(A35)=3,MONTH(A35)=4),"Spring",
OR(MONTH(A35)=5,MONTH(A35)=6),"Summer",
OR(MONTH(A35)=7,MONTH(A35)=8,MONTH(A35)=9),"Monsoon",
MONTH(A35)=10,"Autumn/Festive",
TRUE,""
)</f>
        <v>Spring</v>
      </c>
    </row>
    <row r="36" spans="1:59" x14ac:dyDescent="0.3">
      <c r="A36" s="39">
        <v>45361</v>
      </c>
      <c r="B36" s="40" t="str">
        <f t="shared" si="0"/>
        <v>March</v>
      </c>
      <c r="C36" s="41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0</v>
      </c>
      <c r="M36" s="41">
        <v>0</v>
      </c>
      <c r="N36" s="42">
        <v>110</v>
      </c>
      <c r="O36" s="42">
        <v>110</v>
      </c>
      <c r="P36" s="42">
        <v>26</v>
      </c>
      <c r="Q36" s="42">
        <v>65</v>
      </c>
      <c r="R36" s="42">
        <v>200</v>
      </c>
      <c r="S36" s="42">
        <v>230</v>
      </c>
      <c r="T36" s="42">
        <v>250</v>
      </c>
      <c r="U36" s="42">
        <v>170</v>
      </c>
      <c r="V36" s="42">
        <v>25</v>
      </c>
      <c r="W36" s="42">
        <v>4</v>
      </c>
      <c r="X36" s="42">
        <v>265</v>
      </c>
      <c r="Y36" s="43">
        <v>130</v>
      </c>
      <c r="Z36" s="43">
        <v>150</v>
      </c>
      <c r="AA36" s="43">
        <v>30</v>
      </c>
      <c r="AB36" s="43">
        <v>95</v>
      </c>
      <c r="AC36" s="43">
        <v>250</v>
      </c>
      <c r="AD36" s="43">
        <v>260</v>
      </c>
      <c r="AE36" s="43">
        <v>280</v>
      </c>
      <c r="AF36" s="43">
        <v>200</v>
      </c>
      <c r="AG36" s="43">
        <v>30</v>
      </c>
      <c r="AH36" s="43">
        <v>6</v>
      </c>
      <c r="AI36" s="43">
        <v>300</v>
      </c>
      <c r="AJ36" s="41">
        <f t="shared" si="1"/>
        <v>0</v>
      </c>
      <c r="AK36" s="41">
        <f t="shared" si="8"/>
        <v>0</v>
      </c>
      <c r="AL36" s="41">
        <f t="shared" si="8"/>
        <v>0</v>
      </c>
      <c r="AM36" s="41">
        <f t="shared" si="8"/>
        <v>0</v>
      </c>
      <c r="AN36" s="41">
        <f t="shared" si="8"/>
        <v>0</v>
      </c>
      <c r="AO36" s="41">
        <f t="shared" si="8"/>
        <v>0</v>
      </c>
      <c r="AP36" s="41">
        <f t="shared" si="7"/>
        <v>0</v>
      </c>
      <c r="AQ36" s="41">
        <f t="shared" si="7"/>
        <v>0</v>
      </c>
      <c r="AR36" s="41">
        <f t="shared" si="7"/>
        <v>0</v>
      </c>
      <c r="AS36" s="41">
        <f t="shared" si="7"/>
        <v>0</v>
      </c>
      <c r="AT36" s="41">
        <f t="shared" si="7"/>
        <v>0</v>
      </c>
      <c r="AU36" s="43">
        <f t="shared" si="6"/>
        <v>0</v>
      </c>
      <c r="AV36" s="43">
        <f t="shared" si="6"/>
        <v>0</v>
      </c>
      <c r="AW36" s="43">
        <f t="shared" si="5"/>
        <v>0</v>
      </c>
      <c r="AX36" s="43">
        <f t="shared" si="5"/>
        <v>0</v>
      </c>
      <c r="AY36" s="43">
        <f t="shared" si="5"/>
        <v>0</v>
      </c>
      <c r="AZ36" s="43">
        <f t="shared" si="5"/>
        <v>0</v>
      </c>
      <c r="BA36" s="43">
        <f t="shared" si="5"/>
        <v>0</v>
      </c>
      <c r="BB36" s="43">
        <f t="shared" si="5"/>
        <v>0</v>
      </c>
      <c r="BC36" s="43">
        <f t="shared" si="5"/>
        <v>0</v>
      </c>
      <c r="BD36" s="43">
        <f t="shared" si="5"/>
        <v>0</v>
      </c>
      <c r="BE36" s="43">
        <f t="shared" si="5"/>
        <v>0</v>
      </c>
      <c r="BF36" s="41">
        <f t="shared" si="4"/>
        <v>0</v>
      </c>
      <c r="BG36" s="41" t="str">
        <f t="array" ref="BG36">_xlfn.IFS(
OR(MONTH(A36)=11,MONTH(A36)=12,MONTH(A36)=1,MONTH(A36)=2),"Winter",
OR(MONTH(A36)=3,MONTH(A36)=4),"Spring",
OR(MONTH(A36)=5,MONTH(A36)=6),"Summer",
OR(MONTH(A36)=7,MONTH(A36)=8,MONTH(A36)=9),"Monsoon",
MONTH(A36)=10,"Autumn/Festive",
TRUE,""
)</f>
        <v>Spring</v>
      </c>
    </row>
    <row r="37" spans="1:59" x14ac:dyDescent="0.3">
      <c r="A37" s="39">
        <v>45362</v>
      </c>
      <c r="B37" s="40" t="str">
        <f t="shared" si="0"/>
        <v>March</v>
      </c>
      <c r="C37" s="41">
        <v>0</v>
      </c>
      <c r="D37" s="41">
        <v>0</v>
      </c>
      <c r="E37" s="41">
        <v>0</v>
      </c>
      <c r="F37" s="41">
        <v>0</v>
      </c>
      <c r="G37" s="41">
        <v>0</v>
      </c>
      <c r="H37" s="41">
        <v>5.5</v>
      </c>
      <c r="I37" s="41">
        <v>0</v>
      </c>
      <c r="J37" s="41">
        <v>0</v>
      </c>
      <c r="K37" s="41">
        <v>2</v>
      </c>
      <c r="L37" s="41">
        <v>0</v>
      </c>
      <c r="M37" s="41">
        <v>0</v>
      </c>
      <c r="N37" s="42">
        <v>110</v>
      </c>
      <c r="O37" s="42">
        <v>110</v>
      </c>
      <c r="P37" s="42">
        <v>26</v>
      </c>
      <c r="Q37" s="42">
        <v>65</v>
      </c>
      <c r="R37" s="42">
        <v>200</v>
      </c>
      <c r="S37" s="42">
        <v>230</v>
      </c>
      <c r="T37" s="42">
        <v>250</v>
      </c>
      <c r="U37" s="42">
        <v>170</v>
      </c>
      <c r="V37" s="42">
        <v>25</v>
      </c>
      <c r="W37" s="42">
        <v>4</v>
      </c>
      <c r="X37" s="42">
        <v>265</v>
      </c>
      <c r="Y37" s="43">
        <v>130</v>
      </c>
      <c r="Z37" s="43">
        <v>150</v>
      </c>
      <c r="AA37" s="43">
        <v>30</v>
      </c>
      <c r="AB37" s="43">
        <v>95</v>
      </c>
      <c r="AC37" s="43">
        <v>250</v>
      </c>
      <c r="AD37" s="43">
        <v>260</v>
      </c>
      <c r="AE37" s="43">
        <v>280</v>
      </c>
      <c r="AF37" s="43">
        <v>200</v>
      </c>
      <c r="AG37" s="43">
        <v>30</v>
      </c>
      <c r="AH37" s="43">
        <v>6</v>
      </c>
      <c r="AI37" s="43">
        <v>300</v>
      </c>
      <c r="AJ37" s="41">
        <f t="shared" si="1"/>
        <v>0</v>
      </c>
      <c r="AK37" s="41">
        <f t="shared" si="8"/>
        <v>0</v>
      </c>
      <c r="AL37" s="41">
        <f t="shared" si="8"/>
        <v>0</v>
      </c>
      <c r="AM37" s="41">
        <f t="shared" si="8"/>
        <v>0</v>
      </c>
      <c r="AN37" s="41">
        <f t="shared" si="8"/>
        <v>0</v>
      </c>
      <c r="AO37" s="41">
        <f t="shared" si="8"/>
        <v>1430</v>
      </c>
      <c r="AP37" s="41">
        <f t="shared" si="7"/>
        <v>0</v>
      </c>
      <c r="AQ37" s="41">
        <f t="shared" si="7"/>
        <v>0</v>
      </c>
      <c r="AR37" s="41">
        <f t="shared" si="7"/>
        <v>60</v>
      </c>
      <c r="AS37" s="41">
        <f t="shared" si="7"/>
        <v>0</v>
      </c>
      <c r="AT37" s="41">
        <f t="shared" si="7"/>
        <v>0</v>
      </c>
      <c r="AU37" s="43">
        <f t="shared" si="6"/>
        <v>0</v>
      </c>
      <c r="AV37" s="43">
        <f t="shared" si="6"/>
        <v>0</v>
      </c>
      <c r="AW37" s="43">
        <f t="shared" si="5"/>
        <v>0</v>
      </c>
      <c r="AX37" s="43">
        <f t="shared" si="5"/>
        <v>0</v>
      </c>
      <c r="AY37" s="43">
        <f t="shared" si="5"/>
        <v>0</v>
      </c>
      <c r="AZ37" s="43">
        <f t="shared" si="5"/>
        <v>165</v>
      </c>
      <c r="BA37" s="43">
        <f t="shared" si="5"/>
        <v>0</v>
      </c>
      <c r="BB37" s="43">
        <f t="shared" si="5"/>
        <v>0</v>
      </c>
      <c r="BC37" s="43">
        <f t="shared" si="5"/>
        <v>10</v>
      </c>
      <c r="BD37" s="43">
        <f t="shared" si="5"/>
        <v>0</v>
      </c>
      <c r="BE37" s="43">
        <f t="shared" si="5"/>
        <v>0</v>
      </c>
      <c r="BF37" s="41">
        <f t="shared" si="4"/>
        <v>175</v>
      </c>
      <c r="BG37" s="41" t="str">
        <f t="array" ref="BG37">_xlfn.IFS(
OR(MONTH(A37)=11,MONTH(A37)=12,MONTH(A37)=1,MONTH(A37)=2),"Winter",
OR(MONTH(A37)=3,MONTH(A37)=4),"Spring",
OR(MONTH(A37)=5,MONTH(A37)=6),"Summer",
OR(MONTH(A37)=7,MONTH(A37)=8,MONTH(A37)=9),"Monsoon",
MONTH(A37)=10,"Autumn/Festive",
TRUE,""
)</f>
        <v>Spring</v>
      </c>
    </row>
    <row r="38" spans="1:59" x14ac:dyDescent="0.3">
      <c r="A38" s="39">
        <v>45363</v>
      </c>
      <c r="B38" s="40" t="str">
        <f t="shared" si="0"/>
        <v>March</v>
      </c>
      <c r="C38" s="41">
        <v>6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4</v>
      </c>
      <c r="J38" s="41">
        <v>0</v>
      </c>
      <c r="K38" s="41">
        <v>2</v>
      </c>
      <c r="L38" s="41">
        <v>0</v>
      </c>
      <c r="M38" s="41">
        <v>0</v>
      </c>
      <c r="N38" s="42">
        <v>110</v>
      </c>
      <c r="O38" s="42">
        <v>110</v>
      </c>
      <c r="P38" s="42">
        <v>26</v>
      </c>
      <c r="Q38" s="42">
        <v>65</v>
      </c>
      <c r="R38" s="42">
        <v>200</v>
      </c>
      <c r="S38" s="42">
        <v>230</v>
      </c>
      <c r="T38" s="42">
        <v>250</v>
      </c>
      <c r="U38" s="42">
        <v>170</v>
      </c>
      <c r="V38" s="42">
        <v>25</v>
      </c>
      <c r="W38" s="42">
        <v>4</v>
      </c>
      <c r="X38" s="42">
        <v>265</v>
      </c>
      <c r="Y38" s="43">
        <v>130</v>
      </c>
      <c r="Z38" s="43">
        <v>150</v>
      </c>
      <c r="AA38" s="43">
        <v>30</v>
      </c>
      <c r="AB38" s="43">
        <v>95</v>
      </c>
      <c r="AC38" s="43">
        <v>250</v>
      </c>
      <c r="AD38" s="43">
        <v>260</v>
      </c>
      <c r="AE38" s="43">
        <v>280</v>
      </c>
      <c r="AF38" s="43">
        <v>200</v>
      </c>
      <c r="AG38" s="43">
        <v>30</v>
      </c>
      <c r="AH38" s="43">
        <v>6</v>
      </c>
      <c r="AI38" s="43">
        <v>300</v>
      </c>
      <c r="AJ38" s="41">
        <f t="shared" si="1"/>
        <v>780</v>
      </c>
      <c r="AK38" s="41">
        <f t="shared" si="8"/>
        <v>0</v>
      </c>
      <c r="AL38" s="41">
        <f t="shared" si="8"/>
        <v>0</v>
      </c>
      <c r="AM38" s="41">
        <f t="shared" si="8"/>
        <v>0</v>
      </c>
      <c r="AN38" s="41">
        <f t="shared" si="8"/>
        <v>0</v>
      </c>
      <c r="AO38" s="41">
        <f t="shared" si="8"/>
        <v>0</v>
      </c>
      <c r="AP38" s="41">
        <f t="shared" si="7"/>
        <v>1120</v>
      </c>
      <c r="AQ38" s="41">
        <f t="shared" si="7"/>
        <v>0</v>
      </c>
      <c r="AR38" s="41">
        <f t="shared" si="7"/>
        <v>60</v>
      </c>
      <c r="AS38" s="41">
        <f t="shared" si="7"/>
        <v>0</v>
      </c>
      <c r="AT38" s="41">
        <f t="shared" si="7"/>
        <v>0</v>
      </c>
      <c r="AU38" s="43">
        <f t="shared" si="6"/>
        <v>120</v>
      </c>
      <c r="AV38" s="43">
        <f t="shared" si="6"/>
        <v>0</v>
      </c>
      <c r="AW38" s="43">
        <f t="shared" si="5"/>
        <v>0</v>
      </c>
      <c r="AX38" s="43">
        <f t="shared" si="5"/>
        <v>0</v>
      </c>
      <c r="AY38" s="43">
        <f t="shared" si="5"/>
        <v>0</v>
      </c>
      <c r="AZ38" s="43">
        <f t="shared" si="5"/>
        <v>0</v>
      </c>
      <c r="BA38" s="43">
        <f t="shared" si="5"/>
        <v>120</v>
      </c>
      <c r="BB38" s="43">
        <f t="shared" si="5"/>
        <v>0</v>
      </c>
      <c r="BC38" s="43">
        <f t="shared" si="5"/>
        <v>10</v>
      </c>
      <c r="BD38" s="43">
        <f t="shared" si="5"/>
        <v>0</v>
      </c>
      <c r="BE38" s="43">
        <f t="shared" si="5"/>
        <v>0</v>
      </c>
      <c r="BF38" s="41">
        <f t="shared" si="4"/>
        <v>250</v>
      </c>
      <c r="BG38" s="41" t="str">
        <f t="array" ref="BG38">_xlfn.IFS(
OR(MONTH(A38)=11,MONTH(A38)=12,MONTH(A38)=1,MONTH(A38)=2),"Winter",
OR(MONTH(A38)=3,MONTH(A38)=4),"Spring",
OR(MONTH(A38)=5,MONTH(A38)=6),"Summer",
OR(MONTH(A38)=7,MONTH(A38)=8,MONTH(A38)=9),"Monsoon",
MONTH(A38)=10,"Autumn/Festive",
TRUE,""
)</f>
        <v>Spring</v>
      </c>
    </row>
    <row r="39" spans="1:59" x14ac:dyDescent="0.3">
      <c r="A39" s="39">
        <v>45364</v>
      </c>
      <c r="B39" s="40" t="str">
        <f t="shared" si="0"/>
        <v>March</v>
      </c>
      <c r="C39" s="41">
        <v>9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3</v>
      </c>
      <c r="J39" s="41">
        <v>0</v>
      </c>
      <c r="K39" s="41">
        <v>0</v>
      </c>
      <c r="L39" s="41">
        <v>12</v>
      </c>
      <c r="M39" s="41">
        <v>1</v>
      </c>
      <c r="N39" s="42">
        <v>110</v>
      </c>
      <c r="O39" s="42">
        <v>110</v>
      </c>
      <c r="P39" s="42">
        <v>26</v>
      </c>
      <c r="Q39" s="42">
        <v>65</v>
      </c>
      <c r="R39" s="42">
        <v>200</v>
      </c>
      <c r="S39" s="42">
        <v>230</v>
      </c>
      <c r="T39" s="42">
        <v>250</v>
      </c>
      <c r="U39" s="42">
        <v>170</v>
      </c>
      <c r="V39" s="42">
        <v>25</v>
      </c>
      <c r="W39" s="42">
        <v>4</v>
      </c>
      <c r="X39" s="42">
        <v>265</v>
      </c>
      <c r="Y39" s="43">
        <v>130</v>
      </c>
      <c r="Z39" s="43">
        <v>150</v>
      </c>
      <c r="AA39" s="43">
        <v>30</v>
      </c>
      <c r="AB39" s="43">
        <v>95</v>
      </c>
      <c r="AC39" s="43">
        <v>250</v>
      </c>
      <c r="AD39" s="43">
        <v>260</v>
      </c>
      <c r="AE39" s="43">
        <v>280</v>
      </c>
      <c r="AF39" s="43">
        <v>200</v>
      </c>
      <c r="AG39" s="43">
        <v>30</v>
      </c>
      <c r="AH39" s="43">
        <v>6</v>
      </c>
      <c r="AI39" s="43">
        <v>300</v>
      </c>
      <c r="AJ39" s="41">
        <f t="shared" si="1"/>
        <v>1170</v>
      </c>
      <c r="AK39" s="41">
        <f t="shared" si="8"/>
        <v>0</v>
      </c>
      <c r="AL39" s="41">
        <f t="shared" si="8"/>
        <v>0</v>
      </c>
      <c r="AM39" s="41">
        <f t="shared" si="8"/>
        <v>0</v>
      </c>
      <c r="AN39" s="41">
        <f t="shared" si="8"/>
        <v>0</v>
      </c>
      <c r="AO39" s="41">
        <f t="shared" si="8"/>
        <v>0</v>
      </c>
      <c r="AP39" s="41">
        <f t="shared" si="7"/>
        <v>840</v>
      </c>
      <c r="AQ39" s="41">
        <f t="shared" si="7"/>
        <v>0</v>
      </c>
      <c r="AR39" s="41">
        <f t="shared" si="7"/>
        <v>0</v>
      </c>
      <c r="AS39" s="41">
        <f t="shared" si="7"/>
        <v>72</v>
      </c>
      <c r="AT39" s="41">
        <f t="shared" si="7"/>
        <v>300</v>
      </c>
      <c r="AU39" s="43">
        <f t="shared" si="6"/>
        <v>180</v>
      </c>
      <c r="AV39" s="43">
        <f t="shared" si="6"/>
        <v>0</v>
      </c>
      <c r="AW39" s="43">
        <f t="shared" si="5"/>
        <v>0</v>
      </c>
      <c r="AX39" s="43">
        <f t="shared" si="5"/>
        <v>0</v>
      </c>
      <c r="AY39" s="43">
        <f t="shared" si="5"/>
        <v>0</v>
      </c>
      <c r="AZ39" s="43">
        <f t="shared" si="5"/>
        <v>0</v>
      </c>
      <c r="BA39" s="43">
        <f t="shared" si="5"/>
        <v>90</v>
      </c>
      <c r="BB39" s="43">
        <f t="shared" si="5"/>
        <v>0</v>
      </c>
      <c r="BC39" s="43">
        <f t="shared" si="5"/>
        <v>0</v>
      </c>
      <c r="BD39" s="43">
        <f t="shared" si="5"/>
        <v>24</v>
      </c>
      <c r="BE39" s="43">
        <f t="shared" si="5"/>
        <v>35</v>
      </c>
      <c r="BF39" s="41">
        <f t="shared" si="4"/>
        <v>329</v>
      </c>
      <c r="BG39" s="41" t="str">
        <f t="array" ref="BG39">_xlfn.IFS(
OR(MONTH(A39)=11,MONTH(A39)=12,MONTH(A39)=1,MONTH(A39)=2),"Winter",
OR(MONTH(A39)=3,MONTH(A39)=4),"Spring",
OR(MONTH(A39)=5,MONTH(A39)=6),"Summer",
OR(MONTH(A39)=7,MONTH(A39)=8,MONTH(A39)=9),"Monsoon",
MONTH(A39)=10,"Autumn/Festive",
TRUE,""
)</f>
        <v>Spring</v>
      </c>
    </row>
    <row r="40" spans="1:59" x14ac:dyDescent="0.3">
      <c r="A40" s="39">
        <v>45365</v>
      </c>
      <c r="B40" s="40" t="str">
        <f t="shared" si="0"/>
        <v>March</v>
      </c>
      <c r="C40" s="41">
        <v>3</v>
      </c>
      <c r="D40" s="41">
        <v>0</v>
      </c>
      <c r="E40" s="41">
        <v>0</v>
      </c>
      <c r="F40" s="41">
        <v>0</v>
      </c>
      <c r="G40" s="41">
        <v>0</v>
      </c>
      <c r="H40" s="41">
        <v>6</v>
      </c>
      <c r="I40" s="41">
        <v>3</v>
      </c>
      <c r="J40" s="41">
        <v>1</v>
      </c>
      <c r="K40" s="41">
        <v>0</v>
      </c>
      <c r="L40" s="41">
        <v>6</v>
      </c>
      <c r="M40" s="41">
        <v>2</v>
      </c>
      <c r="N40" s="42">
        <v>110</v>
      </c>
      <c r="O40" s="42">
        <v>110</v>
      </c>
      <c r="P40" s="42">
        <v>26</v>
      </c>
      <c r="Q40" s="42">
        <v>65</v>
      </c>
      <c r="R40" s="42">
        <v>200</v>
      </c>
      <c r="S40" s="42">
        <v>230</v>
      </c>
      <c r="T40" s="42">
        <v>250</v>
      </c>
      <c r="U40" s="42">
        <v>170</v>
      </c>
      <c r="V40" s="42">
        <v>25</v>
      </c>
      <c r="W40" s="42">
        <v>4</v>
      </c>
      <c r="X40" s="42">
        <v>265</v>
      </c>
      <c r="Y40" s="43">
        <v>130</v>
      </c>
      <c r="Z40" s="43">
        <v>150</v>
      </c>
      <c r="AA40" s="43">
        <v>30</v>
      </c>
      <c r="AB40" s="43">
        <v>95</v>
      </c>
      <c r="AC40" s="43">
        <v>250</v>
      </c>
      <c r="AD40" s="43">
        <v>260</v>
      </c>
      <c r="AE40" s="43">
        <v>280</v>
      </c>
      <c r="AF40" s="43">
        <v>200</v>
      </c>
      <c r="AG40" s="43">
        <v>30</v>
      </c>
      <c r="AH40" s="43">
        <v>6</v>
      </c>
      <c r="AI40" s="43">
        <v>300</v>
      </c>
      <c r="AJ40" s="41">
        <f t="shared" si="1"/>
        <v>390</v>
      </c>
      <c r="AK40" s="41">
        <f t="shared" si="8"/>
        <v>0</v>
      </c>
      <c r="AL40" s="41">
        <f t="shared" si="8"/>
        <v>0</v>
      </c>
      <c r="AM40" s="41">
        <f t="shared" si="8"/>
        <v>0</v>
      </c>
      <c r="AN40" s="41">
        <f t="shared" si="8"/>
        <v>0</v>
      </c>
      <c r="AO40" s="41">
        <f t="shared" si="8"/>
        <v>1560</v>
      </c>
      <c r="AP40" s="41">
        <f t="shared" si="7"/>
        <v>840</v>
      </c>
      <c r="AQ40" s="41">
        <f t="shared" si="7"/>
        <v>200</v>
      </c>
      <c r="AR40" s="41">
        <f t="shared" si="7"/>
        <v>0</v>
      </c>
      <c r="AS40" s="41">
        <f t="shared" si="7"/>
        <v>36</v>
      </c>
      <c r="AT40" s="41">
        <f t="shared" si="7"/>
        <v>600</v>
      </c>
      <c r="AU40" s="43">
        <f t="shared" si="6"/>
        <v>60</v>
      </c>
      <c r="AV40" s="43">
        <f t="shared" si="6"/>
        <v>0</v>
      </c>
      <c r="AW40" s="43">
        <f t="shared" si="5"/>
        <v>0</v>
      </c>
      <c r="AX40" s="43">
        <f t="shared" si="5"/>
        <v>0</v>
      </c>
      <c r="AY40" s="43">
        <f t="shared" si="5"/>
        <v>0</v>
      </c>
      <c r="AZ40" s="43">
        <f t="shared" si="5"/>
        <v>180</v>
      </c>
      <c r="BA40" s="43">
        <f t="shared" si="5"/>
        <v>90</v>
      </c>
      <c r="BB40" s="43">
        <f t="shared" si="5"/>
        <v>30</v>
      </c>
      <c r="BC40" s="43">
        <f t="shared" si="5"/>
        <v>0</v>
      </c>
      <c r="BD40" s="43">
        <f t="shared" si="5"/>
        <v>12</v>
      </c>
      <c r="BE40" s="43">
        <f t="shared" si="5"/>
        <v>70</v>
      </c>
      <c r="BF40" s="41">
        <f t="shared" si="4"/>
        <v>442</v>
      </c>
      <c r="BG40" s="41" t="str">
        <f t="array" ref="BG40">_xlfn.IFS(
OR(MONTH(A40)=11,MONTH(A40)=12,MONTH(A40)=1,MONTH(A40)=2),"Winter",
OR(MONTH(A40)=3,MONTH(A40)=4),"Spring",
OR(MONTH(A40)=5,MONTH(A40)=6),"Summer",
OR(MONTH(A40)=7,MONTH(A40)=8,MONTH(A40)=9),"Monsoon",
MONTH(A40)=10,"Autumn/Festive",
TRUE,""
)</f>
        <v>Spring</v>
      </c>
    </row>
    <row r="41" spans="1:59" x14ac:dyDescent="0.3">
      <c r="A41" s="39">
        <v>45366</v>
      </c>
      <c r="B41" s="40" t="str">
        <f t="shared" si="0"/>
        <v>March</v>
      </c>
      <c r="C41" s="41">
        <v>0</v>
      </c>
      <c r="D41" s="41">
        <v>3</v>
      </c>
      <c r="E41" s="41">
        <v>0</v>
      </c>
      <c r="F41" s="41">
        <v>0</v>
      </c>
      <c r="G41" s="41">
        <v>0</v>
      </c>
      <c r="H41" s="41">
        <v>2.5</v>
      </c>
      <c r="I41" s="41">
        <v>4</v>
      </c>
      <c r="J41" s="41">
        <v>0</v>
      </c>
      <c r="K41" s="41">
        <v>0</v>
      </c>
      <c r="L41" s="41">
        <v>0</v>
      </c>
      <c r="M41" s="41">
        <v>1</v>
      </c>
      <c r="N41" s="42">
        <v>110</v>
      </c>
      <c r="O41" s="42">
        <v>110</v>
      </c>
      <c r="P41" s="42">
        <v>26</v>
      </c>
      <c r="Q41" s="42">
        <v>65</v>
      </c>
      <c r="R41" s="42">
        <v>200</v>
      </c>
      <c r="S41" s="42">
        <v>230</v>
      </c>
      <c r="T41" s="42">
        <v>250</v>
      </c>
      <c r="U41" s="42">
        <v>170</v>
      </c>
      <c r="V41" s="42">
        <v>25</v>
      </c>
      <c r="W41" s="42">
        <v>4</v>
      </c>
      <c r="X41" s="42">
        <v>265</v>
      </c>
      <c r="Y41" s="43">
        <v>130</v>
      </c>
      <c r="Z41" s="43">
        <v>150</v>
      </c>
      <c r="AA41" s="43">
        <v>30</v>
      </c>
      <c r="AB41" s="43">
        <v>95</v>
      </c>
      <c r="AC41" s="43">
        <v>250</v>
      </c>
      <c r="AD41" s="43">
        <v>260</v>
      </c>
      <c r="AE41" s="43">
        <v>280</v>
      </c>
      <c r="AF41" s="43">
        <v>200</v>
      </c>
      <c r="AG41" s="43">
        <v>30</v>
      </c>
      <c r="AH41" s="43">
        <v>6</v>
      </c>
      <c r="AI41" s="43">
        <v>300</v>
      </c>
      <c r="AJ41" s="41">
        <f t="shared" si="1"/>
        <v>0</v>
      </c>
      <c r="AK41" s="41">
        <f t="shared" si="8"/>
        <v>450</v>
      </c>
      <c r="AL41" s="41">
        <f t="shared" si="8"/>
        <v>0</v>
      </c>
      <c r="AM41" s="41">
        <f t="shared" si="8"/>
        <v>0</v>
      </c>
      <c r="AN41" s="41">
        <f t="shared" si="8"/>
        <v>0</v>
      </c>
      <c r="AO41" s="41">
        <f t="shared" si="8"/>
        <v>650</v>
      </c>
      <c r="AP41" s="41">
        <f t="shared" si="7"/>
        <v>1120</v>
      </c>
      <c r="AQ41" s="41">
        <f t="shared" si="7"/>
        <v>0</v>
      </c>
      <c r="AR41" s="41">
        <f t="shared" si="7"/>
        <v>0</v>
      </c>
      <c r="AS41" s="41">
        <f t="shared" si="7"/>
        <v>0</v>
      </c>
      <c r="AT41" s="41">
        <f t="shared" si="7"/>
        <v>300</v>
      </c>
      <c r="AU41" s="43">
        <f t="shared" si="6"/>
        <v>0</v>
      </c>
      <c r="AV41" s="43">
        <f t="shared" si="6"/>
        <v>120</v>
      </c>
      <c r="AW41" s="43">
        <f t="shared" si="5"/>
        <v>0</v>
      </c>
      <c r="AX41" s="43">
        <f t="shared" si="5"/>
        <v>0</v>
      </c>
      <c r="AY41" s="43">
        <f t="shared" si="5"/>
        <v>0</v>
      </c>
      <c r="AZ41" s="43">
        <f t="shared" si="5"/>
        <v>75</v>
      </c>
      <c r="BA41" s="43">
        <f t="shared" si="5"/>
        <v>120</v>
      </c>
      <c r="BB41" s="43">
        <f t="shared" si="5"/>
        <v>0</v>
      </c>
      <c r="BC41" s="43">
        <f t="shared" si="5"/>
        <v>0</v>
      </c>
      <c r="BD41" s="43">
        <f t="shared" si="5"/>
        <v>0</v>
      </c>
      <c r="BE41" s="43">
        <f t="shared" si="5"/>
        <v>35</v>
      </c>
      <c r="BF41" s="41">
        <f t="shared" si="4"/>
        <v>350</v>
      </c>
      <c r="BG41" s="41" t="str">
        <f t="array" ref="BG41">_xlfn.IFS(
OR(MONTH(A41)=11,MONTH(A41)=12,MONTH(A41)=1,MONTH(A41)=2),"Winter",
OR(MONTH(A41)=3,MONTH(A41)=4),"Spring",
OR(MONTH(A41)=5,MONTH(A41)=6),"Summer",
OR(MONTH(A41)=7,MONTH(A41)=8,MONTH(A41)=9),"Monsoon",
MONTH(A41)=10,"Autumn/Festive",
TRUE,""
)</f>
        <v>Spring</v>
      </c>
    </row>
    <row r="42" spans="1:59" x14ac:dyDescent="0.3">
      <c r="A42" s="39">
        <v>45367</v>
      </c>
      <c r="B42" s="40" t="str">
        <f t="shared" si="0"/>
        <v>March</v>
      </c>
      <c r="C42" s="41">
        <v>9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3.5</v>
      </c>
      <c r="J42" s="41">
        <v>0</v>
      </c>
      <c r="K42" s="41">
        <v>3</v>
      </c>
      <c r="L42" s="41">
        <v>6</v>
      </c>
      <c r="M42" s="41">
        <v>0</v>
      </c>
      <c r="N42" s="42">
        <v>110</v>
      </c>
      <c r="O42" s="42">
        <v>110</v>
      </c>
      <c r="P42" s="42">
        <v>26</v>
      </c>
      <c r="Q42" s="42">
        <v>65</v>
      </c>
      <c r="R42" s="42">
        <v>200</v>
      </c>
      <c r="S42" s="42">
        <v>230</v>
      </c>
      <c r="T42" s="42">
        <v>250</v>
      </c>
      <c r="U42" s="42">
        <v>170</v>
      </c>
      <c r="V42" s="42">
        <v>25</v>
      </c>
      <c r="W42" s="42">
        <v>4</v>
      </c>
      <c r="X42" s="42">
        <v>265</v>
      </c>
      <c r="Y42" s="43">
        <v>130</v>
      </c>
      <c r="Z42" s="43">
        <v>150</v>
      </c>
      <c r="AA42" s="43">
        <v>30</v>
      </c>
      <c r="AB42" s="43">
        <v>95</v>
      </c>
      <c r="AC42" s="43">
        <v>250</v>
      </c>
      <c r="AD42" s="43">
        <v>260</v>
      </c>
      <c r="AE42" s="43">
        <v>280</v>
      </c>
      <c r="AF42" s="43">
        <v>200</v>
      </c>
      <c r="AG42" s="43">
        <v>30</v>
      </c>
      <c r="AH42" s="43">
        <v>6</v>
      </c>
      <c r="AI42" s="43">
        <v>300</v>
      </c>
      <c r="AJ42" s="41">
        <f t="shared" si="1"/>
        <v>1170</v>
      </c>
      <c r="AK42" s="41">
        <f t="shared" si="8"/>
        <v>0</v>
      </c>
      <c r="AL42" s="41">
        <f t="shared" si="8"/>
        <v>0</v>
      </c>
      <c r="AM42" s="41">
        <f t="shared" si="8"/>
        <v>0</v>
      </c>
      <c r="AN42" s="41">
        <f t="shared" si="8"/>
        <v>0</v>
      </c>
      <c r="AO42" s="41">
        <f t="shared" si="8"/>
        <v>0</v>
      </c>
      <c r="AP42" s="41">
        <f t="shared" si="7"/>
        <v>980</v>
      </c>
      <c r="AQ42" s="41">
        <f t="shared" si="7"/>
        <v>0</v>
      </c>
      <c r="AR42" s="41">
        <f t="shared" si="7"/>
        <v>90</v>
      </c>
      <c r="AS42" s="41">
        <f t="shared" si="7"/>
        <v>36</v>
      </c>
      <c r="AT42" s="41">
        <f t="shared" si="7"/>
        <v>0</v>
      </c>
      <c r="AU42" s="43">
        <f t="shared" si="6"/>
        <v>180</v>
      </c>
      <c r="AV42" s="43">
        <f t="shared" si="6"/>
        <v>0</v>
      </c>
      <c r="AW42" s="43">
        <f t="shared" si="5"/>
        <v>0</v>
      </c>
      <c r="AX42" s="43">
        <f t="shared" si="5"/>
        <v>0</v>
      </c>
      <c r="AY42" s="43">
        <f t="shared" si="5"/>
        <v>0</v>
      </c>
      <c r="AZ42" s="43">
        <f t="shared" si="5"/>
        <v>0</v>
      </c>
      <c r="BA42" s="43">
        <f t="shared" si="5"/>
        <v>105</v>
      </c>
      <c r="BB42" s="43">
        <f t="shared" si="5"/>
        <v>0</v>
      </c>
      <c r="BC42" s="43">
        <f t="shared" si="5"/>
        <v>15</v>
      </c>
      <c r="BD42" s="43">
        <f t="shared" si="5"/>
        <v>12</v>
      </c>
      <c r="BE42" s="43">
        <f t="shared" si="5"/>
        <v>0</v>
      </c>
      <c r="BF42" s="41">
        <f t="shared" si="4"/>
        <v>312</v>
      </c>
      <c r="BG42" s="41" t="str">
        <f t="array" ref="BG42">_xlfn.IFS(
OR(MONTH(A42)=11,MONTH(A42)=12,MONTH(A42)=1,MONTH(A42)=2),"Winter",
OR(MONTH(A42)=3,MONTH(A42)=4),"Spring",
OR(MONTH(A42)=5,MONTH(A42)=6),"Summer",
OR(MONTH(A42)=7,MONTH(A42)=8,MONTH(A42)=9),"Monsoon",
MONTH(A42)=10,"Autumn/Festive",
TRUE,""
)</f>
        <v>Spring</v>
      </c>
    </row>
    <row r="43" spans="1:59" x14ac:dyDescent="0.3">
      <c r="A43" s="39">
        <v>45368</v>
      </c>
      <c r="B43" s="40" t="str">
        <f t="shared" si="0"/>
        <v>March</v>
      </c>
      <c r="C43" s="41">
        <v>3</v>
      </c>
      <c r="D43" s="41">
        <v>0</v>
      </c>
      <c r="E43" s="41">
        <v>0</v>
      </c>
      <c r="F43" s="41">
        <v>0</v>
      </c>
      <c r="G43" s="41">
        <v>0</v>
      </c>
      <c r="H43" s="41">
        <v>5</v>
      </c>
      <c r="I43" s="41">
        <v>4</v>
      </c>
      <c r="J43" s="41">
        <v>0</v>
      </c>
      <c r="K43" s="41">
        <v>3</v>
      </c>
      <c r="L43" s="41">
        <v>0</v>
      </c>
      <c r="M43" s="41">
        <v>1</v>
      </c>
      <c r="N43" s="42">
        <v>110</v>
      </c>
      <c r="O43" s="42">
        <v>110</v>
      </c>
      <c r="P43" s="42">
        <v>26</v>
      </c>
      <c r="Q43" s="42">
        <v>65</v>
      </c>
      <c r="R43" s="42">
        <v>200</v>
      </c>
      <c r="S43" s="42">
        <v>230</v>
      </c>
      <c r="T43" s="42">
        <v>250</v>
      </c>
      <c r="U43" s="42">
        <v>170</v>
      </c>
      <c r="V43" s="42">
        <v>25</v>
      </c>
      <c r="W43" s="42">
        <v>4</v>
      </c>
      <c r="X43" s="42">
        <v>265</v>
      </c>
      <c r="Y43" s="43">
        <v>130</v>
      </c>
      <c r="Z43" s="43">
        <v>150</v>
      </c>
      <c r="AA43" s="43">
        <v>30</v>
      </c>
      <c r="AB43" s="43">
        <v>95</v>
      </c>
      <c r="AC43" s="43">
        <v>250</v>
      </c>
      <c r="AD43" s="43">
        <v>260</v>
      </c>
      <c r="AE43" s="43">
        <v>280</v>
      </c>
      <c r="AF43" s="43">
        <v>200</v>
      </c>
      <c r="AG43" s="43">
        <v>30</v>
      </c>
      <c r="AH43" s="43">
        <v>6</v>
      </c>
      <c r="AI43" s="43">
        <v>300</v>
      </c>
      <c r="AJ43" s="41">
        <f t="shared" si="1"/>
        <v>390</v>
      </c>
      <c r="AK43" s="41">
        <f t="shared" si="8"/>
        <v>0</v>
      </c>
      <c r="AL43" s="41">
        <f t="shared" si="8"/>
        <v>0</v>
      </c>
      <c r="AM43" s="41">
        <f t="shared" si="8"/>
        <v>0</v>
      </c>
      <c r="AN43" s="41">
        <f t="shared" si="8"/>
        <v>0</v>
      </c>
      <c r="AO43" s="41">
        <f t="shared" si="8"/>
        <v>1300</v>
      </c>
      <c r="AP43" s="41">
        <f t="shared" si="7"/>
        <v>1120</v>
      </c>
      <c r="AQ43" s="41">
        <f t="shared" si="7"/>
        <v>0</v>
      </c>
      <c r="AR43" s="41">
        <f t="shared" si="7"/>
        <v>90</v>
      </c>
      <c r="AS43" s="41">
        <f t="shared" si="7"/>
        <v>0</v>
      </c>
      <c r="AT43" s="41">
        <f t="shared" si="7"/>
        <v>300</v>
      </c>
      <c r="AU43" s="43">
        <f t="shared" si="6"/>
        <v>60</v>
      </c>
      <c r="AV43" s="43">
        <f t="shared" si="6"/>
        <v>0</v>
      </c>
      <c r="AW43" s="43">
        <f t="shared" si="5"/>
        <v>0</v>
      </c>
      <c r="AX43" s="43">
        <f t="shared" si="5"/>
        <v>0</v>
      </c>
      <c r="AY43" s="43">
        <f t="shared" si="5"/>
        <v>0</v>
      </c>
      <c r="AZ43" s="43">
        <f t="shared" si="5"/>
        <v>150</v>
      </c>
      <c r="BA43" s="43">
        <f t="shared" si="5"/>
        <v>120</v>
      </c>
      <c r="BB43" s="43">
        <f t="shared" si="5"/>
        <v>0</v>
      </c>
      <c r="BC43" s="43">
        <f t="shared" si="5"/>
        <v>15</v>
      </c>
      <c r="BD43" s="43">
        <f t="shared" si="5"/>
        <v>0</v>
      </c>
      <c r="BE43" s="43">
        <f t="shared" si="5"/>
        <v>35</v>
      </c>
      <c r="BF43" s="41">
        <f t="shared" si="4"/>
        <v>380</v>
      </c>
      <c r="BG43" s="41" t="str">
        <f t="array" ref="BG43">_xlfn.IFS(
OR(MONTH(A43)=11,MONTH(A43)=12,MONTH(A43)=1,MONTH(A43)=2),"Winter",
OR(MONTH(A43)=3,MONTH(A43)=4),"Spring",
OR(MONTH(A43)=5,MONTH(A43)=6),"Summer",
OR(MONTH(A43)=7,MONTH(A43)=8,MONTH(A43)=9),"Monsoon",
MONTH(A43)=10,"Autumn/Festive",
TRUE,""
)</f>
        <v>Spring</v>
      </c>
    </row>
    <row r="44" spans="1:59" x14ac:dyDescent="0.3">
      <c r="A44" s="39">
        <v>45369</v>
      </c>
      <c r="B44" s="40" t="str">
        <f t="shared" si="0"/>
        <v>March</v>
      </c>
      <c r="C44" s="41">
        <v>4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5.5</v>
      </c>
      <c r="J44" s="41">
        <v>0</v>
      </c>
      <c r="K44" s="41">
        <v>0</v>
      </c>
      <c r="L44" s="41">
        <v>12</v>
      </c>
      <c r="M44" s="41">
        <v>0</v>
      </c>
      <c r="N44" s="42">
        <v>110</v>
      </c>
      <c r="O44" s="42">
        <v>110</v>
      </c>
      <c r="P44" s="42">
        <v>26</v>
      </c>
      <c r="Q44" s="42">
        <v>65</v>
      </c>
      <c r="R44" s="42">
        <v>200</v>
      </c>
      <c r="S44" s="42">
        <v>230</v>
      </c>
      <c r="T44" s="42">
        <v>250</v>
      </c>
      <c r="U44" s="42">
        <v>170</v>
      </c>
      <c r="V44" s="42">
        <v>25</v>
      </c>
      <c r="W44" s="42">
        <v>4</v>
      </c>
      <c r="X44" s="42">
        <v>265</v>
      </c>
      <c r="Y44" s="43">
        <v>130</v>
      </c>
      <c r="Z44" s="43">
        <v>150</v>
      </c>
      <c r="AA44" s="43">
        <v>30</v>
      </c>
      <c r="AB44" s="43">
        <v>95</v>
      </c>
      <c r="AC44" s="43">
        <v>250</v>
      </c>
      <c r="AD44" s="43">
        <v>260</v>
      </c>
      <c r="AE44" s="43">
        <v>280</v>
      </c>
      <c r="AF44" s="43">
        <v>200</v>
      </c>
      <c r="AG44" s="43">
        <v>30</v>
      </c>
      <c r="AH44" s="43">
        <v>6</v>
      </c>
      <c r="AI44" s="43">
        <v>300</v>
      </c>
      <c r="AJ44" s="41">
        <f t="shared" si="1"/>
        <v>520</v>
      </c>
      <c r="AK44" s="41">
        <f t="shared" si="8"/>
        <v>0</v>
      </c>
      <c r="AL44" s="41">
        <f t="shared" si="8"/>
        <v>0</v>
      </c>
      <c r="AM44" s="41">
        <f t="shared" si="8"/>
        <v>0</v>
      </c>
      <c r="AN44" s="41">
        <f t="shared" si="8"/>
        <v>0</v>
      </c>
      <c r="AO44" s="41">
        <f t="shared" si="8"/>
        <v>0</v>
      </c>
      <c r="AP44" s="41">
        <f t="shared" si="7"/>
        <v>1540</v>
      </c>
      <c r="AQ44" s="41">
        <f t="shared" si="7"/>
        <v>0</v>
      </c>
      <c r="AR44" s="41">
        <f t="shared" si="7"/>
        <v>0</v>
      </c>
      <c r="AS44" s="41">
        <f t="shared" si="7"/>
        <v>72</v>
      </c>
      <c r="AT44" s="41">
        <f t="shared" si="7"/>
        <v>0</v>
      </c>
      <c r="AU44" s="43">
        <f t="shared" si="6"/>
        <v>80</v>
      </c>
      <c r="AV44" s="43">
        <f t="shared" si="6"/>
        <v>0</v>
      </c>
      <c r="AW44" s="43">
        <f t="shared" si="5"/>
        <v>0</v>
      </c>
      <c r="AX44" s="43">
        <f t="shared" si="5"/>
        <v>0</v>
      </c>
      <c r="AY44" s="43">
        <f t="shared" si="5"/>
        <v>0</v>
      </c>
      <c r="AZ44" s="43">
        <f t="shared" si="5"/>
        <v>0</v>
      </c>
      <c r="BA44" s="43">
        <f t="shared" si="5"/>
        <v>165</v>
      </c>
      <c r="BB44" s="43">
        <f t="shared" si="5"/>
        <v>0</v>
      </c>
      <c r="BC44" s="43">
        <f t="shared" si="5"/>
        <v>0</v>
      </c>
      <c r="BD44" s="43">
        <f t="shared" si="5"/>
        <v>24</v>
      </c>
      <c r="BE44" s="43">
        <f t="shared" si="5"/>
        <v>0</v>
      </c>
      <c r="BF44" s="41">
        <f t="shared" si="4"/>
        <v>269</v>
      </c>
      <c r="BG44" s="41" t="str">
        <f t="array" ref="BG44">_xlfn.IFS(
OR(MONTH(A44)=11,MONTH(A44)=12,MONTH(A44)=1,MONTH(A44)=2),"Winter",
OR(MONTH(A44)=3,MONTH(A44)=4),"Spring",
OR(MONTH(A44)=5,MONTH(A44)=6),"Summer",
OR(MONTH(A44)=7,MONTH(A44)=8,MONTH(A44)=9),"Monsoon",
MONTH(A44)=10,"Autumn/Festive",
TRUE,""
)</f>
        <v>Spring</v>
      </c>
    </row>
    <row r="45" spans="1:59" x14ac:dyDescent="0.3">
      <c r="A45" s="39">
        <v>45370</v>
      </c>
      <c r="B45" s="40" t="str">
        <f t="shared" si="0"/>
        <v>March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6.5</v>
      </c>
      <c r="J45" s="41">
        <v>0</v>
      </c>
      <c r="K45" s="41">
        <v>2</v>
      </c>
      <c r="L45" s="41">
        <v>6</v>
      </c>
      <c r="M45" s="41">
        <v>0</v>
      </c>
      <c r="N45" s="42">
        <v>110</v>
      </c>
      <c r="O45" s="42">
        <v>110</v>
      </c>
      <c r="P45" s="42">
        <v>26</v>
      </c>
      <c r="Q45" s="42">
        <v>65</v>
      </c>
      <c r="R45" s="42">
        <v>200</v>
      </c>
      <c r="S45" s="42">
        <v>230</v>
      </c>
      <c r="T45" s="42">
        <v>250</v>
      </c>
      <c r="U45" s="42">
        <v>170</v>
      </c>
      <c r="V45" s="42">
        <v>25</v>
      </c>
      <c r="W45" s="42">
        <v>4</v>
      </c>
      <c r="X45" s="42">
        <v>265</v>
      </c>
      <c r="Y45" s="43">
        <v>130</v>
      </c>
      <c r="Z45" s="43">
        <v>150</v>
      </c>
      <c r="AA45" s="43">
        <v>30</v>
      </c>
      <c r="AB45" s="43">
        <v>95</v>
      </c>
      <c r="AC45" s="43">
        <v>250</v>
      </c>
      <c r="AD45" s="43">
        <v>260</v>
      </c>
      <c r="AE45" s="43">
        <v>280</v>
      </c>
      <c r="AF45" s="43">
        <v>200</v>
      </c>
      <c r="AG45" s="43">
        <v>30</v>
      </c>
      <c r="AH45" s="43">
        <v>6</v>
      </c>
      <c r="AI45" s="43">
        <v>300</v>
      </c>
      <c r="AJ45" s="41">
        <f t="shared" si="1"/>
        <v>0</v>
      </c>
      <c r="AK45" s="41">
        <f t="shared" si="8"/>
        <v>0</v>
      </c>
      <c r="AL45" s="41">
        <f t="shared" si="8"/>
        <v>0</v>
      </c>
      <c r="AM45" s="41">
        <f t="shared" si="8"/>
        <v>0</v>
      </c>
      <c r="AN45" s="41">
        <f t="shared" si="8"/>
        <v>0</v>
      </c>
      <c r="AO45" s="41">
        <f t="shared" si="8"/>
        <v>0</v>
      </c>
      <c r="AP45" s="41">
        <f t="shared" si="7"/>
        <v>1820</v>
      </c>
      <c r="AQ45" s="41">
        <f t="shared" si="7"/>
        <v>0</v>
      </c>
      <c r="AR45" s="41">
        <f t="shared" si="7"/>
        <v>60</v>
      </c>
      <c r="AS45" s="41">
        <f t="shared" si="7"/>
        <v>36</v>
      </c>
      <c r="AT45" s="41">
        <f t="shared" si="7"/>
        <v>0</v>
      </c>
      <c r="AU45" s="43">
        <f t="shared" si="6"/>
        <v>0</v>
      </c>
      <c r="AV45" s="43">
        <f t="shared" si="6"/>
        <v>0</v>
      </c>
      <c r="AW45" s="43">
        <f t="shared" si="5"/>
        <v>0</v>
      </c>
      <c r="AX45" s="43">
        <f t="shared" si="5"/>
        <v>0</v>
      </c>
      <c r="AY45" s="43">
        <f t="shared" si="5"/>
        <v>0</v>
      </c>
      <c r="AZ45" s="43">
        <f t="shared" si="5"/>
        <v>0</v>
      </c>
      <c r="BA45" s="43">
        <f t="shared" si="5"/>
        <v>195</v>
      </c>
      <c r="BB45" s="43">
        <f t="shared" si="5"/>
        <v>0</v>
      </c>
      <c r="BC45" s="43">
        <f t="shared" si="5"/>
        <v>10</v>
      </c>
      <c r="BD45" s="43">
        <f t="shared" si="5"/>
        <v>12</v>
      </c>
      <c r="BE45" s="43">
        <f t="shared" si="5"/>
        <v>0</v>
      </c>
      <c r="BF45" s="41">
        <f t="shared" si="4"/>
        <v>217</v>
      </c>
      <c r="BG45" s="41" t="str">
        <f t="array" ref="BG45">_xlfn.IFS(
OR(MONTH(A45)=11,MONTH(A45)=12,MONTH(A45)=1,MONTH(A45)=2),"Winter",
OR(MONTH(A45)=3,MONTH(A45)=4),"Spring",
OR(MONTH(A45)=5,MONTH(A45)=6),"Summer",
OR(MONTH(A45)=7,MONTH(A45)=8,MONTH(A45)=9),"Monsoon",
MONTH(A45)=10,"Autumn/Festive",
TRUE,""
)</f>
        <v>Spring</v>
      </c>
    </row>
    <row r="46" spans="1:59" x14ac:dyDescent="0.3">
      <c r="A46" s="39">
        <v>45371</v>
      </c>
      <c r="B46" s="40" t="str">
        <f t="shared" si="0"/>
        <v>March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2">
        <v>110</v>
      </c>
      <c r="O46" s="42">
        <v>110</v>
      </c>
      <c r="P46" s="42">
        <v>26</v>
      </c>
      <c r="Q46" s="42">
        <v>65</v>
      </c>
      <c r="R46" s="42">
        <v>200</v>
      </c>
      <c r="S46" s="42">
        <v>230</v>
      </c>
      <c r="T46" s="42">
        <v>250</v>
      </c>
      <c r="U46" s="42">
        <v>170</v>
      </c>
      <c r="V46" s="42">
        <v>25</v>
      </c>
      <c r="W46" s="42">
        <v>4</v>
      </c>
      <c r="X46" s="42">
        <v>265</v>
      </c>
      <c r="Y46" s="43">
        <v>130</v>
      </c>
      <c r="Z46" s="43">
        <v>150</v>
      </c>
      <c r="AA46" s="43">
        <v>30</v>
      </c>
      <c r="AB46" s="43">
        <v>95</v>
      </c>
      <c r="AC46" s="43">
        <v>250</v>
      </c>
      <c r="AD46" s="43">
        <v>260</v>
      </c>
      <c r="AE46" s="43">
        <v>280</v>
      </c>
      <c r="AF46" s="43">
        <v>200</v>
      </c>
      <c r="AG46" s="43">
        <v>30</v>
      </c>
      <c r="AH46" s="43">
        <v>6</v>
      </c>
      <c r="AI46" s="43">
        <v>300</v>
      </c>
      <c r="AJ46" s="41">
        <f t="shared" si="1"/>
        <v>0</v>
      </c>
      <c r="AK46" s="41">
        <f t="shared" si="8"/>
        <v>0</v>
      </c>
      <c r="AL46" s="41">
        <f t="shared" si="8"/>
        <v>0</v>
      </c>
      <c r="AM46" s="41">
        <f t="shared" si="8"/>
        <v>0</v>
      </c>
      <c r="AN46" s="41">
        <f t="shared" si="8"/>
        <v>0</v>
      </c>
      <c r="AO46" s="41">
        <f t="shared" si="8"/>
        <v>0</v>
      </c>
      <c r="AP46" s="41">
        <f t="shared" si="7"/>
        <v>0</v>
      </c>
      <c r="AQ46" s="41">
        <f t="shared" si="7"/>
        <v>0</v>
      </c>
      <c r="AR46" s="41">
        <f t="shared" si="7"/>
        <v>0</v>
      </c>
      <c r="AS46" s="41">
        <f t="shared" si="7"/>
        <v>0</v>
      </c>
      <c r="AT46" s="41">
        <f t="shared" si="7"/>
        <v>0</v>
      </c>
      <c r="AU46" s="43">
        <f t="shared" si="6"/>
        <v>0</v>
      </c>
      <c r="AV46" s="43">
        <f t="shared" si="6"/>
        <v>0</v>
      </c>
      <c r="AW46" s="43">
        <f t="shared" si="5"/>
        <v>0</v>
      </c>
      <c r="AX46" s="43">
        <f t="shared" si="5"/>
        <v>0</v>
      </c>
      <c r="AY46" s="43">
        <f t="shared" si="5"/>
        <v>0</v>
      </c>
      <c r="AZ46" s="43">
        <f t="shared" si="5"/>
        <v>0</v>
      </c>
      <c r="BA46" s="43">
        <f t="shared" si="5"/>
        <v>0</v>
      </c>
      <c r="BB46" s="43">
        <f t="shared" si="5"/>
        <v>0</v>
      </c>
      <c r="BC46" s="43">
        <f t="shared" si="5"/>
        <v>0</v>
      </c>
      <c r="BD46" s="43">
        <f t="shared" si="5"/>
        <v>0</v>
      </c>
      <c r="BE46" s="43">
        <f t="shared" si="5"/>
        <v>0</v>
      </c>
      <c r="BF46" s="41">
        <f t="shared" si="4"/>
        <v>0</v>
      </c>
      <c r="BG46" s="41" t="str">
        <f t="array" ref="BG46">_xlfn.IFS(
OR(MONTH(A46)=11,MONTH(A46)=12,MONTH(A46)=1,MONTH(A46)=2),"Winter",
OR(MONTH(A46)=3,MONTH(A46)=4),"Spring",
OR(MONTH(A46)=5,MONTH(A46)=6),"Summer",
OR(MONTH(A46)=7,MONTH(A46)=8,MONTH(A46)=9),"Monsoon",
MONTH(A46)=10,"Autumn/Festive",
TRUE,""
)</f>
        <v>Spring</v>
      </c>
    </row>
    <row r="47" spans="1:59" x14ac:dyDescent="0.3">
      <c r="A47" s="39">
        <v>45372</v>
      </c>
      <c r="B47" s="40" t="str">
        <f t="shared" si="0"/>
        <v>March</v>
      </c>
      <c r="C47" s="41">
        <v>20</v>
      </c>
      <c r="D47" s="41">
        <v>3</v>
      </c>
      <c r="E47" s="41">
        <v>0</v>
      </c>
      <c r="F47" s="41">
        <v>0</v>
      </c>
      <c r="G47" s="41">
        <v>0</v>
      </c>
      <c r="H47" s="41">
        <v>3</v>
      </c>
      <c r="I47" s="41">
        <v>8.5</v>
      </c>
      <c r="J47" s="41">
        <v>0</v>
      </c>
      <c r="K47" s="41">
        <v>0</v>
      </c>
      <c r="L47" s="41">
        <v>0</v>
      </c>
      <c r="M47" s="41">
        <v>2</v>
      </c>
      <c r="N47" s="42">
        <v>110</v>
      </c>
      <c r="O47" s="42">
        <v>110</v>
      </c>
      <c r="P47" s="42">
        <v>26</v>
      </c>
      <c r="Q47" s="42">
        <v>65</v>
      </c>
      <c r="R47" s="42">
        <v>200</v>
      </c>
      <c r="S47" s="42">
        <v>230</v>
      </c>
      <c r="T47" s="42">
        <v>250</v>
      </c>
      <c r="U47" s="42">
        <v>170</v>
      </c>
      <c r="V47" s="42">
        <v>25</v>
      </c>
      <c r="W47" s="42">
        <v>4</v>
      </c>
      <c r="X47" s="42">
        <v>265</v>
      </c>
      <c r="Y47" s="43">
        <v>130</v>
      </c>
      <c r="Z47" s="43">
        <v>150</v>
      </c>
      <c r="AA47" s="43">
        <v>30</v>
      </c>
      <c r="AB47" s="43">
        <v>95</v>
      </c>
      <c r="AC47" s="43">
        <v>250</v>
      </c>
      <c r="AD47" s="43">
        <v>260</v>
      </c>
      <c r="AE47" s="43">
        <v>280</v>
      </c>
      <c r="AF47" s="43">
        <v>200</v>
      </c>
      <c r="AG47" s="43">
        <v>30</v>
      </c>
      <c r="AH47" s="43">
        <v>6</v>
      </c>
      <c r="AI47" s="43">
        <v>300</v>
      </c>
      <c r="AJ47" s="41">
        <f t="shared" si="1"/>
        <v>2600</v>
      </c>
      <c r="AK47" s="41">
        <f t="shared" si="8"/>
        <v>450</v>
      </c>
      <c r="AL47" s="41">
        <f t="shared" si="8"/>
        <v>0</v>
      </c>
      <c r="AM47" s="41">
        <f t="shared" si="8"/>
        <v>0</v>
      </c>
      <c r="AN47" s="41">
        <f t="shared" si="8"/>
        <v>0</v>
      </c>
      <c r="AO47" s="41">
        <f t="shared" si="8"/>
        <v>780</v>
      </c>
      <c r="AP47" s="41">
        <f t="shared" si="7"/>
        <v>2380</v>
      </c>
      <c r="AQ47" s="41">
        <f t="shared" si="7"/>
        <v>0</v>
      </c>
      <c r="AR47" s="41">
        <f t="shared" si="7"/>
        <v>0</v>
      </c>
      <c r="AS47" s="41">
        <f t="shared" si="7"/>
        <v>0</v>
      </c>
      <c r="AT47" s="41">
        <f t="shared" si="7"/>
        <v>600</v>
      </c>
      <c r="AU47" s="43">
        <f t="shared" si="6"/>
        <v>400</v>
      </c>
      <c r="AV47" s="43">
        <f t="shared" si="6"/>
        <v>120</v>
      </c>
      <c r="AW47" s="43">
        <f t="shared" si="5"/>
        <v>0</v>
      </c>
      <c r="AX47" s="43">
        <f t="shared" si="5"/>
        <v>0</v>
      </c>
      <c r="AY47" s="43">
        <f t="shared" si="5"/>
        <v>0</v>
      </c>
      <c r="AZ47" s="43">
        <f t="shared" si="5"/>
        <v>90</v>
      </c>
      <c r="BA47" s="43">
        <f t="shared" si="5"/>
        <v>255</v>
      </c>
      <c r="BB47" s="43">
        <f t="shared" si="5"/>
        <v>0</v>
      </c>
      <c r="BC47" s="43">
        <f t="shared" si="5"/>
        <v>0</v>
      </c>
      <c r="BD47" s="43">
        <f t="shared" si="5"/>
        <v>0</v>
      </c>
      <c r="BE47" s="43">
        <f t="shared" si="5"/>
        <v>70</v>
      </c>
      <c r="BF47" s="41">
        <f t="shared" si="4"/>
        <v>935</v>
      </c>
      <c r="BG47" s="41" t="str">
        <f t="array" ref="BG47">_xlfn.IFS(
OR(MONTH(A47)=11,MONTH(A47)=12,MONTH(A47)=1,MONTH(A47)=2),"Winter",
OR(MONTH(A47)=3,MONTH(A47)=4),"Spring",
OR(MONTH(A47)=5,MONTH(A47)=6),"Summer",
OR(MONTH(A47)=7,MONTH(A47)=8,MONTH(A47)=9),"Monsoon",
MONTH(A47)=10,"Autumn/Festive",
TRUE,""
)</f>
        <v>Spring</v>
      </c>
    </row>
    <row r="48" spans="1:59" x14ac:dyDescent="0.3">
      <c r="A48" s="39">
        <v>45373</v>
      </c>
      <c r="B48" s="40" t="str">
        <f t="shared" si="0"/>
        <v>March</v>
      </c>
      <c r="C48" s="41">
        <v>7</v>
      </c>
      <c r="D48" s="41">
        <v>4</v>
      </c>
      <c r="E48" s="41">
        <v>0</v>
      </c>
      <c r="F48" s="41">
        <v>2</v>
      </c>
      <c r="G48" s="41">
        <v>0</v>
      </c>
      <c r="H48" s="41">
        <v>3</v>
      </c>
      <c r="I48" s="41">
        <v>3.5</v>
      </c>
      <c r="J48" s="41">
        <v>0</v>
      </c>
      <c r="K48" s="41">
        <v>2</v>
      </c>
      <c r="L48" s="41">
        <v>12</v>
      </c>
      <c r="M48" s="41">
        <v>1</v>
      </c>
      <c r="N48" s="42">
        <v>110</v>
      </c>
      <c r="O48" s="42">
        <v>110</v>
      </c>
      <c r="P48" s="42">
        <v>26</v>
      </c>
      <c r="Q48" s="42">
        <v>65</v>
      </c>
      <c r="R48" s="42">
        <v>200</v>
      </c>
      <c r="S48" s="42">
        <v>230</v>
      </c>
      <c r="T48" s="42">
        <v>250</v>
      </c>
      <c r="U48" s="42">
        <v>170</v>
      </c>
      <c r="V48" s="42">
        <v>25</v>
      </c>
      <c r="W48" s="42">
        <v>4</v>
      </c>
      <c r="X48" s="42">
        <v>265</v>
      </c>
      <c r="Y48" s="43">
        <v>130</v>
      </c>
      <c r="Z48" s="43">
        <v>150</v>
      </c>
      <c r="AA48" s="43">
        <v>30</v>
      </c>
      <c r="AB48" s="43">
        <v>95</v>
      </c>
      <c r="AC48" s="43">
        <v>250</v>
      </c>
      <c r="AD48" s="43">
        <v>260</v>
      </c>
      <c r="AE48" s="43">
        <v>280</v>
      </c>
      <c r="AF48" s="43">
        <v>200</v>
      </c>
      <c r="AG48" s="43">
        <v>30</v>
      </c>
      <c r="AH48" s="43">
        <v>6</v>
      </c>
      <c r="AI48" s="43">
        <v>300</v>
      </c>
      <c r="AJ48" s="41">
        <f t="shared" si="1"/>
        <v>910</v>
      </c>
      <c r="AK48" s="41">
        <f t="shared" si="8"/>
        <v>600</v>
      </c>
      <c r="AL48" s="41">
        <f t="shared" si="8"/>
        <v>0</v>
      </c>
      <c r="AM48" s="41">
        <f t="shared" si="8"/>
        <v>190</v>
      </c>
      <c r="AN48" s="41">
        <f t="shared" si="8"/>
        <v>0</v>
      </c>
      <c r="AO48" s="41">
        <f t="shared" si="8"/>
        <v>780</v>
      </c>
      <c r="AP48" s="41">
        <f t="shared" si="7"/>
        <v>980</v>
      </c>
      <c r="AQ48" s="41">
        <f t="shared" si="7"/>
        <v>0</v>
      </c>
      <c r="AR48" s="41">
        <f t="shared" si="7"/>
        <v>60</v>
      </c>
      <c r="AS48" s="41">
        <f t="shared" si="7"/>
        <v>72</v>
      </c>
      <c r="AT48" s="41">
        <f t="shared" si="7"/>
        <v>300</v>
      </c>
      <c r="AU48" s="43">
        <f t="shared" si="6"/>
        <v>140</v>
      </c>
      <c r="AV48" s="43">
        <f t="shared" si="6"/>
        <v>160</v>
      </c>
      <c r="AW48" s="43">
        <f t="shared" si="5"/>
        <v>0</v>
      </c>
      <c r="AX48" s="43">
        <f t="shared" si="5"/>
        <v>60</v>
      </c>
      <c r="AY48" s="43">
        <f t="shared" si="5"/>
        <v>0</v>
      </c>
      <c r="AZ48" s="43">
        <f t="shared" si="5"/>
        <v>90</v>
      </c>
      <c r="BA48" s="43">
        <f t="shared" si="5"/>
        <v>105</v>
      </c>
      <c r="BB48" s="43">
        <f t="shared" si="5"/>
        <v>0</v>
      </c>
      <c r="BC48" s="43">
        <f t="shared" si="5"/>
        <v>10</v>
      </c>
      <c r="BD48" s="43">
        <f t="shared" si="5"/>
        <v>24</v>
      </c>
      <c r="BE48" s="43">
        <f t="shared" si="5"/>
        <v>35</v>
      </c>
      <c r="BF48" s="41">
        <f t="shared" si="4"/>
        <v>624</v>
      </c>
      <c r="BG48" s="41" t="str">
        <f t="array" ref="BG48">_xlfn.IFS(
OR(MONTH(A48)=11,MONTH(A48)=12,MONTH(A48)=1,MONTH(A48)=2),"Winter",
OR(MONTH(A48)=3,MONTH(A48)=4),"Spring",
OR(MONTH(A48)=5,MONTH(A48)=6),"Summer",
OR(MONTH(A48)=7,MONTH(A48)=8,MONTH(A48)=9),"Monsoon",
MONTH(A48)=10,"Autumn/Festive",
TRUE,""
)</f>
        <v>Spring</v>
      </c>
    </row>
    <row r="49" spans="1:59" x14ac:dyDescent="0.3">
      <c r="A49" s="39">
        <v>45374</v>
      </c>
      <c r="B49" s="40" t="str">
        <f t="shared" si="0"/>
        <v>March</v>
      </c>
      <c r="C49" s="41">
        <v>24</v>
      </c>
      <c r="D49" s="41">
        <v>0</v>
      </c>
      <c r="E49" s="41">
        <v>0</v>
      </c>
      <c r="F49" s="41">
        <v>0</v>
      </c>
      <c r="G49" s="41">
        <v>0</v>
      </c>
      <c r="H49" s="41">
        <v>4.5</v>
      </c>
      <c r="I49" s="41">
        <v>7</v>
      </c>
      <c r="J49" s="41">
        <v>0</v>
      </c>
      <c r="K49" s="41">
        <v>2</v>
      </c>
      <c r="L49" s="41">
        <v>12</v>
      </c>
      <c r="M49" s="41">
        <v>2</v>
      </c>
      <c r="N49" s="42">
        <v>110</v>
      </c>
      <c r="O49" s="42">
        <v>110</v>
      </c>
      <c r="P49" s="42">
        <v>26</v>
      </c>
      <c r="Q49" s="42">
        <v>65</v>
      </c>
      <c r="R49" s="42">
        <v>200</v>
      </c>
      <c r="S49" s="42">
        <v>230</v>
      </c>
      <c r="T49" s="42">
        <v>250</v>
      </c>
      <c r="U49" s="42">
        <v>170</v>
      </c>
      <c r="V49" s="42">
        <v>25</v>
      </c>
      <c r="W49" s="42">
        <v>4</v>
      </c>
      <c r="X49" s="42">
        <v>265</v>
      </c>
      <c r="Y49" s="43">
        <v>130</v>
      </c>
      <c r="Z49" s="43">
        <v>150</v>
      </c>
      <c r="AA49" s="43">
        <v>30</v>
      </c>
      <c r="AB49" s="43">
        <v>95</v>
      </c>
      <c r="AC49" s="43">
        <v>250</v>
      </c>
      <c r="AD49" s="43">
        <v>260</v>
      </c>
      <c r="AE49" s="43">
        <v>280</v>
      </c>
      <c r="AF49" s="43">
        <v>200</v>
      </c>
      <c r="AG49" s="43">
        <v>30</v>
      </c>
      <c r="AH49" s="43">
        <v>6</v>
      </c>
      <c r="AI49" s="43">
        <v>300</v>
      </c>
      <c r="AJ49" s="41">
        <f t="shared" si="1"/>
        <v>3120</v>
      </c>
      <c r="AK49" s="41">
        <f t="shared" si="8"/>
        <v>0</v>
      </c>
      <c r="AL49" s="41">
        <f t="shared" si="8"/>
        <v>0</v>
      </c>
      <c r="AM49" s="41">
        <f t="shared" si="8"/>
        <v>0</v>
      </c>
      <c r="AN49" s="41">
        <f t="shared" si="8"/>
        <v>0</v>
      </c>
      <c r="AO49" s="41">
        <f t="shared" si="8"/>
        <v>1170</v>
      </c>
      <c r="AP49" s="41">
        <f t="shared" si="7"/>
        <v>1960</v>
      </c>
      <c r="AQ49" s="41">
        <f t="shared" si="7"/>
        <v>0</v>
      </c>
      <c r="AR49" s="41">
        <f t="shared" si="7"/>
        <v>60</v>
      </c>
      <c r="AS49" s="41">
        <f t="shared" si="7"/>
        <v>72</v>
      </c>
      <c r="AT49" s="41">
        <f t="shared" si="7"/>
        <v>600</v>
      </c>
      <c r="AU49" s="43">
        <f t="shared" si="6"/>
        <v>480</v>
      </c>
      <c r="AV49" s="43">
        <f t="shared" si="6"/>
        <v>0</v>
      </c>
      <c r="AW49" s="43">
        <f t="shared" si="5"/>
        <v>0</v>
      </c>
      <c r="AX49" s="43">
        <f t="shared" si="5"/>
        <v>0</v>
      </c>
      <c r="AY49" s="43">
        <f t="shared" si="5"/>
        <v>0</v>
      </c>
      <c r="AZ49" s="43">
        <f t="shared" si="5"/>
        <v>135</v>
      </c>
      <c r="BA49" s="43">
        <f t="shared" si="5"/>
        <v>210</v>
      </c>
      <c r="BB49" s="43">
        <f t="shared" si="5"/>
        <v>0</v>
      </c>
      <c r="BC49" s="43">
        <f t="shared" si="5"/>
        <v>10</v>
      </c>
      <c r="BD49" s="43">
        <f t="shared" si="5"/>
        <v>24</v>
      </c>
      <c r="BE49" s="43">
        <f t="shared" si="5"/>
        <v>70</v>
      </c>
      <c r="BF49" s="41">
        <f t="shared" si="4"/>
        <v>929</v>
      </c>
      <c r="BG49" s="41" t="str">
        <f t="array" ref="BG49">_xlfn.IFS(
OR(MONTH(A49)=11,MONTH(A49)=12,MONTH(A49)=1,MONTH(A49)=2),"Winter",
OR(MONTH(A49)=3,MONTH(A49)=4),"Spring",
OR(MONTH(A49)=5,MONTH(A49)=6),"Summer",
OR(MONTH(A49)=7,MONTH(A49)=8,MONTH(A49)=9),"Monsoon",
MONTH(A49)=10,"Autumn/Festive",
TRUE,""
)</f>
        <v>Spring</v>
      </c>
    </row>
    <row r="50" spans="1:59" x14ac:dyDescent="0.3">
      <c r="A50" s="39">
        <v>45375</v>
      </c>
      <c r="B50" s="40" t="str">
        <f t="shared" si="0"/>
        <v>March</v>
      </c>
      <c r="C50" s="41">
        <v>11</v>
      </c>
      <c r="D50" s="41">
        <v>0</v>
      </c>
      <c r="E50" s="41">
        <v>0</v>
      </c>
      <c r="F50" s="41">
        <v>0</v>
      </c>
      <c r="G50" s="41">
        <v>0</v>
      </c>
      <c r="H50" s="41">
        <v>1</v>
      </c>
      <c r="I50" s="41">
        <v>7</v>
      </c>
      <c r="J50" s="41">
        <v>0</v>
      </c>
      <c r="K50" s="41">
        <v>0</v>
      </c>
      <c r="L50" s="41">
        <v>0</v>
      </c>
      <c r="M50" s="41">
        <v>2</v>
      </c>
      <c r="N50" s="42">
        <v>110</v>
      </c>
      <c r="O50" s="42">
        <v>110</v>
      </c>
      <c r="P50" s="42">
        <v>26</v>
      </c>
      <c r="Q50" s="42">
        <v>65</v>
      </c>
      <c r="R50" s="42">
        <v>200</v>
      </c>
      <c r="S50" s="42">
        <v>230</v>
      </c>
      <c r="T50" s="42">
        <v>250</v>
      </c>
      <c r="U50" s="42">
        <v>170</v>
      </c>
      <c r="V50" s="42">
        <v>25</v>
      </c>
      <c r="W50" s="42">
        <v>4</v>
      </c>
      <c r="X50" s="42">
        <v>265</v>
      </c>
      <c r="Y50" s="43">
        <v>130</v>
      </c>
      <c r="Z50" s="43">
        <v>150</v>
      </c>
      <c r="AA50" s="43">
        <v>30</v>
      </c>
      <c r="AB50" s="43">
        <v>95</v>
      </c>
      <c r="AC50" s="43">
        <v>250</v>
      </c>
      <c r="AD50" s="43">
        <v>260</v>
      </c>
      <c r="AE50" s="43">
        <v>280</v>
      </c>
      <c r="AF50" s="43">
        <v>200</v>
      </c>
      <c r="AG50" s="43">
        <v>30</v>
      </c>
      <c r="AH50" s="43">
        <v>6</v>
      </c>
      <c r="AI50" s="43">
        <v>300</v>
      </c>
      <c r="AJ50" s="41">
        <f t="shared" si="1"/>
        <v>1430</v>
      </c>
      <c r="AK50" s="41">
        <f t="shared" si="8"/>
        <v>0</v>
      </c>
      <c r="AL50" s="41">
        <f t="shared" si="8"/>
        <v>0</v>
      </c>
      <c r="AM50" s="41">
        <f t="shared" si="8"/>
        <v>0</v>
      </c>
      <c r="AN50" s="41">
        <f t="shared" si="8"/>
        <v>0</v>
      </c>
      <c r="AO50" s="41">
        <f t="shared" si="8"/>
        <v>260</v>
      </c>
      <c r="AP50" s="41">
        <f t="shared" si="7"/>
        <v>1960</v>
      </c>
      <c r="AQ50" s="41">
        <f t="shared" si="7"/>
        <v>0</v>
      </c>
      <c r="AR50" s="41">
        <f t="shared" si="7"/>
        <v>0</v>
      </c>
      <c r="AS50" s="41">
        <f t="shared" si="7"/>
        <v>0</v>
      </c>
      <c r="AT50" s="41">
        <f t="shared" si="7"/>
        <v>600</v>
      </c>
      <c r="AU50" s="43">
        <f t="shared" si="6"/>
        <v>220</v>
      </c>
      <c r="AV50" s="43">
        <f t="shared" si="6"/>
        <v>0</v>
      </c>
      <c r="AW50" s="43">
        <f t="shared" si="5"/>
        <v>0</v>
      </c>
      <c r="AX50" s="43">
        <f t="shared" si="5"/>
        <v>0</v>
      </c>
      <c r="AY50" s="43">
        <f t="shared" si="5"/>
        <v>0</v>
      </c>
      <c r="AZ50" s="43">
        <f t="shared" si="5"/>
        <v>30</v>
      </c>
      <c r="BA50" s="43">
        <f t="shared" si="5"/>
        <v>210</v>
      </c>
      <c r="BB50" s="43">
        <f t="shared" si="5"/>
        <v>0</v>
      </c>
      <c r="BC50" s="43">
        <f t="shared" si="5"/>
        <v>0</v>
      </c>
      <c r="BD50" s="43">
        <f t="shared" si="5"/>
        <v>0</v>
      </c>
      <c r="BE50" s="43">
        <f t="shared" si="5"/>
        <v>70</v>
      </c>
      <c r="BF50" s="41">
        <f t="shared" si="4"/>
        <v>530</v>
      </c>
      <c r="BG50" s="41" t="str">
        <f t="array" ref="BG50">_xlfn.IFS(
OR(MONTH(A50)=11,MONTH(A50)=12,MONTH(A50)=1,MONTH(A50)=2),"Winter",
OR(MONTH(A50)=3,MONTH(A50)=4),"Spring",
OR(MONTH(A50)=5,MONTH(A50)=6),"Summer",
OR(MONTH(A50)=7,MONTH(A50)=8,MONTH(A50)=9),"Monsoon",
MONTH(A50)=10,"Autumn/Festive",
TRUE,""
)</f>
        <v>Spring</v>
      </c>
    </row>
    <row r="51" spans="1:59" x14ac:dyDescent="0.3">
      <c r="A51" s="39">
        <v>45376</v>
      </c>
      <c r="B51" s="40" t="str">
        <f t="shared" si="0"/>
        <v>March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2">
        <v>110</v>
      </c>
      <c r="O51" s="42">
        <v>110</v>
      </c>
      <c r="P51" s="42">
        <v>26</v>
      </c>
      <c r="Q51" s="42">
        <v>65</v>
      </c>
      <c r="R51" s="42">
        <v>200</v>
      </c>
      <c r="S51" s="42">
        <v>230</v>
      </c>
      <c r="T51" s="42">
        <v>250</v>
      </c>
      <c r="U51" s="42">
        <v>170</v>
      </c>
      <c r="V51" s="42">
        <v>25</v>
      </c>
      <c r="W51" s="42">
        <v>4</v>
      </c>
      <c r="X51" s="42">
        <v>265</v>
      </c>
      <c r="Y51" s="43">
        <v>130</v>
      </c>
      <c r="Z51" s="43">
        <v>150</v>
      </c>
      <c r="AA51" s="43">
        <v>30</v>
      </c>
      <c r="AB51" s="43">
        <v>95</v>
      </c>
      <c r="AC51" s="43">
        <v>250</v>
      </c>
      <c r="AD51" s="43">
        <v>260</v>
      </c>
      <c r="AE51" s="43">
        <v>280</v>
      </c>
      <c r="AF51" s="43">
        <v>200</v>
      </c>
      <c r="AG51" s="43">
        <v>30</v>
      </c>
      <c r="AH51" s="43">
        <v>6</v>
      </c>
      <c r="AI51" s="43">
        <v>300</v>
      </c>
      <c r="AJ51" s="41">
        <f t="shared" si="1"/>
        <v>0</v>
      </c>
      <c r="AK51" s="41">
        <f t="shared" si="8"/>
        <v>0</v>
      </c>
      <c r="AL51" s="41">
        <f t="shared" si="8"/>
        <v>0</v>
      </c>
      <c r="AM51" s="41">
        <f t="shared" si="8"/>
        <v>0</v>
      </c>
      <c r="AN51" s="41">
        <f t="shared" si="8"/>
        <v>0</v>
      </c>
      <c r="AO51" s="41">
        <f t="shared" si="8"/>
        <v>0</v>
      </c>
      <c r="AP51" s="41">
        <f t="shared" si="7"/>
        <v>0</v>
      </c>
      <c r="AQ51" s="41">
        <f t="shared" si="7"/>
        <v>0</v>
      </c>
      <c r="AR51" s="41">
        <f t="shared" si="7"/>
        <v>0</v>
      </c>
      <c r="AS51" s="41">
        <f t="shared" si="7"/>
        <v>0</v>
      </c>
      <c r="AT51" s="41">
        <f t="shared" si="7"/>
        <v>0</v>
      </c>
      <c r="AU51" s="43">
        <f t="shared" si="6"/>
        <v>0</v>
      </c>
      <c r="AV51" s="43">
        <f t="shared" si="6"/>
        <v>0</v>
      </c>
      <c r="AW51" s="43">
        <f t="shared" si="5"/>
        <v>0</v>
      </c>
      <c r="AX51" s="43">
        <f t="shared" si="5"/>
        <v>0</v>
      </c>
      <c r="AY51" s="43">
        <f t="shared" si="5"/>
        <v>0</v>
      </c>
      <c r="AZ51" s="43">
        <f t="shared" si="5"/>
        <v>0</v>
      </c>
      <c r="BA51" s="43">
        <f t="shared" si="5"/>
        <v>0</v>
      </c>
      <c r="BB51" s="43">
        <f t="shared" si="5"/>
        <v>0</v>
      </c>
      <c r="BC51" s="43">
        <f t="shared" si="5"/>
        <v>0</v>
      </c>
      <c r="BD51" s="43">
        <f t="shared" si="5"/>
        <v>0</v>
      </c>
      <c r="BE51" s="43">
        <f t="shared" si="5"/>
        <v>0</v>
      </c>
      <c r="BF51" s="41">
        <f t="shared" si="4"/>
        <v>0</v>
      </c>
      <c r="BG51" s="41" t="str">
        <f t="array" ref="BG51">_xlfn.IFS(
OR(MONTH(A51)=11,MONTH(A51)=12,MONTH(A51)=1,MONTH(A51)=2),"Winter",
OR(MONTH(A51)=3,MONTH(A51)=4),"Spring",
OR(MONTH(A51)=5,MONTH(A51)=6),"Summer",
OR(MONTH(A51)=7,MONTH(A51)=8,MONTH(A51)=9),"Monsoon",
MONTH(A51)=10,"Autumn/Festive",
TRUE,""
)</f>
        <v>Spring</v>
      </c>
    </row>
    <row r="52" spans="1:59" x14ac:dyDescent="0.3">
      <c r="A52" s="39">
        <v>45377</v>
      </c>
      <c r="B52" s="40" t="str">
        <f t="shared" si="0"/>
        <v>March</v>
      </c>
      <c r="C52" s="41">
        <v>5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3.5</v>
      </c>
      <c r="J52" s="41">
        <v>2</v>
      </c>
      <c r="K52" s="41">
        <v>0</v>
      </c>
      <c r="L52" s="41">
        <v>0</v>
      </c>
      <c r="M52" s="41">
        <v>1</v>
      </c>
      <c r="N52" s="42">
        <v>110</v>
      </c>
      <c r="O52" s="42">
        <v>110</v>
      </c>
      <c r="P52" s="42">
        <v>26</v>
      </c>
      <c r="Q52" s="42">
        <v>65</v>
      </c>
      <c r="R52" s="42">
        <v>200</v>
      </c>
      <c r="S52" s="42">
        <v>230</v>
      </c>
      <c r="T52" s="42">
        <v>250</v>
      </c>
      <c r="U52" s="42">
        <v>170</v>
      </c>
      <c r="V52" s="42">
        <v>25</v>
      </c>
      <c r="W52" s="42">
        <v>4</v>
      </c>
      <c r="X52" s="42">
        <v>265</v>
      </c>
      <c r="Y52" s="43">
        <v>130</v>
      </c>
      <c r="Z52" s="43">
        <v>150</v>
      </c>
      <c r="AA52" s="43">
        <v>30</v>
      </c>
      <c r="AB52" s="43">
        <v>95</v>
      </c>
      <c r="AC52" s="43">
        <v>250</v>
      </c>
      <c r="AD52" s="43">
        <v>260</v>
      </c>
      <c r="AE52" s="43">
        <v>280</v>
      </c>
      <c r="AF52" s="43">
        <v>200</v>
      </c>
      <c r="AG52" s="43">
        <v>30</v>
      </c>
      <c r="AH52" s="43">
        <v>6</v>
      </c>
      <c r="AI52" s="43">
        <v>300</v>
      </c>
      <c r="AJ52" s="41">
        <f t="shared" si="1"/>
        <v>650</v>
      </c>
      <c r="AK52" s="41">
        <f t="shared" si="8"/>
        <v>0</v>
      </c>
      <c r="AL52" s="41">
        <f t="shared" si="8"/>
        <v>0</v>
      </c>
      <c r="AM52" s="41">
        <f t="shared" si="8"/>
        <v>0</v>
      </c>
      <c r="AN52" s="41">
        <f t="shared" si="8"/>
        <v>0</v>
      </c>
      <c r="AO52" s="41">
        <f t="shared" si="8"/>
        <v>0</v>
      </c>
      <c r="AP52" s="41">
        <f t="shared" si="7"/>
        <v>980</v>
      </c>
      <c r="AQ52" s="41">
        <f t="shared" si="7"/>
        <v>400</v>
      </c>
      <c r="AR52" s="41">
        <f t="shared" si="7"/>
        <v>0</v>
      </c>
      <c r="AS52" s="41">
        <f t="shared" si="7"/>
        <v>0</v>
      </c>
      <c r="AT52" s="41">
        <f t="shared" si="7"/>
        <v>300</v>
      </c>
      <c r="AU52" s="43">
        <f t="shared" si="6"/>
        <v>100</v>
      </c>
      <c r="AV52" s="43">
        <f t="shared" si="6"/>
        <v>0</v>
      </c>
      <c r="AW52" s="43">
        <f t="shared" si="5"/>
        <v>0</v>
      </c>
      <c r="AX52" s="43">
        <f t="shared" si="5"/>
        <v>0</v>
      </c>
      <c r="AY52" s="43">
        <f t="shared" si="5"/>
        <v>0</v>
      </c>
      <c r="AZ52" s="43">
        <f t="shared" si="5"/>
        <v>0</v>
      </c>
      <c r="BA52" s="43">
        <f t="shared" si="5"/>
        <v>105</v>
      </c>
      <c r="BB52" s="43">
        <f t="shared" si="5"/>
        <v>60</v>
      </c>
      <c r="BC52" s="43">
        <f t="shared" si="5"/>
        <v>0</v>
      </c>
      <c r="BD52" s="43">
        <f t="shared" si="5"/>
        <v>0</v>
      </c>
      <c r="BE52" s="43">
        <f t="shared" si="5"/>
        <v>35</v>
      </c>
      <c r="BF52" s="41">
        <f t="shared" si="4"/>
        <v>300</v>
      </c>
      <c r="BG52" s="41" t="str">
        <f t="array" ref="BG52">_xlfn.IFS(
OR(MONTH(A52)=11,MONTH(A52)=12,MONTH(A52)=1,MONTH(A52)=2),"Winter",
OR(MONTH(A52)=3,MONTH(A52)=4),"Spring",
OR(MONTH(A52)=5,MONTH(A52)=6),"Summer",
OR(MONTH(A52)=7,MONTH(A52)=8,MONTH(A52)=9),"Monsoon",
MONTH(A52)=10,"Autumn/Festive",
TRUE,""
)</f>
        <v>Spring</v>
      </c>
    </row>
    <row r="53" spans="1:59" x14ac:dyDescent="0.3">
      <c r="A53" s="39">
        <v>45378</v>
      </c>
      <c r="B53" s="40" t="str">
        <f t="shared" si="0"/>
        <v>March</v>
      </c>
      <c r="C53" s="41">
        <v>4</v>
      </c>
      <c r="D53" s="41">
        <v>0</v>
      </c>
      <c r="E53" s="41">
        <v>0</v>
      </c>
      <c r="F53" s="41">
        <v>0</v>
      </c>
      <c r="G53" s="41">
        <v>0</v>
      </c>
      <c r="H53" s="41">
        <v>5.5</v>
      </c>
      <c r="I53" s="41">
        <v>2</v>
      </c>
      <c r="J53" s="41">
        <v>2</v>
      </c>
      <c r="K53" s="41">
        <v>0</v>
      </c>
      <c r="L53" s="41">
        <v>0</v>
      </c>
      <c r="M53" s="41">
        <v>0</v>
      </c>
      <c r="N53" s="42">
        <v>110</v>
      </c>
      <c r="O53" s="42">
        <v>110</v>
      </c>
      <c r="P53" s="42">
        <v>26</v>
      </c>
      <c r="Q53" s="42">
        <v>65</v>
      </c>
      <c r="R53" s="42">
        <v>200</v>
      </c>
      <c r="S53" s="42">
        <v>230</v>
      </c>
      <c r="T53" s="42">
        <v>250</v>
      </c>
      <c r="U53" s="42">
        <v>170</v>
      </c>
      <c r="V53" s="42">
        <v>25</v>
      </c>
      <c r="W53" s="42">
        <v>4</v>
      </c>
      <c r="X53" s="42">
        <v>265</v>
      </c>
      <c r="Y53" s="43">
        <v>130</v>
      </c>
      <c r="Z53" s="43">
        <v>150</v>
      </c>
      <c r="AA53" s="43">
        <v>30</v>
      </c>
      <c r="AB53" s="43">
        <v>95</v>
      </c>
      <c r="AC53" s="43">
        <v>250</v>
      </c>
      <c r="AD53" s="43">
        <v>260</v>
      </c>
      <c r="AE53" s="43">
        <v>280</v>
      </c>
      <c r="AF53" s="43">
        <v>200</v>
      </c>
      <c r="AG53" s="43">
        <v>30</v>
      </c>
      <c r="AH53" s="43">
        <v>6</v>
      </c>
      <c r="AI53" s="43">
        <v>300</v>
      </c>
      <c r="AJ53" s="41">
        <f t="shared" si="1"/>
        <v>520</v>
      </c>
      <c r="AK53" s="41">
        <f t="shared" si="8"/>
        <v>0</v>
      </c>
      <c r="AL53" s="41">
        <f t="shared" si="8"/>
        <v>0</v>
      </c>
      <c r="AM53" s="41">
        <f t="shared" si="8"/>
        <v>0</v>
      </c>
      <c r="AN53" s="41">
        <f t="shared" si="8"/>
        <v>0</v>
      </c>
      <c r="AO53" s="41">
        <f t="shared" si="8"/>
        <v>1430</v>
      </c>
      <c r="AP53" s="41">
        <f t="shared" si="7"/>
        <v>560</v>
      </c>
      <c r="AQ53" s="41">
        <f t="shared" si="7"/>
        <v>400</v>
      </c>
      <c r="AR53" s="41">
        <f t="shared" si="7"/>
        <v>0</v>
      </c>
      <c r="AS53" s="41">
        <f t="shared" si="7"/>
        <v>0</v>
      </c>
      <c r="AT53" s="41">
        <f t="shared" si="7"/>
        <v>0</v>
      </c>
      <c r="AU53" s="43">
        <f t="shared" si="6"/>
        <v>80</v>
      </c>
      <c r="AV53" s="43">
        <f t="shared" si="6"/>
        <v>0</v>
      </c>
      <c r="AW53" s="43">
        <f t="shared" si="5"/>
        <v>0</v>
      </c>
      <c r="AX53" s="43">
        <f t="shared" si="5"/>
        <v>0</v>
      </c>
      <c r="AY53" s="43">
        <f t="shared" si="5"/>
        <v>0</v>
      </c>
      <c r="AZ53" s="43">
        <f t="shared" si="5"/>
        <v>165</v>
      </c>
      <c r="BA53" s="43">
        <f t="shared" si="5"/>
        <v>60</v>
      </c>
      <c r="BB53" s="43">
        <f t="shared" si="5"/>
        <v>60</v>
      </c>
      <c r="BC53" s="43">
        <f t="shared" si="5"/>
        <v>0</v>
      </c>
      <c r="BD53" s="43">
        <f t="shared" si="5"/>
        <v>0</v>
      </c>
      <c r="BE53" s="43">
        <f t="shared" si="5"/>
        <v>0</v>
      </c>
      <c r="BF53" s="41">
        <f t="shared" si="4"/>
        <v>365</v>
      </c>
      <c r="BG53" s="41" t="str">
        <f t="array" ref="BG53">_xlfn.IFS(
OR(MONTH(A53)=11,MONTH(A53)=12,MONTH(A53)=1,MONTH(A53)=2),"Winter",
OR(MONTH(A53)=3,MONTH(A53)=4),"Spring",
OR(MONTH(A53)=5,MONTH(A53)=6),"Summer",
OR(MONTH(A53)=7,MONTH(A53)=8,MONTH(A53)=9),"Monsoon",
MONTH(A53)=10,"Autumn/Festive",
TRUE,""
)</f>
        <v>Spring</v>
      </c>
    </row>
    <row r="54" spans="1:59" x14ac:dyDescent="0.3">
      <c r="A54" s="39">
        <v>45379</v>
      </c>
      <c r="B54" s="40" t="str">
        <f t="shared" si="0"/>
        <v>March</v>
      </c>
      <c r="C54" s="41">
        <v>6</v>
      </c>
      <c r="D54" s="41">
        <v>2</v>
      </c>
      <c r="E54" s="41">
        <v>0</v>
      </c>
      <c r="F54" s="41">
        <v>0</v>
      </c>
      <c r="G54" s="41">
        <v>0</v>
      </c>
      <c r="H54" s="41">
        <v>2.5</v>
      </c>
      <c r="I54" s="41">
        <v>3.5</v>
      </c>
      <c r="J54" s="41">
        <v>0</v>
      </c>
      <c r="K54" s="41">
        <v>2</v>
      </c>
      <c r="L54" s="41">
        <v>0</v>
      </c>
      <c r="M54" s="41">
        <v>0</v>
      </c>
      <c r="N54" s="42">
        <v>110</v>
      </c>
      <c r="O54" s="42">
        <v>110</v>
      </c>
      <c r="P54" s="42">
        <v>26</v>
      </c>
      <c r="Q54" s="42">
        <v>65</v>
      </c>
      <c r="R54" s="42">
        <v>200</v>
      </c>
      <c r="S54" s="42">
        <v>230</v>
      </c>
      <c r="T54" s="42">
        <v>250</v>
      </c>
      <c r="U54" s="42">
        <v>170</v>
      </c>
      <c r="V54" s="42">
        <v>25</v>
      </c>
      <c r="W54" s="42">
        <v>4</v>
      </c>
      <c r="X54" s="42">
        <v>265</v>
      </c>
      <c r="Y54" s="43">
        <v>130</v>
      </c>
      <c r="Z54" s="43">
        <v>150</v>
      </c>
      <c r="AA54" s="43">
        <v>30</v>
      </c>
      <c r="AB54" s="43">
        <v>95</v>
      </c>
      <c r="AC54" s="43">
        <v>250</v>
      </c>
      <c r="AD54" s="43">
        <v>260</v>
      </c>
      <c r="AE54" s="43">
        <v>280</v>
      </c>
      <c r="AF54" s="43">
        <v>200</v>
      </c>
      <c r="AG54" s="43">
        <v>30</v>
      </c>
      <c r="AH54" s="43">
        <v>6</v>
      </c>
      <c r="AI54" s="43">
        <v>300</v>
      </c>
      <c r="AJ54" s="41">
        <f t="shared" si="1"/>
        <v>780</v>
      </c>
      <c r="AK54" s="41">
        <f t="shared" si="8"/>
        <v>300</v>
      </c>
      <c r="AL54" s="41">
        <f t="shared" si="8"/>
        <v>0</v>
      </c>
      <c r="AM54" s="41">
        <f t="shared" si="8"/>
        <v>0</v>
      </c>
      <c r="AN54" s="41">
        <f t="shared" si="8"/>
        <v>0</v>
      </c>
      <c r="AO54" s="41">
        <f t="shared" si="8"/>
        <v>650</v>
      </c>
      <c r="AP54" s="41">
        <f t="shared" si="7"/>
        <v>980</v>
      </c>
      <c r="AQ54" s="41">
        <f t="shared" si="7"/>
        <v>0</v>
      </c>
      <c r="AR54" s="41">
        <f t="shared" si="7"/>
        <v>60</v>
      </c>
      <c r="AS54" s="41">
        <f t="shared" si="7"/>
        <v>0</v>
      </c>
      <c r="AT54" s="41">
        <f t="shared" si="7"/>
        <v>0</v>
      </c>
      <c r="AU54" s="43">
        <f t="shared" si="6"/>
        <v>120</v>
      </c>
      <c r="AV54" s="43">
        <f t="shared" si="6"/>
        <v>80</v>
      </c>
      <c r="AW54" s="43">
        <f t="shared" si="5"/>
        <v>0</v>
      </c>
      <c r="AX54" s="43">
        <f t="shared" si="5"/>
        <v>0</v>
      </c>
      <c r="AY54" s="43">
        <f t="shared" si="5"/>
        <v>0</v>
      </c>
      <c r="AZ54" s="43">
        <f t="shared" si="5"/>
        <v>75</v>
      </c>
      <c r="BA54" s="43">
        <f t="shared" si="5"/>
        <v>105</v>
      </c>
      <c r="BB54" s="43">
        <f t="shared" si="5"/>
        <v>0</v>
      </c>
      <c r="BC54" s="43">
        <f t="shared" si="5"/>
        <v>10</v>
      </c>
      <c r="BD54" s="43">
        <f t="shared" si="5"/>
        <v>0</v>
      </c>
      <c r="BE54" s="43">
        <f t="shared" si="5"/>
        <v>0</v>
      </c>
      <c r="BF54" s="41">
        <f t="shared" si="4"/>
        <v>390</v>
      </c>
      <c r="BG54" s="41" t="str">
        <f t="array" ref="BG54">_xlfn.IFS(
OR(MONTH(A54)=11,MONTH(A54)=12,MONTH(A54)=1,MONTH(A54)=2),"Winter",
OR(MONTH(A54)=3,MONTH(A54)=4),"Spring",
OR(MONTH(A54)=5,MONTH(A54)=6),"Summer",
OR(MONTH(A54)=7,MONTH(A54)=8,MONTH(A54)=9),"Monsoon",
MONTH(A54)=10,"Autumn/Festive",
TRUE,""
)</f>
        <v>Spring</v>
      </c>
    </row>
    <row r="55" spans="1:59" x14ac:dyDescent="0.3">
      <c r="A55" s="39">
        <v>45380</v>
      </c>
      <c r="B55" s="40" t="str">
        <f t="shared" si="0"/>
        <v>March</v>
      </c>
      <c r="C55" s="41">
        <v>9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6</v>
      </c>
      <c r="J55" s="41">
        <v>0</v>
      </c>
      <c r="K55" s="41">
        <v>0</v>
      </c>
      <c r="L55" s="41">
        <v>0</v>
      </c>
      <c r="M55" s="41">
        <v>1</v>
      </c>
      <c r="N55" s="42">
        <v>110</v>
      </c>
      <c r="O55" s="42">
        <v>110</v>
      </c>
      <c r="P55" s="42">
        <v>26</v>
      </c>
      <c r="Q55" s="42">
        <v>65</v>
      </c>
      <c r="R55" s="42">
        <v>200</v>
      </c>
      <c r="S55" s="42">
        <v>230</v>
      </c>
      <c r="T55" s="42">
        <v>250</v>
      </c>
      <c r="U55" s="42">
        <v>170</v>
      </c>
      <c r="V55" s="42">
        <v>25</v>
      </c>
      <c r="W55" s="42">
        <v>4</v>
      </c>
      <c r="X55" s="42">
        <v>265</v>
      </c>
      <c r="Y55" s="43">
        <v>130</v>
      </c>
      <c r="Z55" s="43">
        <v>150</v>
      </c>
      <c r="AA55" s="43">
        <v>30</v>
      </c>
      <c r="AB55" s="43">
        <v>95</v>
      </c>
      <c r="AC55" s="43">
        <v>250</v>
      </c>
      <c r="AD55" s="43">
        <v>260</v>
      </c>
      <c r="AE55" s="43">
        <v>280</v>
      </c>
      <c r="AF55" s="43">
        <v>200</v>
      </c>
      <c r="AG55" s="43">
        <v>30</v>
      </c>
      <c r="AH55" s="43">
        <v>6</v>
      </c>
      <c r="AI55" s="43">
        <v>300</v>
      </c>
      <c r="AJ55" s="41">
        <f t="shared" si="1"/>
        <v>1170</v>
      </c>
      <c r="AK55" s="41">
        <f t="shared" si="8"/>
        <v>0</v>
      </c>
      <c r="AL55" s="41">
        <f t="shared" si="8"/>
        <v>0</v>
      </c>
      <c r="AM55" s="41">
        <f t="shared" si="8"/>
        <v>0</v>
      </c>
      <c r="AN55" s="41">
        <f t="shared" si="8"/>
        <v>0</v>
      </c>
      <c r="AO55" s="41">
        <f t="shared" si="8"/>
        <v>0</v>
      </c>
      <c r="AP55" s="41">
        <f t="shared" si="7"/>
        <v>1680</v>
      </c>
      <c r="AQ55" s="41">
        <f t="shared" si="7"/>
        <v>0</v>
      </c>
      <c r="AR55" s="41">
        <f t="shared" si="7"/>
        <v>0</v>
      </c>
      <c r="AS55" s="41">
        <f t="shared" si="7"/>
        <v>0</v>
      </c>
      <c r="AT55" s="41">
        <f t="shared" si="7"/>
        <v>300</v>
      </c>
      <c r="AU55" s="43">
        <f t="shared" si="6"/>
        <v>180</v>
      </c>
      <c r="AV55" s="43">
        <f t="shared" si="6"/>
        <v>0</v>
      </c>
      <c r="AW55" s="43">
        <f t="shared" si="5"/>
        <v>0</v>
      </c>
      <c r="AX55" s="43">
        <f t="shared" si="5"/>
        <v>0</v>
      </c>
      <c r="AY55" s="43">
        <f t="shared" si="5"/>
        <v>0</v>
      </c>
      <c r="AZ55" s="43">
        <f t="shared" ref="AZ55:BE118" si="9">AO55-(H55*S55)</f>
        <v>0</v>
      </c>
      <c r="BA55" s="43">
        <f t="shared" si="9"/>
        <v>180</v>
      </c>
      <c r="BB55" s="43">
        <f t="shared" si="9"/>
        <v>0</v>
      </c>
      <c r="BC55" s="43">
        <f t="shared" si="9"/>
        <v>0</v>
      </c>
      <c r="BD55" s="43">
        <f t="shared" si="9"/>
        <v>0</v>
      </c>
      <c r="BE55" s="43">
        <f t="shared" si="9"/>
        <v>35</v>
      </c>
      <c r="BF55" s="41">
        <f t="shared" si="4"/>
        <v>395</v>
      </c>
      <c r="BG55" s="41" t="str">
        <f t="array" ref="BG55">_xlfn.IFS(
OR(MONTH(A55)=11,MONTH(A55)=12,MONTH(A55)=1,MONTH(A55)=2),"Winter",
OR(MONTH(A55)=3,MONTH(A55)=4),"Spring",
OR(MONTH(A55)=5,MONTH(A55)=6),"Summer",
OR(MONTH(A55)=7,MONTH(A55)=8,MONTH(A55)=9),"Monsoon",
MONTH(A55)=10,"Autumn/Festive",
TRUE,""
)</f>
        <v>Spring</v>
      </c>
    </row>
    <row r="56" spans="1:59" x14ac:dyDescent="0.3">
      <c r="A56" s="39">
        <v>45381</v>
      </c>
      <c r="B56" s="40" t="str">
        <f t="shared" si="0"/>
        <v>March</v>
      </c>
      <c r="C56" s="41">
        <v>7</v>
      </c>
      <c r="D56" s="41">
        <v>0</v>
      </c>
      <c r="E56" s="41">
        <v>0</v>
      </c>
      <c r="F56" s="41">
        <v>0</v>
      </c>
      <c r="G56" s="41">
        <v>0</v>
      </c>
      <c r="H56" s="41">
        <v>2</v>
      </c>
      <c r="I56" s="41">
        <v>9</v>
      </c>
      <c r="J56" s="41">
        <v>0</v>
      </c>
      <c r="K56" s="41">
        <v>0</v>
      </c>
      <c r="L56" s="41">
        <v>0</v>
      </c>
      <c r="M56" s="41">
        <v>0</v>
      </c>
      <c r="N56" s="42">
        <v>110</v>
      </c>
      <c r="O56" s="42">
        <v>110</v>
      </c>
      <c r="P56" s="42">
        <v>26</v>
      </c>
      <c r="Q56" s="42">
        <v>65</v>
      </c>
      <c r="R56" s="42">
        <v>200</v>
      </c>
      <c r="S56" s="42">
        <v>230</v>
      </c>
      <c r="T56" s="42">
        <v>250</v>
      </c>
      <c r="U56" s="42">
        <v>170</v>
      </c>
      <c r="V56" s="42">
        <v>25</v>
      </c>
      <c r="W56" s="42">
        <v>4</v>
      </c>
      <c r="X56" s="42">
        <v>265</v>
      </c>
      <c r="Y56" s="43">
        <v>130</v>
      </c>
      <c r="Z56" s="43">
        <v>150</v>
      </c>
      <c r="AA56" s="43">
        <v>30</v>
      </c>
      <c r="AB56" s="43">
        <v>95</v>
      </c>
      <c r="AC56" s="43">
        <v>250</v>
      </c>
      <c r="AD56" s="43">
        <v>260</v>
      </c>
      <c r="AE56" s="43">
        <v>280</v>
      </c>
      <c r="AF56" s="43">
        <v>200</v>
      </c>
      <c r="AG56" s="43">
        <v>30</v>
      </c>
      <c r="AH56" s="43">
        <v>6</v>
      </c>
      <c r="AI56" s="43">
        <v>300</v>
      </c>
      <c r="AJ56" s="41">
        <f t="shared" si="1"/>
        <v>910</v>
      </c>
      <c r="AK56" s="41">
        <f t="shared" si="8"/>
        <v>0</v>
      </c>
      <c r="AL56" s="41">
        <f t="shared" si="8"/>
        <v>0</v>
      </c>
      <c r="AM56" s="41">
        <f t="shared" si="8"/>
        <v>0</v>
      </c>
      <c r="AN56" s="41">
        <f t="shared" si="8"/>
        <v>0</v>
      </c>
      <c r="AO56" s="41">
        <f t="shared" si="8"/>
        <v>520</v>
      </c>
      <c r="AP56" s="41">
        <f t="shared" si="7"/>
        <v>2520</v>
      </c>
      <c r="AQ56" s="41">
        <f t="shared" si="7"/>
        <v>0</v>
      </c>
      <c r="AR56" s="41">
        <f t="shared" si="7"/>
        <v>0</v>
      </c>
      <c r="AS56" s="41">
        <f t="shared" si="7"/>
        <v>0</v>
      </c>
      <c r="AT56" s="41">
        <f t="shared" si="7"/>
        <v>0</v>
      </c>
      <c r="AU56" s="43">
        <f t="shared" si="6"/>
        <v>140</v>
      </c>
      <c r="AV56" s="43">
        <f t="shared" si="6"/>
        <v>0</v>
      </c>
      <c r="AW56" s="43">
        <f t="shared" si="6"/>
        <v>0</v>
      </c>
      <c r="AX56" s="43">
        <f t="shared" si="6"/>
        <v>0</v>
      </c>
      <c r="AY56" s="43">
        <f t="shared" si="6"/>
        <v>0</v>
      </c>
      <c r="AZ56" s="43">
        <f t="shared" si="9"/>
        <v>60</v>
      </c>
      <c r="BA56" s="43">
        <f t="shared" si="9"/>
        <v>270</v>
      </c>
      <c r="BB56" s="43">
        <f t="shared" si="9"/>
        <v>0</v>
      </c>
      <c r="BC56" s="43">
        <f t="shared" si="9"/>
        <v>0</v>
      </c>
      <c r="BD56" s="43">
        <f t="shared" si="9"/>
        <v>0</v>
      </c>
      <c r="BE56" s="43">
        <f t="shared" si="9"/>
        <v>0</v>
      </c>
      <c r="BF56" s="41">
        <f t="shared" si="4"/>
        <v>470</v>
      </c>
      <c r="BG56" s="41" t="str">
        <f t="array" ref="BG56">_xlfn.IFS(
OR(MONTH(A56)=11,MONTH(A56)=12,MONTH(A56)=1,MONTH(A56)=2),"Winter",
OR(MONTH(A56)=3,MONTH(A56)=4),"Spring",
OR(MONTH(A56)=5,MONTH(A56)=6),"Summer",
OR(MONTH(A56)=7,MONTH(A56)=8,MONTH(A56)=9),"Monsoon",
MONTH(A56)=10,"Autumn/Festive",
TRUE,""
)</f>
        <v>Spring</v>
      </c>
    </row>
    <row r="57" spans="1:59" x14ac:dyDescent="0.3">
      <c r="A57" s="39">
        <v>45382</v>
      </c>
      <c r="B57" s="40" t="str">
        <f t="shared" si="0"/>
        <v>March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2">
        <v>110</v>
      </c>
      <c r="O57" s="42">
        <v>110</v>
      </c>
      <c r="P57" s="42">
        <v>26</v>
      </c>
      <c r="Q57" s="42">
        <v>65</v>
      </c>
      <c r="R57" s="42">
        <v>200</v>
      </c>
      <c r="S57" s="42">
        <v>230</v>
      </c>
      <c r="T57" s="42">
        <v>250</v>
      </c>
      <c r="U57" s="42">
        <v>170</v>
      </c>
      <c r="V57" s="42">
        <v>25</v>
      </c>
      <c r="W57" s="42">
        <v>4</v>
      </c>
      <c r="X57" s="42">
        <v>265</v>
      </c>
      <c r="Y57" s="43">
        <v>130</v>
      </c>
      <c r="Z57" s="43">
        <v>150</v>
      </c>
      <c r="AA57" s="43">
        <v>30</v>
      </c>
      <c r="AB57" s="43">
        <v>95</v>
      </c>
      <c r="AC57" s="43">
        <v>250</v>
      </c>
      <c r="AD57" s="43">
        <v>260</v>
      </c>
      <c r="AE57" s="43">
        <v>280</v>
      </c>
      <c r="AF57" s="43">
        <v>200</v>
      </c>
      <c r="AG57" s="43">
        <v>30</v>
      </c>
      <c r="AH57" s="43">
        <v>6</v>
      </c>
      <c r="AI57" s="43">
        <v>300</v>
      </c>
      <c r="AJ57" s="41">
        <f t="shared" si="1"/>
        <v>0</v>
      </c>
      <c r="AK57" s="41">
        <f t="shared" si="8"/>
        <v>0</v>
      </c>
      <c r="AL57" s="41">
        <f t="shared" si="8"/>
        <v>0</v>
      </c>
      <c r="AM57" s="41">
        <f t="shared" si="8"/>
        <v>0</v>
      </c>
      <c r="AN57" s="41">
        <f t="shared" si="8"/>
        <v>0</v>
      </c>
      <c r="AO57" s="41">
        <f t="shared" si="8"/>
        <v>0</v>
      </c>
      <c r="AP57" s="41">
        <f t="shared" si="7"/>
        <v>0</v>
      </c>
      <c r="AQ57" s="41">
        <f t="shared" si="7"/>
        <v>0</v>
      </c>
      <c r="AR57" s="41">
        <f t="shared" si="7"/>
        <v>0</v>
      </c>
      <c r="AS57" s="41">
        <f t="shared" si="7"/>
        <v>0</v>
      </c>
      <c r="AT57" s="41">
        <f t="shared" si="7"/>
        <v>0</v>
      </c>
      <c r="AU57" s="43">
        <f t="shared" si="6"/>
        <v>0</v>
      </c>
      <c r="AV57" s="43">
        <f t="shared" si="6"/>
        <v>0</v>
      </c>
      <c r="AW57" s="43">
        <f t="shared" si="6"/>
        <v>0</v>
      </c>
      <c r="AX57" s="43">
        <f t="shared" si="6"/>
        <v>0</v>
      </c>
      <c r="AY57" s="43">
        <f t="shared" si="6"/>
        <v>0</v>
      </c>
      <c r="AZ57" s="43">
        <f t="shared" si="9"/>
        <v>0</v>
      </c>
      <c r="BA57" s="43">
        <f t="shared" si="9"/>
        <v>0</v>
      </c>
      <c r="BB57" s="43">
        <f t="shared" si="9"/>
        <v>0</v>
      </c>
      <c r="BC57" s="43">
        <f t="shared" si="9"/>
        <v>0</v>
      </c>
      <c r="BD57" s="43">
        <f t="shared" si="9"/>
        <v>0</v>
      </c>
      <c r="BE57" s="43">
        <f t="shared" si="9"/>
        <v>0</v>
      </c>
      <c r="BF57" s="41">
        <f t="shared" si="4"/>
        <v>0</v>
      </c>
      <c r="BG57" s="41" t="str">
        <f t="array" ref="BG57">_xlfn.IFS(
OR(MONTH(A57)=11,MONTH(A57)=12,MONTH(A57)=1,MONTH(A57)=2),"Winter",
OR(MONTH(A57)=3,MONTH(A57)=4),"Spring",
OR(MONTH(A57)=5,MONTH(A57)=6),"Summer",
OR(MONTH(A57)=7,MONTH(A57)=8,MONTH(A57)=9),"Monsoon",
MONTH(A57)=10,"Autumn/Festive",
TRUE,""
)</f>
        <v>Spring</v>
      </c>
    </row>
    <row r="58" spans="1:59" x14ac:dyDescent="0.3">
      <c r="A58" s="39">
        <v>45383</v>
      </c>
      <c r="B58" s="40" t="str">
        <f t="shared" si="0"/>
        <v>April</v>
      </c>
      <c r="C58" s="41">
        <v>7</v>
      </c>
      <c r="D58" s="41">
        <v>2</v>
      </c>
      <c r="E58" s="41">
        <v>0</v>
      </c>
      <c r="F58" s="41">
        <v>0</v>
      </c>
      <c r="G58" s="41">
        <v>0</v>
      </c>
      <c r="H58" s="41">
        <v>4.5</v>
      </c>
      <c r="I58" s="41">
        <v>0</v>
      </c>
      <c r="J58" s="41">
        <v>0</v>
      </c>
      <c r="K58" s="41">
        <v>2</v>
      </c>
      <c r="L58" s="41">
        <v>0</v>
      </c>
      <c r="M58" s="41">
        <v>0</v>
      </c>
      <c r="N58" s="42">
        <v>110</v>
      </c>
      <c r="O58" s="42">
        <v>110</v>
      </c>
      <c r="P58" s="42">
        <v>26</v>
      </c>
      <c r="Q58" s="42">
        <v>65</v>
      </c>
      <c r="R58" s="42">
        <v>200</v>
      </c>
      <c r="S58" s="42">
        <v>230</v>
      </c>
      <c r="T58" s="42">
        <v>250</v>
      </c>
      <c r="U58" s="42">
        <v>170</v>
      </c>
      <c r="V58" s="42">
        <v>25</v>
      </c>
      <c r="W58" s="42">
        <v>4</v>
      </c>
      <c r="X58" s="42">
        <v>265</v>
      </c>
      <c r="Y58" s="43">
        <v>130</v>
      </c>
      <c r="Z58" s="43">
        <v>150</v>
      </c>
      <c r="AA58" s="43">
        <v>30</v>
      </c>
      <c r="AB58" s="43">
        <v>95</v>
      </c>
      <c r="AC58" s="43">
        <v>250</v>
      </c>
      <c r="AD58" s="43">
        <v>260</v>
      </c>
      <c r="AE58" s="43">
        <v>280</v>
      </c>
      <c r="AF58" s="43">
        <v>200</v>
      </c>
      <c r="AG58" s="43">
        <v>30</v>
      </c>
      <c r="AH58" s="43">
        <v>6</v>
      </c>
      <c r="AI58" s="43">
        <v>300</v>
      </c>
      <c r="AJ58" s="41">
        <f t="shared" si="1"/>
        <v>910</v>
      </c>
      <c r="AK58" s="41">
        <f t="shared" si="8"/>
        <v>300</v>
      </c>
      <c r="AL58" s="41">
        <f t="shared" si="8"/>
        <v>0</v>
      </c>
      <c r="AM58" s="41">
        <f t="shared" si="8"/>
        <v>0</v>
      </c>
      <c r="AN58" s="41">
        <f t="shared" si="8"/>
        <v>0</v>
      </c>
      <c r="AO58" s="41">
        <f t="shared" si="8"/>
        <v>1170</v>
      </c>
      <c r="AP58" s="41">
        <f t="shared" si="7"/>
        <v>0</v>
      </c>
      <c r="AQ58" s="41">
        <f t="shared" si="7"/>
        <v>0</v>
      </c>
      <c r="AR58" s="41">
        <f t="shared" si="7"/>
        <v>60</v>
      </c>
      <c r="AS58" s="41">
        <f t="shared" si="7"/>
        <v>0</v>
      </c>
      <c r="AT58" s="41">
        <f t="shared" si="7"/>
        <v>0</v>
      </c>
      <c r="AU58" s="43">
        <f t="shared" si="6"/>
        <v>140</v>
      </c>
      <c r="AV58" s="43">
        <f t="shared" si="6"/>
        <v>80</v>
      </c>
      <c r="AW58" s="43">
        <f t="shared" si="6"/>
        <v>0</v>
      </c>
      <c r="AX58" s="43">
        <f t="shared" si="6"/>
        <v>0</v>
      </c>
      <c r="AY58" s="43">
        <f t="shared" si="6"/>
        <v>0</v>
      </c>
      <c r="AZ58" s="43">
        <f t="shared" si="9"/>
        <v>135</v>
      </c>
      <c r="BA58" s="43">
        <f t="shared" si="9"/>
        <v>0</v>
      </c>
      <c r="BB58" s="43">
        <f t="shared" si="9"/>
        <v>0</v>
      </c>
      <c r="BC58" s="43">
        <f t="shared" si="9"/>
        <v>10</v>
      </c>
      <c r="BD58" s="43">
        <f t="shared" si="9"/>
        <v>0</v>
      </c>
      <c r="BE58" s="43">
        <f t="shared" si="9"/>
        <v>0</v>
      </c>
      <c r="BF58" s="41">
        <f t="shared" si="4"/>
        <v>365</v>
      </c>
      <c r="BG58" s="41" t="str">
        <f t="array" ref="BG58">_xlfn.IFS(
OR(MONTH(A58)=11,MONTH(A58)=12,MONTH(A58)=1,MONTH(A58)=2),"Winter",
OR(MONTH(A58)=3,MONTH(A58)=4),"Spring",
OR(MONTH(A58)=5,MONTH(A58)=6),"Summer",
OR(MONTH(A58)=7,MONTH(A58)=8,MONTH(A58)=9),"Monsoon",
MONTH(A58)=10,"Autumn/Festive",
TRUE,""
)</f>
        <v>Spring</v>
      </c>
    </row>
    <row r="59" spans="1:59" x14ac:dyDescent="0.3">
      <c r="A59" s="39">
        <v>45384</v>
      </c>
      <c r="B59" s="40" t="str">
        <f t="shared" si="0"/>
        <v>April</v>
      </c>
      <c r="C59" s="41">
        <v>13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2.5</v>
      </c>
      <c r="J59" s="41">
        <v>0</v>
      </c>
      <c r="K59" s="41">
        <v>0</v>
      </c>
      <c r="L59" s="41">
        <v>0</v>
      </c>
      <c r="M59" s="41">
        <v>3</v>
      </c>
      <c r="N59" s="42">
        <v>110</v>
      </c>
      <c r="O59" s="42">
        <v>110</v>
      </c>
      <c r="P59" s="42">
        <v>26</v>
      </c>
      <c r="Q59" s="42">
        <v>65</v>
      </c>
      <c r="R59" s="42">
        <v>200</v>
      </c>
      <c r="S59" s="42">
        <v>230</v>
      </c>
      <c r="T59" s="42">
        <v>250</v>
      </c>
      <c r="U59" s="42">
        <v>170</v>
      </c>
      <c r="V59" s="42">
        <v>25</v>
      </c>
      <c r="W59" s="42">
        <v>4</v>
      </c>
      <c r="X59" s="42">
        <v>265</v>
      </c>
      <c r="Y59" s="43">
        <v>130</v>
      </c>
      <c r="Z59" s="43">
        <v>150</v>
      </c>
      <c r="AA59" s="43">
        <v>30</v>
      </c>
      <c r="AB59" s="43">
        <v>95</v>
      </c>
      <c r="AC59" s="43">
        <v>250</v>
      </c>
      <c r="AD59" s="43">
        <v>260</v>
      </c>
      <c r="AE59" s="43">
        <v>280</v>
      </c>
      <c r="AF59" s="43">
        <v>200</v>
      </c>
      <c r="AG59" s="43">
        <v>30</v>
      </c>
      <c r="AH59" s="43">
        <v>6</v>
      </c>
      <c r="AI59" s="43">
        <v>300</v>
      </c>
      <c r="AJ59" s="41">
        <f t="shared" si="1"/>
        <v>1690</v>
      </c>
      <c r="AK59" s="41">
        <f t="shared" si="8"/>
        <v>0</v>
      </c>
      <c r="AL59" s="41">
        <f t="shared" si="8"/>
        <v>0</v>
      </c>
      <c r="AM59" s="41">
        <f t="shared" si="8"/>
        <v>0</v>
      </c>
      <c r="AN59" s="41">
        <f t="shared" si="8"/>
        <v>0</v>
      </c>
      <c r="AO59" s="41">
        <f t="shared" si="8"/>
        <v>0</v>
      </c>
      <c r="AP59" s="41">
        <f t="shared" si="7"/>
        <v>700</v>
      </c>
      <c r="AQ59" s="41">
        <f t="shared" si="7"/>
        <v>0</v>
      </c>
      <c r="AR59" s="41">
        <f t="shared" si="7"/>
        <v>0</v>
      </c>
      <c r="AS59" s="41">
        <f t="shared" si="7"/>
        <v>0</v>
      </c>
      <c r="AT59" s="41">
        <f t="shared" si="7"/>
        <v>900</v>
      </c>
      <c r="AU59" s="43">
        <f t="shared" si="6"/>
        <v>260</v>
      </c>
      <c r="AV59" s="43">
        <f t="shared" si="6"/>
        <v>0</v>
      </c>
      <c r="AW59" s="43">
        <f t="shared" si="6"/>
        <v>0</v>
      </c>
      <c r="AX59" s="43">
        <f t="shared" si="6"/>
        <v>0</v>
      </c>
      <c r="AY59" s="43">
        <f t="shared" si="6"/>
        <v>0</v>
      </c>
      <c r="AZ59" s="43">
        <f t="shared" si="9"/>
        <v>0</v>
      </c>
      <c r="BA59" s="43">
        <f t="shared" si="9"/>
        <v>75</v>
      </c>
      <c r="BB59" s="43">
        <f t="shared" si="9"/>
        <v>0</v>
      </c>
      <c r="BC59" s="43">
        <f t="shared" si="9"/>
        <v>0</v>
      </c>
      <c r="BD59" s="43">
        <f t="shared" si="9"/>
        <v>0</v>
      </c>
      <c r="BE59" s="43">
        <f t="shared" si="9"/>
        <v>105</v>
      </c>
      <c r="BF59" s="41">
        <f t="shared" si="4"/>
        <v>440</v>
      </c>
      <c r="BG59" s="41" t="str">
        <f t="array" ref="BG59">_xlfn.IFS(
OR(MONTH(A59)=11,MONTH(A59)=12,MONTH(A59)=1,MONTH(A59)=2),"Winter",
OR(MONTH(A59)=3,MONTH(A59)=4),"Spring",
OR(MONTH(A59)=5,MONTH(A59)=6),"Summer",
OR(MONTH(A59)=7,MONTH(A59)=8,MONTH(A59)=9),"Monsoon",
MONTH(A59)=10,"Autumn/Festive",
TRUE,""
)</f>
        <v>Spring</v>
      </c>
    </row>
    <row r="60" spans="1:59" x14ac:dyDescent="0.3">
      <c r="A60" s="39">
        <v>45385</v>
      </c>
      <c r="B60" s="40" t="str">
        <f t="shared" si="0"/>
        <v>April</v>
      </c>
      <c r="C60" s="41">
        <v>12</v>
      </c>
      <c r="D60" s="41">
        <v>0</v>
      </c>
      <c r="E60" s="41">
        <v>0</v>
      </c>
      <c r="F60" s="41">
        <v>0</v>
      </c>
      <c r="G60" s="41">
        <v>0</v>
      </c>
      <c r="H60" s="41">
        <v>2</v>
      </c>
      <c r="I60" s="41">
        <v>2</v>
      </c>
      <c r="J60" s="41">
        <v>0</v>
      </c>
      <c r="K60" s="41">
        <v>2</v>
      </c>
      <c r="L60" s="41">
        <v>0</v>
      </c>
      <c r="M60" s="41">
        <v>0</v>
      </c>
      <c r="N60" s="42">
        <v>110</v>
      </c>
      <c r="O60" s="42">
        <v>110</v>
      </c>
      <c r="P60" s="42">
        <v>26</v>
      </c>
      <c r="Q60" s="42">
        <v>65</v>
      </c>
      <c r="R60" s="42">
        <v>200</v>
      </c>
      <c r="S60" s="42">
        <v>230</v>
      </c>
      <c r="T60" s="42">
        <v>250</v>
      </c>
      <c r="U60" s="42">
        <v>170</v>
      </c>
      <c r="V60" s="42">
        <v>25</v>
      </c>
      <c r="W60" s="42">
        <v>4</v>
      </c>
      <c r="X60" s="42">
        <v>265</v>
      </c>
      <c r="Y60" s="43">
        <v>130</v>
      </c>
      <c r="Z60" s="43">
        <v>150</v>
      </c>
      <c r="AA60" s="43">
        <v>30</v>
      </c>
      <c r="AB60" s="43">
        <v>95</v>
      </c>
      <c r="AC60" s="43">
        <v>250</v>
      </c>
      <c r="AD60" s="43">
        <v>260</v>
      </c>
      <c r="AE60" s="43">
        <v>280</v>
      </c>
      <c r="AF60" s="43">
        <v>200</v>
      </c>
      <c r="AG60" s="43">
        <v>30</v>
      </c>
      <c r="AH60" s="43">
        <v>6</v>
      </c>
      <c r="AI60" s="43">
        <v>300</v>
      </c>
      <c r="AJ60" s="41">
        <f t="shared" si="1"/>
        <v>1560</v>
      </c>
      <c r="AK60" s="41">
        <f t="shared" si="8"/>
        <v>0</v>
      </c>
      <c r="AL60" s="41">
        <f t="shared" si="8"/>
        <v>0</v>
      </c>
      <c r="AM60" s="41">
        <f t="shared" si="8"/>
        <v>0</v>
      </c>
      <c r="AN60" s="41">
        <f t="shared" si="8"/>
        <v>0</v>
      </c>
      <c r="AO60" s="41">
        <f t="shared" si="8"/>
        <v>520</v>
      </c>
      <c r="AP60" s="41">
        <f t="shared" si="7"/>
        <v>560</v>
      </c>
      <c r="AQ60" s="41">
        <f t="shared" si="7"/>
        <v>0</v>
      </c>
      <c r="AR60" s="41">
        <f t="shared" si="7"/>
        <v>60</v>
      </c>
      <c r="AS60" s="41">
        <f t="shared" si="7"/>
        <v>0</v>
      </c>
      <c r="AT60" s="41">
        <f t="shared" si="7"/>
        <v>0</v>
      </c>
      <c r="AU60" s="43">
        <f t="shared" si="6"/>
        <v>240</v>
      </c>
      <c r="AV60" s="43">
        <f t="shared" si="6"/>
        <v>0</v>
      </c>
      <c r="AW60" s="43">
        <f t="shared" si="6"/>
        <v>0</v>
      </c>
      <c r="AX60" s="43">
        <f t="shared" si="6"/>
        <v>0</v>
      </c>
      <c r="AY60" s="43">
        <f t="shared" si="6"/>
        <v>0</v>
      </c>
      <c r="AZ60" s="43">
        <f t="shared" si="9"/>
        <v>60</v>
      </c>
      <c r="BA60" s="43">
        <f t="shared" si="9"/>
        <v>60</v>
      </c>
      <c r="BB60" s="43">
        <f t="shared" si="9"/>
        <v>0</v>
      </c>
      <c r="BC60" s="43">
        <f t="shared" si="9"/>
        <v>10</v>
      </c>
      <c r="BD60" s="43">
        <f t="shared" si="9"/>
        <v>0</v>
      </c>
      <c r="BE60" s="43">
        <f t="shared" si="9"/>
        <v>0</v>
      </c>
      <c r="BF60" s="41">
        <f t="shared" si="4"/>
        <v>370</v>
      </c>
      <c r="BG60" s="41" t="str">
        <f t="array" ref="BG60">_xlfn.IFS(
OR(MONTH(A60)=11,MONTH(A60)=12,MONTH(A60)=1,MONTH(A60)=2),"Winter",
OR(MONTH(A60)=3,MONTH(A60)=4),"Spring",
OR(MONTH(A60)=5,MONTH(A60)=6),"Summer",
OR(MONTH(A60)=7,MONTH(A60)=8,MONTH(A60)=9),"Monsoon",
MONTH(A60)=10,"Autumn/Festive",
TRUE,""
)</f>
        <v>Spring</v>
      </c>
    </row>
    <row r="61" spans="1:59" x14ac:dyDescent="0.3">
      <c r="A61" s="39">
        <v>45386</v>
      </c>
      <c r="B61" s="40" t="str">
        <f t="shared" si="0"/>
        <v>April</v>
      </c>
      <c r="C61" s="41">
        <v>24</v>
      </c>
      <c r="D61" s="41">
        <v>4</v>
      </c>
      <c r="E61" s="41">
        <v>0</v>
      </c>
      <c r="F61" s="41">
        <v>0</v>
      </c>
      <c r="G61" s="41">
        <v>0</v>
      </c>
      <c r="H61" s="41">
        <v>0</v>
      </c>
      <c r="I61" s="41">
        <v>3.5</v>
      </c>
      <c r="J61" s="41">
        <v>0</v>
      </c>
      <c r="K61" s="41">
        <v>0</v>
      </c>
      <c r="L61" s="41">
        <v>0</v>
      </c>
      <c r="M61" s="41">
        <v>2</v>
      </c>
      <c r="N61" s="42">
        <v>110</v>
      </c>
      <c r="O61" s="42">
        <v>110</v>
      </c>
      <c r="P61" s="42">
        <v>26</v>
      </c>
      <c r="Q61" s="42">
        <v>65</v>
      </c>
      <c r="R61" s="42">
        <v>200</v>
      </c>
      <c r="S61" s="42">
        <v>230</v>
      </c>
      <c r="T61" s="42">
        <v>250</v>
      </c>
      <c r="U61" s="42">
        <v>170</v>
      </c>
      <c r="V61" s="42">
        <v>25</v>
      </c>
      <c r="W61" s="42">
        <v>4</v>
      </c>
      <c r="X61" s="42">
        <v>265</v>
      </c>
      <c r="Y61" s="43">
        <v>130</v>
      </c>
      <c r="Z61" s="43">
        <v>150</v>
      </c>
      <c r="AA61" s="43">
        <v>30</v>
      </c>
      <c r="AB61" s="43">
        <v>95</v>
      </c>
      <c r="AC61" s="43">
        <v>250</v>
      </c>
      <c r="AD61" s="43">
        <v>260</v>
      </c>
      <c r="AE61" s="43">
        <v>280</v>
      </c>
      <c r="AF61" s="43">
        <v>200</v>
      </c>
      <c r="AG61" s="43">
        <v>30</v>
      </c>
      <c r="AH61" s="43">
        <v>6</v>
      </c>
      <c r="AI61" s="43">
        <v>300</v>
      </c>
      <c r="AJ61" s="41">
        <f t="shared" si="1"/>
        <v>3120</v>
      </c>
      <c r="AK61" s="41">
        <f t="shared" si="8"/>
        <v>600</v>
      </c>
      <c r="AL61" s="41">
        <f t="shared" si="8"/>
        <v>0</v>
      </c>
      <c r="AM61" s="41">
        <f t="shared" si="8"/>
        <v>0</v>
      </c>
      <c r="AN61" s="41">
        <f t="shared" si="8"/>
        <v>0</v>
      </c>
      <c r="AO61" s="41">
        <f t="shared" si="8"/>
        <v>0</v>
      </c>
      <c r="AP61" s="41">
        <f t="shared" si="7"/>
        <v>980</v>
      </c>
      <c r="AQ61" s="41">
        <f t="shared" si="7"/>
        <v>0</v>
      </c>
      <c r="AR61" s="41">
        <f t="shared" si="7"/>
        <v>0</v>
      </c>
      <c r="AS61" s="41">
        <f t="shared" si="7"/>
        <v>0</v>
      </c>
      <c r="AT61" s="41">
        <f t="shared" si="7"/>
        <v>600</v>
      </c>
      <c r="AU61" s="43">
        <f t="shared" si="6"/>
        <v>480</v>
      </c>
      <c r="AV61" s="43">
        <f t="shared" si="6"/>
        <v>160</v>
      </c>
      <c r="AW61" s="43">
        <f t="shared" si="6"/>
        <v>0</v>
      </c>
      <c r="AX61" s="43">
        <f t="shared" si="6"/>
        <v>0</v>
      </c>
      <c r="AY61" s="43">
        <f t="shared" si="6"/>
        <v>0</v>
      </c>
      <c r="AZ61" s="43">
        <f t="shared" si="9"/>
        <v>0</v>
      </c>
      <c r="BA61" s="43">
        <f t="shared" si="9"/>
        <v>105</v>
      </c>
      <c r="BB61" s="43">
        <f t="shared" si="9"/>
        <v>0</v>
      </c>
      <c r="BC61" s="43">
        <f t="shared" si="9"/>
        <v>0</v>
      </c>
      <c r="BD61" s="43">
        <f t="shared" si="9"/>
        <v>0</v>
      </c>
      <c r="BE61" s="43">
        <f t="shared" si="9"/>
        <v>70</v>
      </c>
      <c r="BF61" s="41">
        <f t="shared" si="4"/>
        <v>815</v>
      </c>
      <c r="BG61" s="41" t="str">
        <f t="array" ref="BG61">_xlfn.IFS(
OR(MONTH(A61)=11,MONTH(A61)=12,MONTH(A61)=1,MONTH(A61)=2),"Winter",
OR(MONTH(A61)=3,MONTH(A61)=4),"Spring",
OR(MONTH(A61)=5,MONTH(A61)=6),"Summer",
OR(MONTH(A61)=7,MONTH(A61)=8,MONTH(A61)=9),"Monsoon",
MONTH(A61)=10,"Autumn/Festive",
TRUE,""
)</f>
        <v>Spring</v>
      </c>
    </row>
    <row r="62" spans="1:59" x14ac:dyDescent="0.3">
      <c r="A62" s="39">
        <v>45387</v>
      </c>
      <c r="B62" s="40" t="str">
        <f t="shared" si="0"/>
        <v>April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3.5</v>
      </c>
      <c r="I62" s="41">
        <v>2.5</v>
      </c>
      <c r="J62" s="41">
        <v>0</v>
      </c>
      <c r="K62" s="41">
        <v>0</v>
      </c>
      <c r="L62" s="41">
        <v>0</v>
      </c>
      <c r="M62" s="41">
        <v>0</v>
      </c>
      <c r="N62" s="42">
        <v>110</v>
      </c>
      <c r="O62" s="42">
        <v>110</v>
      </c>
      <c r="P62" s="42">
        <v>26</v>
      </c>
      <c r="Q62" s="42">
        <v>65</v>
      </c>
      <c r="R62" s="42">
        <v>200</v>
      </c>
      <c r="S62" s="42">
        <v>230</v>
      </c>
      <c r="T62" s="42">
        <v>250</v>
      </c>
      <c r="U62" s="42">
        <v>170</v>
      </c>
      <c r="V62" s="42">
        <v>25</v>
      </c>
      <c r="W62" s="42">
        <v>4</v>
      </c>
      <c r="X62" s="42">
        <v>265</v>
      </c>
      <c r="Y62" s="43">
        <v>130</v>
      </c>
      <c r="Z62" s="43">
        <v>150</v>
      </c>
      <c r="AA62" s="43">
        <v>30</v>
      </c>
      <c r="AB62" s="43">
        <v>95</v>
      </c>
      <c r="AC62" s="43">
        <v>250</v>
      </c>
      <c r="AD62" s="43">
        <v>260</v>
      </c>
      <c r="AE62" s="43">
        <v>280</v>
      </c>
      <c r="AF62" s="43">
        <v>200</v>
      </c>
      <c r="AG62" s="43">
        <v>30</v>
      </c>
      <c r="AH62" s="43">
        <v>6</v>
      </c>
      <c r="AI62" s="43">
        <v>300</v>
      </c>
      <c r="AJ62" s="41">
        <f t="shared" si="1"/>
        <v>0</v>
      </c>
      <c r="AK62" s="41">
        <f t="shared" si="8"/>
        <v>0</v>
      </c>
      <c r="AL62" s="41">
        <f t="shared" si="8"/>
        <v>0</v>
      </c>
      <c r="AM62" s="41">
        <f t="shared" si="8"/>
        <v>0</v>
      </c>
      <c r="AN62" s="41">
        <f t="shared" si="8"/>
        <v>0</v>
      </c>
      <c r="AO62" s="41">
        <f t="shared" si="8"/>
        <v>910</v>
      </c>
      <c r="AP62" s="41">
        <f t="shared" si="7"/>
        <v>700</v>
      </c>
      <c r="AQ62" s="41">
        <f t="shared" si="7"/>
        <v>0</v>
      </c>
      <c r="AR62" s="41">
        <f t="shared" si="7"/>
        <v>0</v>
      </c>
      <c r="AS62" s="41">
        <f t="shared" si="7"/>
        <v>0</v>
      </c>
      <c r="AT62" s="41">
        <f t="shared" si="7"/>
        <v>0</v>
      </c>
      <c r="AU62" s="43">
        <f t="shared" si="6"/>
        <v>0</v>
      </c>
      <c r="AV62" s="43">
        <f t="shared" si="6"/>
        <v>0</v>
      </c>
      <c r="AW62" s="43">
        <f t="shared" si="6"/>
        <v>0</v>
      </c>
      <c r="AX62" s="43">
        <f t="shared" si="6"/>
        <v>0</v>
      </c>
      <c r="AY62" s="43">
        <f t="shared" si="6"/>
        <v>0</v>
      </c>
      <c r="AZ62" s="43">
        <f t="shared" si="9"/>
        <v>105</v>
      </c>
      <c r="BA62" s="43">
        <f t="shared" si="9"/>
        <v>75</v>
      </c>
      <c r="BB62" s="43">
        <f t="shared" si="9"/>
        <v>0</v>
      </c>
      <c r="BC62" s="43">
        <f t="shared" si="9"/>
        <v>0</v>
      </c>
      <c r="BD62" s="43">
        <f t="shared" si="9"/>
        <v>0</v>
      </c>
      <c r="BE62" s="43">
        <f t="shared" si="9"/>
        <v>0</v>
      </c>
      <c r="BF62" s="41">
        <f t="shared" si="4"/>
        <v>180</v>
      </c>
      <c r="BG62" s="41" t="str">
        <f t="array" ref="BG62">_xlfn.IFS(
OR(MONTH(A62)=11,MONTH(A62)=12,MONTH(A62)=1,MONTH(A62)=2),"Winter",
OR(MONTH(A62)=3,MONTH(A62)=4),"Spring",
OR(MONTH(A62)=5,MONTH(A62)=6),"Summer",
OR(MONTH(A62)=7,MONTH(A62)=8,MONTH(A62)=9),"Monsoon",
MONTH(A62)=10,"Autumn/Festive",
TRUE,""
)</f>
        <v>Spring</v>
      </c>
    </row>
    <row r="63" spans="1:59" x14ac:dyDescent="0.3">
      <c r="A63" s="39">
        <v>45388</v>
      </c>
      <c r="B63" s="40" t="str">
        <f t="shared" si="0"/>
        <v>April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2">
        <v>110</v>
      </c>
      <c r="O63" s="42">
        <v>110</v>
      </c>
      <c r="P63" s="42">
        <v>26</v>
      </c>
      <c r="Q63" s="42">
        <v>65</v>
      </c>
      <c r="R63" s="42">
        <v>200</v>
      </c>
      <c r="S63" s="42">
        <v>230</v>
      </c>
      <c r="T63" s="42">
        <v>250</v>
      </c>
      <c r="U63" s="42">
        <v>170</v>
      </c>
      <c r="V63" s="42">
        <v>25</v>
      </c>
      <c r="W63" s="42">
        <v>4</v>
      </c>
      <c r="X63" s="42">
        <v>265</v>
      </c>
      <c r="Y63" s="43">
        <v>130</v>
      </c>
      <c r="Z63" s="43">
        <v>150</v>
      </c>
      <c r="AA63" s="43">
        <v>30</v>
      </c>
      <c r="AB63" s="43">
        <v>95</v>
      </c>
      <c r="AC63" s="43">
        <v>250</v>
      </c>
      <c r="AD63" s="43">
        <v>260</v>
      </c>
      <c r="AE63" s="43">
        <v>280</v>
      </c>
      <c r="AF63" s="43">
        <v>200</v>
      </c>
      <c r="AG63" s="43">
        <v>30</v>
      </c>
      <c r="AH63" s="43">
        <v>6</v>
      </c>
      <c r="AI63" s="43">
        <v>300</v>
      </c>
      <c r="AJ63" s="41">
        <f t="shared" si="1"/>
        <v>0</v>
      </c>
      <c r="AK63" s="41">
        <f t="shared" si="8"/>
        <v>0</v>
      </c>
      <c r="AL63" s="41">
        <f t="shared" si="8"/>
        <v>0</v>
      </c>
      <c r="AM63" s="41">
        <f t="shared" si="8"/>
        <v>0</v>
      </c>
      <c r="AN63" s="41">
        <f t="shared" si="8"/>
        <v>0</v>
      </c>
      <c r="AO63" s="41">
        <f t="shared" si="8"/>
        <v>0</v>
      </c>
      <c r="AP63" s="41">
        <f t="shared" si="7"/>
        <v>0</v>
      </c>
      <c r="AQ63" s="41">
        <f t="shared" si="7"/>
        <v>0</v>
      </c>
      <c r="AR63" s="41">
        <f t="shared" si="7"/>
        <v>0</v>
      </c>
      <c r="AS63" s="41">
        <f t="shared" si="7"/>
        <v>0</v>
      </c>
      <c r="AT63" s="41">
        <f t="shared" si="7"/>
        <v>0</v>
      </c>
      <c r="AU63" s="43">
        <f t="shared" si="6"/>
        <v>0</v>
      </c>
      <c r="AV63" s="43">
        <f t="shared" si="6"/>
        <v>0</v>
      </c>
      <c r="AW63" s="43">
        <f t="shared" si="6"/>
        <v>0</v>
      </c>
      <c r="AX63" s="43">
        <f t="shared" si="6"/>
        <v>0</v>
      </c>
      <c r="AY63" s="43">
        <f t="shared" si="6"/>
        <v>0</v>
      </c>
      <c r="AZ63" s="43">
        <f t="shared" si="9"/>
        <v>0</v>
      </c>
      <c r="BA63" s="43">
        <f t="shared" si="9"/>
        <v>0</v>
      </c>
      <c r="BB63" s="43">
        <f t="shared" si="9"/>
        <v>0</v>
      </c>
      <c r="BC63" s="43">
        <f t="shared" si="9"/>
        <v>0</v>
      </c>
      <c r="BD63" s="43">
        <f t="shared" si="9"/>
        <v>0</v>
      </c>
      <c r="BE63" s="43">
        <f t="shared" si="9"/>
        <v>0</v>
      </c>
      <c r="BF63" s="41">
        <f t="shared" si="4"/>
        <v>0</v>
      </c>
      <c r="BG63" s="41" t="str">
        <f t="array" ref="BG63">_xlfn.IFS(
OR(MONTH(A63)=11,MONTH(A63)=12,MONTH(A63)=1,MONTH(A63)=2),"Winter",
OR(MONTH(A63)=3,MONTH(A63)=4),"Spring",
OR(MONTH(A63)=5,MONTH(A63)=6),"Summer",
OR(MONTH(A63)=7,MONTH(A63)=8,MONTH(A63)=9),"Monsoon",
MONTH(A63)=10,"Autumn/Festive",
TRUE,""
)</f>
        <v>Spring</v>
      </c>
    </row>
    <row r="64" spans="1:59" x14ac:dyDescent="0.3">
      <c r="A64" s="39">
        <v>45389</v>
      </c>
      <c r="B64" s="40" t="str">
        <f t="shared" si="0"/>
        <v>April</v>
      </c>
      <c r="C64" s="41">
        <v>13</v>
      </c>
      <c r="D64" s="41">
        <v>5</v>
      </c>
      <c r="E64" s="41">
        <v>0</v>
      </c>
      <c r="F64" s="41">
        <v>0</v>
      </c>
      <c r="G64" s="41">
        <v>0</v>
      </c>
      <c r="H64" s="41">
        <v>2.5</v>
      </c>
      <c r="I64" s="41">
        <v>6.5</v>
      </c>
      <c r="J64" s="41">
        <v>0</v>
      </c>
      <c r="K64" s="41">
        <v>0</v>
      </c>
      <c r="L64" s="41">
        <v>0</v>
      </c>
      <c r="M64" s="41">
        <v>0</v>
      </c>
      <c r="N64" s="42">
        <v>110</v>
      </c>
      <c r="O64" s="42">
        <v>110</v>
      </c>
      <c r="P64" s="42">
        <v>26</v>
      </c>
      <c r="Q64" s="42">
        <v>65</v>
      </c>
      <c r="R64" s="42">
        <v>200</v>
      </c>
      <c r="S64" s="42">
        <v>230</v>
      </c>
      <c r="T64" s="42">
        <v>250</v>
      </c>
      <c r="U64" s="42">
        <v>170</v>
      </c>
      <c r="V64" s="42">
        <v>25</v>
      </c>
      <c r="W64" s="42">
        <v>4</v>
      </c>
      <c r="X64" s="42">
        <v>265</v>
      </c>
      <c r="Y64" s="43">
        <v>130</v>
      </c>
      <c r="Z64" s="43">
        <v>150</v>
      </c>
      <c r="AA64" s="43">
        <v>30</v>
      </c>
      <c r="AB64" s="43">
        <v>95</v>
      </c>
      <c r="AC64" s="43">
        <v>250</v>
      </c>
      <c r="AD64" s="43">
        <v>260</v>
      </c>
      <c r="AE64" s="43">
        <v>280</v>
      </c>
      <c r="AF64" s="43">
        <v>200</v>
      </c>
      <c r="AG64" s="43">
        <v>30</v>
      </c>
      <c r="AH64" s="43">
        <v>6</v>
      </c>
      <c r="AI64" s="43">
        <v>300</v>
      </c>
      <c r="AJ64" s="41">
        <f t="shared" si="1"/>
        <v>1690</v>
      </c>
      <c r="AK64" s="41">
        <f t="shared" si="8"/>
        <v>750</v>
      </c>
      <c r="AL64" s="41">
        <f t="shared" si="8"/>
        <v>0</v>
      </c>
      <c r="AM64" s="41">
        <f t="shared" si="8"/>
        <v>0</v>
      </c>
      <c r="AN64" s="41">
        <f t="shared" si="8"/>
        <v>0</v>
      </c>
      <c r="AO64" s="41">
        <f t="shared" si="8"/>
        <v>650</v>
      </c>
      <c r="AP64" s="41">
        <f t="shared" si="7"/>
        <v>1820</v>
      </c>
      <c r="AQ64" s="41">
        <f t="shared" si="7"/>
        <v>0</v>
      </c>
      <c r="AR64" s="41">
        <f t="shared" si="7"/>
        <v>0</v>
      </c>
      <c r="AS64" s="41">
        <f t="shared" si="7"/>
        <v>0</v>
      </c>
      <c r="AT64" s="41">
        <f t="shared" si="7"/>
        <v>0</v>
      </c>
      <c r="AU64" s="43">
        <f t="shared" si="6"/>
        <v>260</v>
      </c>
      <c r="AV64" s="43">
        <f t="shared" si="6"/>
        <v>200</v>
      </c>
      <c r="AW64" s="43">
        <f t="shared" si="6"/>
        <v>0</v>
      </c>
      <c r="AX64" s="43">
        <f t="shared" si="6"/>
        <v>0</v>
      </c>
      <c r="AY64" s="43">
        <f t="shared" si="6"/>
        <v>0</v>
      </c>
      <c r="AZ64" s="43">
        <f t="shared" si="9"/>
        <v>75</v>
      </c>
      <c r="BA64" s="43">
        <f t="shared" si="9"/>
        <v>195</v>
      </c>
      <c r="BB64" s="43">
        <f t="shared" si="9"/>
        <v>0</v>
      </c>
      <c r="BC64" s="43">
        <f t="shared" si="9"/>
        <v>0</v>
      </c>
      <c r="BD64" s="43">
        <f t="shared" si="9"/>
        <v>0</v>
      </c>
      <c r="BE64" s="43">
        <f t="shared" si="9"/>
        <v>0</v>
      </c>
      <c r="BF64" s="41">
        <f t="shared" si="4"/>
        <v>730</v>
      </c>
      <c r="BG64" s="41" t="str">
        <f t="array" ref="BG64">_xlfn.IFS(
OR(MONTH(A64)=11,MONTH(A64)=12,MONTH(A64)=1,MONTH(A64)=2),"Winter",
OR(MONTH(A64)=3,MONTH(A64)=4),"Spring",
OR(MONTH(A64)=5,MONTH(A64)=6),"Summer",
OR(MONTH(A64)=7,MONTH(A64)=8,MONTH(A64)=9),"Monsoon",
MONTH(A64)=10,"Autumn/Festive",
TRUE,""
)</f>
        <v>Spring</v>
      </c>
    </row>
    <row r="65" spans="1:59" x14ac:dyDescent="0.3">
      <c r="A65" s="39">
        <v>45390</v>
      </c>
      <c r="B65" s="40" t="str">
        <f t="shared" si="0"/>
        <v>April</v>
      </c>
      <c r="C65" s="41">
        <v>14</v>
      </c>
      <c r="D65" s="41">
        <v>0</v>
      </c>
      <c r="E65" s="41">
        <v>0</v>
      </c>
      <c r="F65" s="41">
        <v>6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2</v>
      </c>
      <c r="N65" s="42">
        <v>110</v>
      </c>
      <c r="O65" s="42">
        <v>110</v>
      </c>
      <c r="P65" s="42">
        <v>26</v>
      </c>
      <c r="Q65" s="42">
        <v>65</v>
      </c>
      <c r="R65" s="42">
        <v>200</v>
      </c>
      <c r="S65" s="42">
        <v>230</v>
      </c>
      <c r="T65" s="42">
        <v>250</v>
      </c>
      <c r="U65" s="42">
        <v>170</v>
      </c>
      <c r="V65" s="42">
        <v>25</v>
      </c>
      <c r="W65" s="42">
        <v>4</v>
      </c>
      <c r="X65" s="42">
        <v>265</v>
      </c>
      <c r="Y65" s="43">
        <v>130</v>
      </c>
      <c r="Z65" s="43">
        <v>150</v>
      </c>
      <c r="AA65" s="43">
        <v>30</v>
      </c>
      <c r="AB65" s="43">
        <v>95</v>
      </c>
      <c r="AC65" s="43">
        <v>250</v>
      </c>
      <c r="AD65" s="43">
        <v>260</v>
      </c>
      <c r="AE65" s="43">
        <v>280</v>
      </c>
      <c r="AF65" s="43">
        <v>200</v>
      </c>
      <c r="AG65" s="43">
        <v>30</v>
      </c>
      <c r="AH65" s="43">
        <v>6</v>
      </c>
      <c r="AI65" s="43">
        <v>300</v>
      </c>
      <c r="AJ65" s="41">
        <f t="shared" si="1"/>
        <v>1820</v>
      </c>
      <c r="AK65" s="41">
        <f t="shared" si="8"/>
        <v>0</v>
      </c>
      <c r="AL65" s="41">
        <f t="shared" si="8"/>
        <v>0</v>
      </c>
      <c r="AM65" s="41">
        <f t="shared" si="8"/>
        <v>570</v>
      </c>
      <c r="AN65" s="41">
        <f t="shared" si="8"/>
        <v>0</v>
      </c>
      <c r="AO65" s="41">
        <f t="shared" si="8"/>
        <v>0</v>
      </c>
      <c r="AP65" s="41">
        <f t="shared" si="7"/>
        <v>0</v>
      </c>
      <c r="AQ65" s="41">
        <f t="shared" si="7"/>
        <v>0</v>
      </c>
      <c r="AR65" s="41">
        <f t="shared" si="7"/>
        <v>0</v>
      </c>
      <c r="AS65" s="41">
        <f t="shared" si="7"/>
        <v>0</v>
      </c>
      <c r="AT65" s="41">
        <f t="shared" si="7"/>
        <v>600</v>
      </c>
      <c r="AU65" s="43">
        <f t="shared" si="6"/>
        <v>280</v>
      </c>
      <c r="AV65" s="43">
        <f t="shared" si="6"/>
        <v>0</v>
      </c>
      <c r="AW65" s="43">
        <f t="shared" si="6"/>
        <v>0</v>
      </c>
      <c r="AX65" s="43">
        <f t="shared" si="6"/>
        <v>180</v>
      </c>
      <c r="AY65" s="43">
        <f t="shared" si="6"/>
        <v>0</v>
      </c>
      <c r="AZ65" s="43">
        <f t="shared" si="9"/>
        <v>0</v>
      </c>
      <c r="BA65" s="43">
        <f t="shared" si="9"/>
        <v>0</v>
      </c>
      <c r="BB65" s="43">
        <f t="shared" si="9"/>
        <v>0</v>
      </c>
      <c r="BC65" s="43">
        <f t="shared" si="9"/>
        <v>0</v>
      </c>
      <c r="BD65" s="43">
        <f t="shared" si="9"/>
        <v>0</v>
      </c>
      <c r="BE65" s="43">
        <f t="shared" si="9"/>
        <v>70</v>
      </c>
      <c r="BF65" s="41">
        <f t="shared" si="4"/>
        <v>530</v>
      </c>
      <c r="BG65" s="41" t="str">
        <f t="array" ref="BG65">_xlfn.IFS(
OR(MONTH(A65)=11,MONTH(A65)=12,MONTH(A65)=1,MONTH(A65)=2),"Winter",
OR(MONTH(A65)=3,MONTH(A65)=4),"Spring",
OR(MONTH(A65)=5,MONTH(A65)=6),"Summer",
OR(MONTH(A65)=7,MONTH(A65)=8,MONTH(A65)=9),"Monsoon",
MONTH(A65)=10,"Autumn/Festive",
TRUE,""
)</f>
        <v>Spring</v>
      </c>
    </row>
    <row r="66" spans="1:59" x14ac:dyDescent="0.3">
      <c r="A66" s="39">
        <v>45391</v>
      </c>
      <c r="B66" s="40" t="str">
        <f t="shared" si="0"/>
        <v>April</v>
      </c>
      <c r="C66" s="41">
        <v>40</v>
      </c>
      <c r="D66" s="41">
        <v>0</v>
      </c>
      <c r="E66" s="41">
        <v>0</v>
      </c>
      <c r="F66" s="41">
        <v>0</v>
      </c>
      <c r="G66" s="41">
        <v>0</v>
      </c>
      <c r="H66" s="41">
        <v>0</v>
      </c>
      <c r="I66" s="41">
        <v>0</v>
      </c>
      <c r="J66" s="41">
        <v>0</v>
      </c>
      <c r="K66" s="41">
        <v>0</v>
      </c>
      <c r="L66" s="41">
        <v>0</v>
      </c>
      <c r="M66" s="41">
        <v>1</v>
      </c>
      <c r="N66" s="42">
        <v>110</v>
      </c>
      <c r="O66" s="42">
        <v>110</v>
      </c>
      <c r="P66" s="42">
        <v>26</v>
      </c>
      <c r="Q66" s="42">
        <v>65</v>
      </c>
      <c r="R66" s="42">
        <v>200</v>
      </c>
      <c r="S66" s="42">
        <v>230</v>
      </c>
      <c r="T66" s="42">
        <v>250</v>
      </c>
      <c r="U66" s="42">
        <v>170</v>
      </c>
      <c r="V66" s="42">
        <v>25</v>
      </c>
      <c r="W66" s="42">
        <v>4</v>
      </c>
      <c r="X66" s="42">
        <v>265</v>
      </c>
      <c r="Y66" s="43">
        <v>130</v>
      </c>
      <c r="Z66" s="43">
        <v>150</v>
      </c>
      <c r="AA66" s="43">
        <v>30</v>
      </c>
      <c r="AB66" s="43">
        <v>95</v>
      </c>
      <c r="AC66" s="43">
        <v>250</v>
      </c>
      <c r="AD66" s="43">
        <v>260</v>
      </c>
      <c r="AE66" s="43">
        <v>280</v>
      </c>
      <c r="AF66" s="43">
        <v>200</v>
      </c>
      <c r="AG66" s="43">
        <v>30</v>
      </c>
      <c r="AH66" s="43">
        <v>6</v>
      </c>
      <c r="AI66" s="43">
        <v>300</v>
      </c>
      <c r="AJ66" s="41">
        <f t="shared" si="1"/>
        <v>5200</v>
      </c>
      <c r="AK66" s="41">
        <f t="shared" si="8"/>
        <v>0</v>
      </c>
      <c r="AL66" s="41">
        <f t="shared" si="8"/>
        <v>0</v>
      </c>
      <c r="AM66" s="41">
        <f t="shared" si="8"/>
        <v>0</v>
      </c>
      <c r="AN66" s="41">
        <f t="shared" si="8"/>
        <v>0</v>
      </c>
      <c r="AO66" s="41">
        <f t="shared" si="8"/>
        <v>0</v>
      </c>
      <c r="AP66" s="41">
        <f t="shared" si="7"/>
        <v>0</v>
      </c>
      <c r="AQ66" s="41">
        <f t="shared" si="7"/>
        <v>0</v>
      </c>
      <c r="AR66" s="41">
        <f t="shared" si="7"/>
        <v>0</v>
      </c>
      <c r="AS66" s="41">
        <f t="shared" si="7"/>
        <v>0</v>
      </c>
      <c r="AT66" s="41">
        <f t="shared" si="7"/>
        <v>300</v>
      </c>
      <c r="AU66" s="43">
        <f t="shared" si="6"/>
        <v>800</v>
      </c>
      <c r="AV66" s="43">
        <f t="shared" si="6"/>
        <v>0</v>
      </c>
      <c r="AW66" s="43">
        <f t="shared" si="6"/>
        <v>0</v>
      </c>
      <c r="AX66" s="43">
        <f t="shared" si="6"/>
        <v>0</v>
      </c>
      <c r="AY66" s="43">
        <f t="shared" si="6"/>
        <v>0</v>
      </c>
      <c r="AZ66" s="43">
        <f t="shared" si="9"/>
        <v>0</v>
      </c>
      <c r="BA66" s="43">
        <f t="shared" si="9"/>
        <v>0</v>
      </c>
      <c r="BB66" s="43">
        <f t="shared" si="9"/>
        <v>0</v>
      </c>
      <c r="BC66" s="43">
        <f t="shared" si="9"/>
        <v>0</v>
      </c>
      <c r="BD66" s="43">
        <f t="shared" si="9"/>
        <v>0</v>
      </c>
      <c r="BE66" s="43">
        <f t="shared" si="9"/>
        <v>35</v>
      </c>
      <c r="BF66" s="41">
        <f t="shared" si="4"/>
        <v>835</v>
      </c>
      <c r="BG66" s="41" t="str">
        <f t="array" ref="BG66">_xlfn.IFS(
OR(MONTH(A66)=11,MONTH(A66)=12,MONTH(A66)=1,MONTH(A66)=2),"Winter",
OR(MONTH(A66)=3,MONTH(A66)=4),"Spring",
OR(MONTH(A66)=5,MONTH(A66)=6),"Summer",
OR(MONTH(A66)=7,MONTH(A66)=8,MONTH(A66)=9),"Monsoon",
MONTH(A66)=10,"Autumn/Festive",
TRUE,""
)</f>
        <v>Spring</v>
      </c>
    </row>
    <row r="67" spans="1:59" x14ac:dyDescent="0.3">
      <c r="A67" s="39">
        <v>45392</v>
      </c>
      <c r="B67" s="40" t="str">
        <f t="shared" si="0"/>
        <v>April</v>
      </c>
      <c r="C67" s="41">
        <v>3</v>
      </c>
      <c r="D67" s="41">
        <v>4</v>
      </c>
      <c r="E67" s="41">
        <v>0</v>
      </c>
      <c r="F67" s="41">
        <v>5</v>
      </c>
      <c r="G67" s="41">
        <v>0</v>
      </c>
      <c r="H67" s="41"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2">
        <v>110</v>
      </c>
      <c r="O67" s="42">
        <v>110</v>
      </c>
      <c r="P67" s="42">
        <v>26</v>
      </c>
      <c r="Q67" s="42">
        <v>65</v>
      </c>
      <c r="R67" s="42">
        <v>200</v>
      </c>
      <c r="S67" s="42">
        <v>230</v>
      </c>
      <c r="T67" s="42">
        <v>250</v>
      </c>
      <c r="U67" s="42">
        <v>170</v>
      </c>
      <c r="V67" s="42">
        <v>25</v>
      </c>
      <c r="W67" s="42">
        <v>4</v>
      </c>
      <c r="X67" s="42">
        <v>265</v>
      </c>
      <c r="Y67" s="43">
        <v>130</v>
      </c>
      <c r="Z67" s="43">
        <v>150</v>
      </c>
      <c r="AA67" s="43">
        <v>30</v>
      </c>
      <c r="AB67" s="43">
        <v>95</v>
      </c>
      <c r="AC67" s="43">
        <v>250</v>
      </c>
      <c r="AD67" s="43">
        <v>260</v>
      </c>
      <c r="AE67" s="43">
        <v>280</v>
      </c>
      <c r="AF67" s="43">
        <v>200</v>
      </c>
      <c r="AG67" s="43">
        <v>30</v>
      </c>
      <c r="AH67" s="43">
        <v>6</v>
      </c>
      <c r="AI67" s="43">
        <v>300</v>
      </c>
      <c r="AJ67" s="41">
        <f t="shared" si="1"/>
        <v>390</v>
      </c>
      <c r="AK67" s="41">
        <f t="shared" si="8"/>
        <v>600</v>
      </c>
      <c r="AL67" s="41">
        <f t="shared" si="8"/>
        <v>0</v>
      </c>
      <c r="AM67" s="41">
        <f t="shared" si="8"/>
        <v>475</v>
      </c>
      <c r="AN67" s="41">
        <f t="shared" si="8"/>
        <v>0</v>
      </c>
      <c r="AO67" s="41">
        <f t="shared" si="8"/>
        <v>0</v>
      </c>
      <c r="AP67" s="41">
        <f t="shared" si="7"/>
        <v>0</v>
      </c>
      <c r="AQ67" s="41">
        <f t="shared" si="7"/>
        <v>0</v>
      </c>
      <c r="AR67" s="41">
        <f t="shared" si="7"/>
        <v>0</v>
      </c>
      <c r="AS67" s="41">
        <f t="shared" si="7"/>
        <v>0</v>
      </c>
      <c r="AT67" s="41">
        <f t="shared" si="7"/>
        <v>0</v>
      </c>
      <c r="AU67" s="43">
        <f t="shared" si="6"/>
        <v>60</v>
      </c>
      <c r="AV67" s="43">
        <f t="shared" si="6"/>
        <v>160</v>
      </c>
      <c r="AW67" s="43">
        <f t="shared" si="6"/>
        <v>0</v>
      </c>
      <c r="AX67" s="43">
        <f t="shared" si="6"/>
        <v>150</v>
      </c>
      <c r="AY67" s="43">
        <f t="shared" si="6"/>
        <v>0</v>
      </c>
      <c r="AZ67" s="43">
        <f t="shared" si="9"/>
        <v>0</v>
      </c>
      <c r="BA67" s="43">
        <f t="shared" si="9"/>
        <v>0</v>
      </c>
      <c r="BB67" s="43">
        <f t="shared" si="9"/>
        <v>0</v>
      </c>
      <c r="BC67" s="43">
        <f t="shared" si="9"/>
        <v>0</v>
      </c>
      <c r="BD67" s="43">
        <f t="shared" si="9"/>
        <v>0</v>
      </c>
      <c r="BE67" s="43">
        <f t="shared" si="9"/>
        <v>0</v>
      </c>
      <c r="BF67" s="41">
        <f t="shared" si="4"/>
        <v>370</v>
      </c>
      <c r="BG67" s="41" t="str">
        <f t="array" ref="BG67">_xlfn.IFS(
OR(MONTH(A67)=11,MONTH(A67)=12,MONTH(A67)=1,MONTH(A67)=2),"Winter",
OR(MONTH(A67)=3,MONTH(A67)=4),"Spring",
OR(MONTH(A67)=5,MONTH(A67)=6),"Summer",
OR(MONTH(A67)=7,MONTH(A67)=8,MONTH(A67)=9),"Monsoon",
MONTH(A67)=10,"Autumn/Festive",
TRUE,""
)</f>
        <v>Spring</v>
      </c>
    </row>
    <row r="68" spans="1:59" x14ac:dyDescent="0.3">
      <c r="A68" s="39">
        <v>45393</v>
      </c>
      <c r="B68" s="40" t="str">
        <f t="shared" ref="B68:B131" si="10">TEXT(A68,"mmmm")</f>
        <v>April</v>
      </c>
      <c r="C68" s="41">
        <v>23</v>
      </c>
      <c r="D68" s="41">
        <v>0</v>
      </c>
      <c r="E68" s="41">
        <v>0</v>
      </c>
      <c r="F68" s="41">
        <v>0</v>
      </c>
      <c r="G68" s="41">
        <v>0</v>
      </c>
      <c r="H68" s="41">
        <v>0</v>
      </c>
      <c r="I68" s="41">
        <v>2.5</v>
      </c>
      <c r="J68" s="41">
        <v>0</v>
      </c>
      <c r="K68" s="41">
        <v>0</v>
      </c>
      <c r="L68" s="41">
        <v>0</v>
      </c>
      <c r="M68" s="41">
        <v>0</v>
      </c>
      <c r="N68" s="42">
        <v>110</v>
      </c>
      <c r="O68" s="42">
        <v>110</v>
      </c>
      <c r="P68" s="42">
        <v>26</v>
      </c>
      <c r="Q68" s="42">
        <v>65</v>
      </c>
      <c r="R68" s="42">
        <v>200</v>
      </c>
      <c r="S68" s="42">
        <v>230</v>
      </c>
      <c r="T68" s="42">
        <v>250</v>
      </c>
      <c r="U68" s="42">
        <v>170</v>
      </c>
      <c r="V68" s="42">
        <v>25</v>
      </c>
      <c r="W68" s="42">
        <v>4</v>
      </c>
      <c r="X68" s="42">
        <v>265</v>
      </c>
      <c r="Y68" s="43">
        <v>130</v>
      </c>
      <c r="Z68" s="43">
        <v>150</v>
      </c>
      <c r="AA68" s="43">
        <v>30</v>
      </c>
      <c r="AB68" s="43">
        <v>95</v>
      </c>
      <c r="AC68" s="43">
        <v>250</v>
      </c>
      <c r="AD68" s="43">
        <v>260</v>
      </c>
      <c r="AE68" s="43">
        <v>280</v>
      </c>
      <c r="AF68" s="43">
        <v>200</v>
      </c>
      <c r="AG68" s="43">
        <v>30</v>
      </c>
      <c r="AH68" s="43">
        <v>6</v>
      </c>
      <c r="AI68" s="43">
        <v>300</v>
      </c>
      <c r="AJ68" s="41">
        <f t="shared" ref="AJ68:AJ131" si="11" xml:space="preserve"> Y68*C68</f>
        <v>2990</v>
      </c>
      <c r="AK68" s="41">
        <f t="shared" si="8"/>
        <v>0</v>
      </c>
      <c r="AL68" s="41">
        <f t="shared" si="8"/>
        <v>0</v>
      </c>
      <c r="AM68" s="41">
        <f t="shared" si="8"/>
        <v>0</v>
      </c>
      <c r="AN68" s="41">
        <f t="shared" si="8"/>
        <v>0</v>
      </c>
      <c r="AO68" s="41">
        <f t="shared" si="8"/>
        <v>0</v>
      </c>
      <c r="AP68" s="41">
        <f t="shared" si="7"/>
        <v>700</v>
      </c>
      <c r="AQ68" s="41">
        <f t="shared" si="7"/>
        <v>0</v>
      </c>
      <c r="AR68" s="41">
        <f t="shared" si="7"/>
        <v>0</v>
      </c>
      <c r="AS68" s="41">
        <f t="shared" si="7"/>
        <v>0</v>
      </c>
      <c r="AT68" s="41">
        <f t="shared" si="7"/>
        <v>0</v>
      </c>
      <c r="AU68" s="43">
        <f t="shared" si="6"/>
        <v>460</v>
      </c>
      <c r="AV68" s="43">
        <f t="shared" si="6"/>
        <v>0</v>
      </c>
      <c r="AW68" s="43">
        <f t="shared" si="6"/>
        <v>0</v>
      </c>
      <c r="AX68" s="43">
        <f t="shared" si="6"/>
        <v>0</v>
      </c>
      <c r="AY68" s="43">
        <f t="shared" si="6"/>
        <v>0</v>
      </c>
      <c r="AZ68" s="43">
        <f t="shared" si="9"/>
        <v>0</v>
      </c>
      <c r="BA68" s="43">
        <f t="shared" si="9"/>
        <v>75</v>
      </c>
      <c r="BB68" s="43">
        <f t="shared" si="9"/>
        <v>0</v>
      </c>
      <c r="BC68" s="43">
        <f t="shared" si="9"/>
        <v>0</v>
      </c>
      <c r="BD68" s="43">
        <f t="shared" si="9"/>
        <v>0</v>
      </c>
      <c r="BE68" s="43">
        <f t="shared" si="9"/>
        <v>0</v>
      </c>
      <c r="BF68" s="41">
        <f t="shared" ref="BF68:BF131" si="12">SUM(AU68:BE68)</f>
        <v>535</v>
      </c>
      <c r="BG68" s="41" t="str">
        <f t="array" ref="BG68">_xlfn.IFS(
OR(MONTH(A68)=11,MONTH(A68)=12,MONTH(A68)=1,MONTH(A68)=2),"Winter",
OR(MONTH(A68)=3,MONTH(A68)=4),"Spring",
OR(MONTH(A68)=5,MONTH(A68)=6),"Summer",
OR(MONTH(A68)=7,MONTH(A68)=8,MONTH(A68)=9),"Monsoon",
MONTH(A68)=10,"Autumn/Festive",
TRUE,""
)</f>
        <v>Spring</v>
      </c>
    </row>
    <row r="69" spans="1:59" x14ac:dyDescent="0.3">
      <c r="A69" s="39">
        <v>45394</v>
      </c>
      <c r="B69" s="40" t="str">
        <f t="shared" si="10"/>
        <v>April</v>
      </c>
      <c r="C69" s="41">
        <v>15</v>
      </c>
      <c r="D69" s="41">
        <v>3</v>
      </c>
      <c r="E69" s="41">
        <v>0</v>
      </c>
      <c r="F69" s="41">
        <v>0</v>
      </c>
      <c r="G69" s="41">
        <v>0</v>
      </c>
      <c r="H69" s="41">
        <v>0</v>
      </c>
      <c r="I69" s="41">
        <v>0</v>
      </c>
      <c r="J69" s="41">
        <v>0</v>
      </c>
      <c r="K69" s="41">
        <v>0</v>
      </c>
      <c r="L69" s="41">
        <v>0</v>
      </c>
      <c r="M69" s="41">
        <v>0</v>
      </c>
      <c r="N69" s="42">
        <v>110</v>
      </c>
      <c r="O69" s="42">
        <v>110</v>
      </c>
      <c r="P69" s="42">
        <v>26</v>
      </c>
      <c r="Q69" s="42">
        <v>65</v>
      </c>
      <c r="R69" s="42">
        <v>200</v>
      </c>
      <c r="S69" s="42">
        <v>230</v>
      </c>
      <c r="T69" s="42">
        <v>250</v>
      </c>
      <c r="U69" s="42">
        <v>170</v>
      </c>
      <c r="V69" s="42">
        <v>25</v>
      </c>
      <c r="W69" s="42">
        <v>4</v>
      </c>
      <c r="X69" s="42">
        <v>265</v>
      </c>
      <c r="Y69" s="43">
        <v>130</v>
      </c>
      <c r="Z69" s="43">
        <v>150</v>
      </c>
      <c r="AA69" s="43">
        <v>30</v>
      </c>
      <c r="AB69" s="43">
        <v>95</v>
      </c>
      <c r="AC69" s="43">
        <v>250</v>
      </c>
      <c r="AD69" s="43">
        <v>260</v>
      </c>
      <c r="AE69" s="43">
        <v>280</v>
      </c>
      <c r="AF69" s="43">
        <v>200</v>
      </c>
      <c r="AG69" s="43">
        <v>30</v>
      </c>
      <c r="AH69" s="43">
        <v>6</v>
      </c>
      <c r="AI69" s="43">
        <v>300</v>
      </c>
      <c r="AJ69" s="41">
        <f t="shared" si="11"/>
        <v>1950</v>
      </c>
      <c r="AK69" s="41">
        <f t="shared" si="8"/>
        <v>450</v>
      </c>
      <c r="AL69" s="41">
        <f t="shared" si="8"/>
        <v>0</v>
      </c>
      <c r="AM69" s="41">
        <f t="shared" si="8"/>
        <v>0</v>
      </c>
      <c r="AN69" s="41">
        <f t="shared" si="8"/>
        <v>0</v>
      </c>
      <c r="AO69" s="41">
        <f t="shared" si="8"/>
        <v>0</v>
      </c>
      <c r="AP69" s="41">
        <f t="shared" si="7"/>
        <v>0</v>
      </c>
      <c r="AQ69" s="41">
        <f t="shared" si="7"/>
        <v>0</v>
      </c>
      <c r="AR69" s="41">
        <f t="shared" si="7"/>
        <v>0</v>
      </c>
      <c r="AS69" s="41">
        <f t="shared" si="7"/>
        <v>0</v>
      </c>
      <c r="AT69" s="41">
        <f t="shared" si="7"/>
        <v>0</v>
      </c>
      <c r="AU69" s="43">
        <f t="shared" si="6"/>
        <v>300</v>
      </c>
      <c r="AV69" s="43">
        <f t="shared" si="6"/>
        <v>120</v>
      </c>
      <c r="AW69" s="43">
        <f t="shared" si="6"/>
        <v>0</v>
      </c>
      <c r="AX69" s="43">
        <f t="shared" si="6"/>
        <v>0</v>
      </c>
      <c r="AY69" s="43">
        <f t="shared" si="6"/>
        <v>0</v>
      </c>
      <c r="AZ69" s="43">
        <f t="shared" si="9"/>
        <v>0</v>
      </c>
      <c r="BA69" s="43">
        <f t="shared" si="9"/>
        <v>0</v>
      </c>
      <c r="BB69" s="43">
        <f t="shared" si="9"/>
        <v>0</v>
      </c>
      <c r="BC69" s="43">
        <f t="shared" si="9"/>
        <v>0</v>
      </c>
      <c r="BD69" s="43">
        <f t="shared" si="9"/>
        <v>0</v>
      </c>
      <c r="BE69" s="43">
        <f t="shared" si="9"/>
        <v>0</v>
      </c>
      <c r="BF69" s="41">
        <f t="shared" si="12"/>
        <v>420</v>
      </c>
      <c r="BG69" s="41" t="str">
        <f t="array" ref="BG69">_xlfn.IFS(
OR(MONTH(A69)=11,MONTH(A69)=12,MONTH(A69)=1,MONTH(A69)=2),"Winter",
OR(MONTH(A69)=3,MONTH(A69)=4),"Spring",
OR(MONTH(A69)=5,MONTH(A69)=6),"Summer",
OR(MONTH(A69)=7,MONTH(A69)=8,MONTH(A69)=9),"Monsoon",
MONTH(A69)=10,"Autumn/Festive",
TRUE,""
)</f>
        <v>Spring</v>
      </c>
    </row>
    <row r="70" spans="1:59" x14ac:dyDescent="0.3">
      <c r="A70" s="39">
        <v>45395</v>
      </c>
      <c r="B70" s="40" t="str">
        <f t="shared" si="10"/>
        <v>April</v>
      </c>
      <c r="C70" s="41">
        <v>12</v>
      </c>
      <c r="D70" s="41">
        <v>6</v>
      </c>
      <c r="E70" s="41">
        <v>0</v>
      </c>
      <c r="F70" s="41">
        <v>0</v>
      </c>
      <c r="G70" s="41">
        <v>0</v>
      </c>
      <c r="H70" s="41">
        <v>0</v>
      </c>
      <c r="I70" s="41">
        <v>3</v>
      </c>
      <c r="J70" s="41">
        <v>0</v>
      </c>
      <c r="K70" s="41">
        <v>0</v>
      </c>
      <c r="L70" s="41">
        <v>0</v>
      </c>
      <c r="M70" s="41">
        <v>0</v>
      </c>
      <c r="N70" s="42">
        <v>110</v>
      </c>
      <c r="O70" s="42">
        <v>110</v>
      </c>
      <c r="P70" s="42">
        <v>26</v>
      </c>
      <c r="Q70" s="42">
        <v>65</v>
      </c>
      <c r="R70" s="42">
        <v>200</v>
      </c>
      <c r="S70" s="42">
        <v>230</v>
      </c>
      <c r="T70" s="42">
        <v>250</v>
      </c>
      <c r="U70" s="42">
        <v>170</v>
      </c>
      <c r="V70" s="42">
        <v>25</v>
      </c>
      <c r="W70" s="42">
        <v>4</v>
      </c>
      <c r="X70" s="42">
        <v>265</v>
      </c>
      <c r="Y70" s="43">
        <v>130</v>
      </c>
      <c r="Z70" s="43">
        <v>150</v>
      </c>
      <c r="AA70" s="43">
        <v>30</v>
      </c>
      <c r="AB70" s="43">
        <v>95</v>
      </c>
      <c r="AC70" s="43">
        <v>250</v>
      </c>
      <c r="AD70" s="43">
        <v>260</v>
      </c>
      <c r="AE70" s="43">
        <v>280</v>
      </c>
      <c r="AF70" s="43">
        <v>200</v>
      </c>
      <c r="AG70" s="43">
        <v>30</v>
      </c>
      <c r="AH70" s="43">
        <v>6</v>
      </c>
      <c r="AI70" s="43">
        <v>300</v>
      </c>
      <c r="AJ70" s="41">
        <f t="shared" si="11"/>
        <v>1560</v>
      </c>
      <c r="AK70" s="41">
        <f t="shared" si="8"/>
        <v>900</v>
      </c>
      <c r="AL70" s="41">
        <f t="shared" si="8"/>
        <v>0</v>
      </c>
      <c r="AM70" s="41">
        <f t="shared" si="8"/>
        <v>0</v>
      </c>
      <c r="AN70" s="41">
        <f t="shared" si="8"/>
        <v>0</v>
      </c>
      <c r="AO70" s="41">
        <f t="shared" si="8"/>
        <v>0</v>
      </c>
      <c r="AP70" s="41">
        <f t="shared" si="7"/>
        <v>840</v>
      </c>
      <c r="AQ70" s="41">
        <f t="shared" si="7"/>
        <v>0</v>
      </c>
      <c r="AR70" s="41">
        <f t="shared" si="7"/>
        <v>0</v>
      </c>
      <c r="AS70" s="41">
        <f t="shared" si="7"/>
        <v>0</v>
      </c>
      <c r="AT70" s="41">
        <f t="shared" si="7"/>
        <v>0</v>
      </c>
      <c r="AU70" s="43">
        <f t="shared" si="6"/>
        <v>240</v>
      </c>
      <c r="AV70" s="43">
        <f t="shared" si="6"/>
        <v>240</v>
      </c>
      <c r="AW70" s="43">
        <f t="shared" si="6"/>
        <v>0</v>
      </c>
      <c r="AX70" s="43">
        <f t="shared" si="6"/>
        <v>0</v>
      </c>
      <c r="AY70" s="43">
        <f t="shared" si="6"/>
        <v>0</v>
      </c>
      <c r="AZ70" s="43">
        <f t="shared" si="9"/>
        <v>0</v>
      </c>
      <c r="BA70" s="43">
        <f t="shared" si="9"/>
        <v>90</v>
      </c>
      <c r="BB70" s="43">
        <f t="shared" si="9"/>
        <v>0</v>
      </c>
      <c r="BC70" s="43">
        <f t="shared" si="9"/>
        <v>0</v>
      </c>
      <c r="BD70" s="43">
        <f t="shared" si="9"/>
        <v>0</v>
      </c>
      <c r="BE70" s="43">
        <f t="shared" si="9"/>
        <v>0</v>
      </c>
      <c r="BF70" s="41">
        <f t="shared" si="12"/>
        <v>570</v>
      </c>
      <c r="BG70" s="41" t="str">
        <f t="array" ref="BG70">_xlfn.IFS(
OR(MONTH(A70)=11,MONTH(A70)=12,MONTH(A70)=1,MONTH(A70)=2),"Winter",
OR(MONTH(A70)=3,MONTH(A70)=4),"Spring",
OR(MONTH(A70)=5,MONTH(A70)=6),"Summer",
OR(MONTH(A70)=7,MONTH(A70)=8,MONTH(A70)=9),"Monsoon",
MONTH(A70)=10,"Autumn/Festive",
TRUE,""
)</f>
        <v>Spring</v>
      </c>
    </row>
    <row r="71" spans="1:59" x14ac:dyDescent="0.3">
      <c r="A71" s="39">
        <v>45396</v>
      </c>
      <c r="B71" s="40" t="str">
        <f t="shared" si="10"/>
        <v>April</v>
      </c>
      <c r="C71" s="41">
        <v>22</v>
      </c>
      <c r="D71" s="41">
        <v>0</v>
      </c>
      <c r="E71" s="41">
        <v>0</v>
      </c>
      <c r="F71" s="41">
        <v>0</v>
      </c>
      <c r="G71" s="41">
        <v>0</v>
      </c>
      <c r="H71" s="41">
        <v>1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2">
        <v>110</v>
      </c>
      <c r="O71" s="42">
        <v>110</v>
      </c>
      <c r="P71" s="42">
        <v>26</v>
      </c>
      <c r="Q71" s="42">
        <v>65</v>
      </c>
      <c r="R71" s="42">
        <v>200</v>
      </c>
      <c r="S71" s="42">
        <v>230</v>
      </c>
      <c r="T71" s="42">
        <v>250</v>
      </c>
      <c r="U71" s="42">
        <v>170</v>
      </c>
      <c r="V71" s="42">
        <v>25</v>
      </c>
      <c r="W71" s="42">
        <v>4</v>
      </c>
      <c r="X71" s="42">
        <v>265</v>
      </c>
      <c r="Y71" s="43">
        <v>130</v>
      </c>
      <c r="Z71" s="43">
        <v>150</v>
      </c>
      <c r="AA71" s="43">
        <v>30</v>
      </c>
      <c r="AB71" s="43">
        <v>95</v>
      </c>
      <c r="AC71" s="43">
        <v>250</v>
      </c>
      <c r="AD71" s="43">
        <v>260</v>
      </c>
      <c r="AE71" s="43">
        <v>280</v>
      </c>
      <c r="AF71" s="43">
        <v>200</v>
      </c>
      <c r="AG71" s="43">
        <v>30</v>
      </c>
      <c r="AH71" s="43">
        <v>6</v>
      </c>
      <c r="AI71" s="43">
        <v>300</v>
      </c>
      <c r="AJ71" s="41">
        <f t="shared" si="11"/>
        <v>2860</v>
      </c>
      <c r="AK71" s="41">
        <f t="shared" si="8"/>
        <v>0</v>
      </c>
      <c r="AL71" s="41">
        <f t="shared" si="8"/>
        <v>0</v>
      </c>
      <c r="AM71" s="41">
        <f t="shared" si="8"/>
        <v>0</v>
      </c>
      <c r="AN71" s="41">
        <f t="shared" si="8"/>
        <v>0</v>
      </c>
      <c r="AO71" s="41">
        <f t="shared" si="8"/>
        <v>260</v>
      </c>
      <c r="AP71" s="41">
        <f t="shared" si="7"/>
        <v>0</v>
      </c>
      <c r="AQ71" s="41">
        <f t="shared" si="7"/>
        <v>0</v>
      </c>
      <c r="AR71" s="41">
        <f t="shared" si="7"/>
        <v>0</v>
      </c>
      <c r="AS71" s="41">
        <f t="shared" si="7"/>
        <v>0</v>
      </c>
      <c r="AT71" s="41">
        <f t="shared" si="7"/>
        <v>0</v>
      </c>
      <c r="AU71" s="43">
        <f t="shared" si="6"/>
        <v>440</v>
      </c>
      <c r="AV71" s="43">
        <f t="shared" si="6"/>
        <v>0</v>
      </c>
      <c r="AW71" s="43">
        <f t="shared" si="6"/>
        <v>0</v>
      </c>
      <c r="AX71" s="43">
        <f t="shared" si="6"/>
        <v>0</v>
      </c>
      <c r="AY71" s="43">
        <f t="shared" si="6"/>
        <v>0</v>
      </c>
      <c r="AZ71" s="43">
        <f t="shared" si="9"/>
        <v>30</v>
      </c>
      <c r="BA71" s="43">
        <f t="shared" si="9"/>
        <v>0</v>
      </c>
      <c r="BB71" s="43">
        <f t="shared" si="9"/>
        <v>0</v>
      </c>
      <c r="BC71" s="43">
        <f t="shared" si="9"/>
        <v>0</v>
      </c>
      <c r="BD71" s="43">
        <f t="shared" si="9"/>
        <v>0</v>
      </c>
      <c r="BE71" s="43">
        <f t="shared" si="9"/>
        <v>0</v>
      </c>
      <c r="BF71" s="41">
        <f t="shared" si="12"/>
        <v>470</v>
      </c>
      <c r="BG71" s="41" t="str">
        <f t="array" ref="BG71">_xlfn.IFS(
OR(MONTH(A71)=11,MONTH(A71)=12,MONTH(A71)=1,MONTH(A71)=2),"Winter",
OR(MONTH(A71)=3,MONTH(A71)=4),"Spring",
OR(MONTH(A71)=5,MONTH(A71)=6),"Summer",
OR(MONTH(A71)=7,MONTH(A71)=8,MONTH(A71)=9),"Monsoon",
MONTH(A71)=10,"Autumn/Festive",
TRUE,""
)</f>
        <v>Spring</v>
      </c>
    </row>
    <row r="72" spans="1:59" x14ac:dyDescent="0.3">
      <c r="A72" s="39">
        <v>45397</v>
      </c>
      <c r="B72" s="40" t="str">
        <f t="shared" si="10"/>
        <v>April</v>
      </c>
      <c r="C72" s="41">
        <v>12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2">
        <v>110</v>
      </c>
      <c r="O72" s="42">
        <v>110</v>
      </c>
      <c r="P72" s="42">
        <v>26</v>
      </c>
      <c r="Q72" s="42">
        <v>65</v>
      </c>
      <c r="R72" s="42">
        <v>200</v>
      </c>
      <c r="S72" s="42">
        <v>230</v>
      </c>
      <c r="T72" s="42">
        <v>250</v>
      </c>
      <c r="U72" s="42">
        <v>170</v>
      </c>
      <c r="V72" s="42">
        <v>25</v>
      </c>
      <c r="W72" s="42">
        <v>4</v>
      </c>
      <c r="X72" s="42">
        <v>265</v>
      </c>
      <c r="Y72" s="43">
        <v>130</v>
      </c>
      <c r="Z72" s="43">
        <v>150</v>
      </c>
      <c r="AA72" s="43">
        <v>30</v>
      </c>
      <c r="AB72" s="43">
        <v>95</v>
      </c>
      <c r="AC72" s="43">
        <v>250</v>
      </c>
      <c r="AD72" s="43">
        <v>260</v>
      </c>
      <c r="AE72" s="43">
        <v>280</v>
      </c>
      <c r="AF72" s="43">
        <v>200</v>
      </c>
      <c r="AG72" s="43">
        <v>30</v>
      </c>
      <c r="AH72" s="43">
        <v>6</v>
      </c>
      <c r="AI72" s="43">
        <v>300</v>
      </c>
      <c r="AJ72" s="41">
        <f t="shared" si="11"/>
        <v>1560</v>
      </c>
      <c r="AK72" s="41">
        <f t="shared" si="8"/>
        <v>0</v>
      </c>
      <c r="AL72" s="41">
        <f t="shared" si="8"/>
        <v>0</v>
      </c>
      <c r="AM72" s="41">
        <f t="shared" si="8"/>
        <v>0</v>
      </c>
      <c r="AN72" s="41">
        <f t="shared" si="8"/>
        <v>0</v>
      </c>
      <c r="AO72" s="41">
        <f t="shared" si="8"/>
        <v>0</v>
      </c>
      <c r="AP72" s="41">
        <f t="shared" si="7"/>
        <v>0</v>
      </c>
      <c r="AQ72" s="41">
        <f t="shared" si="7"/>
        <v>0</v>
      </c>
      <c r="AR72" s="41">
        <f t="shared" si="7"/>
        <v>0</v>
      </c>
      <c r="AS72" s="41">
        <f t="shared" si="7"/>
        <v>0</v>
      </c>
      <c r="AT72" s="41">
        <f t="shared" si="7"/>
        <v>0</v>
      </c>
      <c r="AU72" s="43">
        <f t="shared" si="6"/>
        <v>240</v>
      </c>
      <c r="AV72" s="43">
        <f t="shared" si="6"/>
        <v>0</v>
      </c>
      <c r="AW72" s="43">
        <f t="shared" si="6"/>
        <v>0</v>
      </c>
      <c r="AX72" s="43">
        <f t="shared" si="6"/>
        <v>0</v>
      </c>
      <c r="AY72" s="43">
        <f t="shared" si="6"/>
        <v>0</v>
      </c>
      <c r="AZ72" s="43">
        <f t="shared" si="9"/>
        <v>0</v>
      </c>
      <c r="BA72" s="43">
        <f t="shared" si="9"/>
        <v>0</v>
      </c>
      <c r="BB72" s="43">
        <f t="shared" si="9"/>
        <v>0</v>
      </c>
      <c r="BC72" s="43">
        <f t="shared" si="9"/>
        <v>0</v>
      </c>
      <c r="BD72" s="43">
        <f t="shared" si="9"/>
        <v>0</v>
      </c>
      <c r="BE72" s="43">
        <f t="shared" si="9"/>
        <v>0</v>
      </c>
      <c r="BF72" s="41">
        <f t="shared" si="12"/>
        <v>240</v>
      </c>
      <c r="BG72" s="41" t="str">
        <f t="array" ref="BG72">_xlfn.IFS(
OR(MONTH(A72)=11,MONTH(A72)=12,MONTH(A72)=1,MONTH(A72)=2),"Winter",
OR(MONTH(A72)=3,MONTH(A72)=4),"Spring",
OR(MONTH(A72)=5,MONTH(A72)=6),"Summer",
OR(MONTH(A72)=7,MONTH(A72)=8,MONTH(A72)=9),"Monsoon",
MONTH(A72)=10,"Autumn/Festive",
TRUE,""
)</f>
        <v>Spring</v>
      </c>
    </row>
    <row r="73" spans="1:59" x14ac:dyDescent="0.3">
      <c r="A73" s="39">
        <v>45398</v>
      </c>
      <c r="B73" s="40" t="str">
        <f t="shared" si="10"/>
        <v>April</v>
      </c>
      <c r="C73" s="41">
        <v>8</v>
      </c>
      <c r="D73" s="41">
        <v>2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2">
        <v>110</v>
      </c>
      <c r="O73" s="42">
        <v>110</v>
      </c>
      <c r="P73" s="42">
        <v>26</v>
      </c>
      <c r="Q73" s="42">
        <v>65</v>
      </c>
      <c r="R73" s="42">
        <v>200</v>
      </c>
      <c r="S73" s="42">
        <v>230</v>
      </c>
      <c r="T73" s="42">
        <v>250</v>
      </c>
      <c r="U73" s="42">
        <v>170</v>
      </c>
      <c r="V73" s="42">
        <v>25</v>
      </c>
      <c r="W73" s="42">
        <v>4</v>
      </c>
      <c r="X73" s="42">
        <v>265</v>
      </c>
      <c r="Y73" s="43">
        <v>130</v>
      </c>
      <c r="Z73" s="43">
        <v>150</v>
      </c>
      <c r="AA73" s="43">
        <v>30</v>
      </c>
      <c r="AB73" s="43">
        <v>95</v>
      </c>
      <c r="AC73" s="43">
        <v>250</v>
      </c>
      <c r="AD73" s="43">
        <v>260</v>
      </c>
      <c r="AE73" s="43">
        <v>280</v>
      </c>
      <c r="AF73" s="43">
        <v>200</v>
      </c>
      <c r="AG73" s="43">
        <v>30</v>
      </c>
      <c r="AH73" s="43">
        <v>6</v>
      </c>
      <c r="AI73" s="43">
        <v>300</v>
      </c>
      <c r="AJ73" s="41">
        <f t="shared" si="11"/>
        <v>1040</v>
      </c>
      <c r="AK73" s="41">
        <f t="shared" si="8"/>
        <v>300</v>
      </c>
      <c r="AL73" s="41">
        <f t="shared" si="8"/>
        <v>0</v>
      </c>
      <c r="AM73" s="41">
        <f t="shared" si="8"/>
        <v>0</v>
      </c>
      <c r="AN73" s="41">
        <f t="shared" si="8"/>
        <v>0</v>
      </c>
      <c r="AO73" s="41">
        <f t="shared" si="8"/>
        <v>0</v>
      </c>
      <c r="AP73" s="41">
        <f t="shared" si="7"/>
        <v>0</v>
      </c>
      <c r="AQ73" s="41">
        <f t="shared" si="7"/>
        <v>0</v>
      </c>
      <c r="AR73" s="41">
        <f t="shared" si="7"/>
        <v>0</v>
      </c>
      <c r="AS73" s="41">
        <f t="shared" si="7"/>
        <v>0</v>
      </c>
      <c r="AT73" s="41">
        <f t="shared" si="7"/>
        <v>0</v>
      </c>
      <c r="AU73" s="43">
        <f t="shared" si="6"/>
        <v>160</v>
      </c>
      <c r="AV73" s="43">
        <f t="shared" si="6"/>
        <v>80</v>
      </c>
      <c r="AW73" s="43">
        <f t="shared" si="6"/>
        <v>0</v>
      </c>
      <c r="AX73" s="43">
        <f t="shared" si="6"/>
        <v>0</v>
      </c>
      <c r="AY73" s="43">
        <f t="shared" si="6"/>
        <v>0</v>
      </c>
      <c r="AZ73" s="43">
        <f t="shared" si="9"/>
        <v>0</v>
      </c>
      <c r="BA73" s="43">
        <f t="shared" si="9"/>
        <v>0</v>
      </c>
      <c r="BB73" s="43">
        <f t="shared" si="9"/>
        <v>0</v>
      </c>
      <c r="BC73" s="43">
        <f t="shared" si="9"/>
        <v>0</v>
      </c>
      <c r="BD73" s="43">
        <f t="shared" si="9"/>
        <v>0</v>
      </c>
      <c r="BE73" s="43">
        <f t="shared" si="9"/>
        <v>0</v>
      </c>
      <c r="BF73" s="41">
        <f t="shared" si="12"/>
        <v>240</v>
      </c>
      <c r="BG73" s="41" t="str">
        <f t="array" ref="BG73">_xlfn.IFS(
OR(MONTH(A73)=11,MONTH(A73)=12,MONTH(A73)=1,MONTH(A73)=2),"Winter",
OR(MONTH(A73)=3,MONTH(A73)=4),"Spring",
OR(MONTH(A73)=5,MONTH(A73)=6),"Summer",
OR(MONTH(A73)=7,MONTH(A73)=8,MONTH(A73)=9),"Monsoon",
MONTH(A73)=10,"Autumn/Festive",
TRUE,""
)</f>
        <v>Spring</v>
      </c>
    </row>
    <row r="74" spans="1:59" x14ac:dyDescent="0.3">
      <c r="A74" s="39">
        <v>45399</v>
      </c>
      <c r="B74" s="40" t="str">
        <f t="shared" si="10"/>
        <v>April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2">
        <v>110</v>
      </c>
      <c r="O74" s="42">
        <v>110</v>
      </c>
      <c r="P74" s="42">
        <v>26</v>
      </c>
      <c r="Q74" s="42">
        <v>65</v>
      </c>
      <c r="R74" s="42">
        <v>200</v>
      </c>
      <c r="S74" s="42">
        <v>230</v>
      </c>
      <c r="T74" s="42">
        <v>250</v>
      </c>
      <c r="U74" s="42">
        <v>170</v>
      </c>
      <c r="V74" s="42">
        <v>25</v>
      </c>
      <c r="W74" s="42">
        <v>4</v>
      </c>
      <c r="X74" s="42">
        <v>265</v>
      </c>
      <c r="Y74" s="43">
        <v>130</v>
      </c>
      <c r="Z74" s="43">
        <v>150</v>
      </c>
      <c r="AA74" s="43">
        <v>30</v>
      </c>
      <c r="AB74" s="43">
        <v>95</v>
      </c>
      <c r="AC74" s="43">
        <v>250</v>
      </c>
      <c r="AD74" s="43">
        <v>260</v>
      </c>
      <c r="AE74" s="43">
        <v>280</v>
      </c>
      <c r="AF74" s="43">
        <v>200</v>
      </c>
      <c r="AG74" s="43">
        <v>30</v>
      </c>
      <c r="AH74" s="43">
        <v>6</v>
      </c>
      <c r="AI74" s="43">
        <v>300</v>
      </c>
      <c r="AJ74" s="41">
        <f t="shared" si="11"/>
        <v>0</v>
      </c>
      <c r="AK74" s="41">
        <f t="shared" si="8"/>
        <v>0</v>
      </c>
      <c r="AL74" s="41">
        <f t="shared" si="8"/>
        <v>0</v>
      </c>
      <c r="AM74" s="41">
        <f t="shared" si="8"/>
        <v>0</v>
      </c>
      <c r="AN74" s="41">
        <f t="shared" si="8"/>
        <v>0</v>
      </c>
      <c r="AO74" s="41">
        <f t="shared" si="8"/>
        <v>0</v>
      </c>
      <c r="AP74" s="41">
        <f t="shared" si="7"/>
        <v>0</v>
      </c>
      <c r="AQ74" s="41">
        <f t="shared" si="7"/>
        <v>0</v>
      </c>
      <c r="AR74" s="41">
        <f t="shared" si="7"/>
        <v>0</v>
      </c>
      <c r="AS74" s="41">
        <f t="shared" si="7"/>
        <v>0</v>
      </c>
      <c r="AT74" s="41">
        <f t="shared" si="7"/>
        <v>0</v>
      </c>
      <c r="AU74" s="43">
        <f t="shared" si="6"/>
        <v>0</v>
      </c>
      <c r="AV74" s="43">
        <f t="shared" si="6"/>
        <v>0</v>
      </c>
      <c r="AW74" s="43">
        <f t="shared" si="6"/>
        <v>0</v>
      </c>
      <c r="AX74" s="43">
        <f t="shared" si="6"/>
        <v>0</v>
      </c>
      <c r="AY74" s="43">
        <f t="shared" si="6"/>
        <v>0</v>
      </c>
      <c r="AZ74" s="43">
        <f t="shared" si="9"/>
        <v>0</v>
      </c>
      <c r="BA74" s="43">
        <f t="shared" si="9"/>
        <v>0</v>
      </c>
      <c r="BB74" s="43">
        <f t="shared" si="9"/>
        <v>0</v>
      </c>
      <c r="BC74" s="43">
        <f t="shared" si="9"/>
        <v>0</v>
      </c>
      <c r="BD74" s="43">
        <f t="shared" si="9"/>
        <v>0</v>
      </c>
      <c r="BE74" s="43">
        <f t="shared" si="9"/>
        <v>0</v>
      </c>
      <c r="BF74" s="41">
        <f t="shared" si="12"/>
        <v>0</v>
      </c>
      <c r="BG74" s="41" t="str">
        <f t="array" ref="BG74">_xlfn.IFS(
OR(MONTH(A74)=11,MONTH(A74)=12,MONTH(A74)=1,MONTH(A74)=2),"Winter",
OR(MONTH(A74)=3,MONTH(A74)=4),"Spring",
OR(MONTH(A74)=5,MONTH(A74)=6),"Summer",
OR(MONTH(A74)=7,MONTH(A74)=8,MONTH(A74)=9),"Monsoon",
MONTH(A74)=10,"Autumn/Festive",
TRUE,""
)</f>
        <v>Spring</v>
      </c>
    </row>
    <row r="75" spans="1:59" x14ac:dyDescent="0.3">
      <c r="A75" s="39">
        <v>45400</v>
      </c>
      <c r="B75" s="40" t="str">
        <f t="shared" si="10"/>
        <v>April</v>
      </c>
      <c r="C75" s="41">
        <v>14</v>
      </c>
      <c r="D75" s="41">
        <v>0</v>
      </c>
      <c r="E75" s="41">
        <v>0</v>
      </c>
      <c r="F75" s="41">
        <v>0</v>
      </c>
      <c r="G75" s="41">
        <v>0</v>
      </c>
      <c r="H75" s="41">
        <v>0</v>
      </c>
      <c r="I75" s="41">
        <v>1</v>
      </c>
      <c r="J75" s="41">
        <v>0</v>
      </c>
      <c r="K75" s="41">
        <v>1</v>
      </c>
      <c r="L75" s="41">
        <v>0</v>
      </c>
      <c r="M75" s="41">
        <v>0</v>
      </c>
      <c r="N75" s="42">
        <v>110</v>
      </c>
      <c r="O75" s="42">
        <v>110</v>
      </c>
      <c r="P75" s="42">
        <v>26</v>
      </c>
      <c r="Q75" s="42">
        <v>65</v>
      </c>
      <c r="R75" s="42">
        <v>200</v>
      </c>
      <c r="S75" s="42">
        <v>230</v>
      </c>
      <c r="T75" s="42">
        <v>250</v>
      </c>
      <c r="U75" s="42">
        <v>170</v>
      </c>
      <c r="V75" s="42">
        <v>25</v>
      </c>
      <c r="W75" s="42">
        <v>4</v>
      </c>
      <c r="X75" s="42">
        <v>265</v>
      </c>
      <c r="Y75" s="43">
        <v>130</v>
      </c>
      <c r="Z75" s="43">
        <v>150</v>
      </c>
      <c r="AA75" s="43">
        <v>30</v>
      </c>
      <c r="AB75" s="43">
        <v>95</v>
      </c>
      <c r="AC75" s="43">
        <v>250</v>
      </c>
      <c r="AD75" s="43">
        <v>260</v>
      </c>
      <c r="AE75" s="43">
        <v>280</v>
      </c>
      <c r="AF75" s="43">
        <v>200</v>
      </c>
      <c r="AG75" s="43">
        <v>30</v>
      </c>
      <c r="AH75" s="43">
        <v>6</v>
      </c>
      <c r="AI75" s="43">
        <v>300</v>
      </c>
      <c r="AJ75" s="41">
        <f t="shared" si="11"/>
        <v>1820</v>
      </c>
      <c r="AK75" s="41">
        <f t="shared" si="8"/>
        <v>0</v>
      </c>
      <c r="AL75" s="41">
        <f t="shared" si="8"/>
        <v>0</v>
      </c>
      <c r="AM75" s="41">
        <f t="shared" si="8"/>
        <v>0</v>
      </c>
      <c r="AN75" s="41">
        <f t="shared" si="8"/>
        <v>0</v>
      </c>
      <c r="AO75" s="41">
        <f t="shared" si="8"/>
        <v>0</v>
      </c>
      <c r="AP75" s="41">
        <f t="shared" si="7"/>
        <v>280</v>
      </c>
      <c r="AQ75" s="41">
        <f t="shared" si="7"/>
        <v>0</v>
      </c>
      <c r="AR75" s="41">
        <f t="shared" si="7"/>
        <v>30</v>
      </c>
      <c r="AS75" s="41">
        <f t="shared" si="7"/>
        <v>0</v>
      </c>
      <c r="AT75" s="41">
        <f t="shared" si="7"/>
        <v>0</v>
      </c>
      <c r="AU75" s="43">
        <f t="shared" si="6"/>
        <v>280</v>
      </c>
      <c r="AV75" s="43">
        <f t="shared" si="6"/>
        <v>0</v>
      </c>
      <c r="AW75" s="43">
        <f t="shared" si="6"/>
        <v>0</v>
      </c>
      <c r="AX75" s="43">
        <f t="shared" si="6"/>
        <v>0</v>
      </c>
      <c r="AY75" s="43">
        <f t="shared" si="6"/>
        <v>0</v>
      </c>
      <c r="AZ75" s="43">
        <f t="shared" si="9"/>
        <v>0</v>
      </c>
      <c r="BA75" s="43">
        <f t="shared" si="9"/>
        <v>30</v>
      </c>
      <c r="BB75" s="43">
        <f t="shared" si="9"/>
        <v>0</v>
      </c>
      <c r="BC75" s="43">
        <f t="shared" si="9"/>
        <v>5</v>
      </c>
      <c r="BD75" s="43">
        <f t="shared" si="9"/>
        <v>0</v>
      </c>
      <c r="BE75" s="43">
        <f t="shared" si="9"/>
        <v>0</v>
      </c>
      <c r="BF75" s="41">
        <f t="shared" si="12"/>
        <v>315</v>
      </c>
      <c r="BG75" s="41" t="str">
        <f t="array" ref="BG75">_xlfn.IFS(
OR(MONTH(A75)=11,MONTH(A75)=12,MONTH(A75)=1,MONTH(A75)=2),"Winter",
OR(MONTH(A75)=3,MONTH(A75)=4),"Spring",
OR(MONTH(A75)=5,MONTH(A75)=6),"Summer",
OR(MONTH(A75)=7,MONTH(A75)=8,MONTH(A75)=9),"Monsoon",
MONTH(A75)=10,"Autumn/Festive",
TRUE,""
)</f>
        <v>Spring</v>
      </c>
    </row>
    <row r="76" spans="1:59" x14ac:dyDescent="0.3">
      <c r="A76" s="39">
        <v>45401</v>
      </c>
      <c r="B76" s="40" t="str">
        <f t="shared" si="10"/>
        <v>April</v>
      </c>
      <c r="C76" s="41">
        <v>0</v>
      </c>
      <c r="D76" s="41">
        <v>0</v>
      </c>
      <c r="E76" s="41">
        <v>0</v>
      </c>
      <c r="F76" s="41">
        <v>0</v>
      </c>
      <c r="G76" s="41">
        <v>0</v>
      </c>
      <c r="H76" s="41">
        <v>0</v>
      </c>
      <c r="I76" s="41">
        <v>0</v>
      </c>
      <c r="J76" s="41">
        <v>0</v>
      </c>
      <c r="K76" s="41">
        <v>0</v>
      </c>
      <c r="L76" s="41">
        <v>0</v>
      </c>
      <c r="M76" s="41">
        <v>0</v>
      </c>
      <c r="N76" s="42">
        <v>110</v>
      </c>
      <c r="O76" s="42">
        <v>110</v>
      </c>
      <c r="P76" s="42">
        <v>26</v>
      </c>
      <c r="Q76" s="42">
        <v>65</v>
      </c>
      <c r="R76" s="42">
        <v>200</v>
      </c>
      <c r="S76" s="42">
        <v>230</v>
      </c>
      <c r="T76" s="42">
        <v>250</v>
      </c>
      <c r="U76" s="42">
        <v>170</v>
      </c>
      <c r="V76" s="42">
        <v>25</v>
      </c>
      <c r="W76" s="42">
        <v>4</v>
      </c>
      <c r="X76" s="42">
        <v>265</v>
      </c>
      <c r="Y76" s="43">
        <v>130</v>
      </c>
      <c r="Z76" s="43">
        <v>150</v>
      </c>
      <c r="AA76" s="43">
        <v>30</v>
      </c>
      <c r="AB76" s="43">
        <v>95</v>
      </c>
      <c r="AC76" s="43">
        <v>250</v>
      </c>
      <c r="AD76" s="43">
        <v>260</v>
      </c>
      <c r="AE76" s="43">
        <v>280</v>
      </c>
      <c r="AF76" s="43">
        <v>200</v>
      </c>
      <c r="AG76" s="43">
        <v>30</v>
      </c>
      <c r="AH76" s="43">
        <v>6</v>
      </c>
      <c r="AI76" s="43">
        <v>300</v>
      </c>
      <c r="AJ76" s="41">
        <f t="shared" si="11"/>
        <v>0</v>
      </c>
      <c r="AK76" s="41">
        <f t="shared" si="8"/>
        <v>0</v>
      </c>
      <c r="AL76" s="41">
        <f t="shared" si="8"/>
        <v>0</v>
      </c>
      <c r="AM76" s="41">
        <f t="shared" si="8"/>
        <v>0</v>
      </c>
      <c r="AN76" s="41">
        <f t="shared" si="8"/>
        <v>0</v>
      </c>
      <c r="AO76" s="41">
        <f t="shared" si="8"/>
        <v>0</v>
      </c>
      <c r="AP76" s="41">
        <f t="shared" si="7"/>
        <v>0</v>
      </c>
      <c r="AQ76" s="41">
        <f t="shared" si="7"/>
        <v>0</v>
      </c>
      <c r="AR76" s="41">
        <f t="shared" si="7"/>
        <v>0</v>
      </c>
      <c r="AS76" s="41">
        <f t="shared" si="7"/>
        <v>0</v>
      </c>
      <c r="AT76" s="41">
        <f t="shared" si="7"/>
        <v>0</v>
      </c>
      <c r="AU76" s="43">
        <f t="shared" si="6"/>
        <v>0</v>
      </c>
      <c r="AV76" s="43">
        <f t="shared" si="6"/>
        <v>0</v>
      </c>
      <c r="AW76" s="43">
        <f t="shared" si="6"/>
        <v>0</v>
      </c>
      <c r="AX76" s="43">
        <f t="shared" si="6"/>
        <v>0</v>
      </c>
      <c r="AY76" s="43">
        <f t="shared" si="6"/>
        <v>0</v>
      </c>
      <c r="AZ76" s="43">
        <f t="shared" si="9"/>
        <v>0</v>
      </c>
      <c r="BA76" s="43">
        <f t="shared" si="9"/>
        <v>0</v>
      </c>
      <c r="BB76" s="43">
        <f t="shared" si="9"/>
        <v>0</v>
      </c>
      <c r="BC76" s="43">
        <f t="shared" si="9"/>
        <v>0</v>
      </c>
      <c r="BD76" s="43">
        <f t="shared" si="9"/>
        <v>0</v>
      </c>
      <c r="BE76" s="43">
        <f t="shared" si="9"/>
        <v>0</v>
      </c>
      <c r="BF76" s="41">
        <f t="shared" si="12"/>
        <v>0</v>
      </c>
      <c r="BG76" s="41" t="str">
        <f t="array" ref="BG76">_xlfn.IFS(
OR(MONTH(A76)=11,MONTH(A76)=12,MONTH(A76)=1,MONTH(A76)=2),"Winter",
OR(MONTH(A76)=3,MONTH(A76)=4),"Spring",
OR(MONTH(A76)=5,MONTH(A76)=6),"Summer",
OR(MONTH(A76)=7,MONTH(A76)=8,MONTH(A76)=9),"Monsoon",
MONTH(A76)=10,"Autumn/Festive",
TRUE,""
)</f>
        <v>Spring</v>
      </c>
    </row>
    <row r="77" spans="1:59" x14ac:dyDescent="0.3">
      <c r="A77" s="39">
        <v>45402</v>
      </c>
      <c r="B77" s="40" t="str">
        <f t="shared" si="10"/>
        <v>April</v>
      </c>
      <c r="C77" s="41">
        <v>5</v>
      </c>
      <c r="D77" s="41">
        <v>0</v>
      </c>
      <c r="E77" s="41">
        <v>0</v>
      </c>
      <c r="F77" s="41">
        <v>5</v>
      </c>
      <c r="G77" s="41">
        <v>0</v>
      </c>
      <c r="H77" s="41">
        <v>2</v>
      </c>
      <c r="I77" s="41">
        <v>0</v>
      </c>
      <c r="J77" s="41">
        <v>0</v>
      </c>
      <c r="K77" s="41">
        <v>1</v>
      </c>
      <c r="L77" s="41">
        <v>0</v>
      </c>
      <c r="M77" s="41">
        <v>0</v>
      </c>
      <c r="N77" s="42">
        <v>110</v>
      </c>
      <c r="O77" s="42">
        <v>110</v>
      </c>
      <c r="P77" s="42">
        <v>26</v>
      </c>
      <c r="Q77" s="42">
        <v>65</v>
      </c>
      <c r="R77" s="42">
        <v>200</v>
      </c>
      <c r="S77" s="42">
        <v>230</v>
      </c>
      <c r="T77" s="42">
        <v>250</v>
      </c>
      <c r="U77" s="42">
        <v>170</v>
      </c>
      <c r="V77" s="42">
        <v>25</v>
      </c>
      <c r="W77" s="42">
        <v>4</v>
      </c>
      <c r="X77" s="42">
        <v>265</v>
      </c>
      <c r="Y77" s="43">
        <v>130</v>
      </c>
      <c r="Z77" s="43">
        <v>150</v>
      </c>
      <c r="AA77" s="43">
        <v>30</v>
      </c>
      <c r="AB77" s="43">
        <v>95</v>
      </c>
      <c r="AC77" s="43">
        <v>250</v>
      </c>
      <c r="AD77" s="43">
        <v>260</v>
      </c>
      <c r="AE77" s="43">
        <v>280</v>
      </c>
      <c r="AF77" s="43">
        <v>200</v>
      </c>
      <c r="AG77" s="43">
        <v>30</v>
      </c>
      <c r="AH77" s="43">
        <v>6</v>
      </c>
      <c r="AI77" s="43">
        <v>300</v>
      </c>
      <c r="AJ77" s="41">
        <f t="shared" si="11"/>
        <v>650</v>
      </c>
      <c r="AK77" s="41">
        <f t="shared" si="8"/>
        <v>0</v>
      </c>
      <c r="AL77" s="41">
        <f t="shared" si="8"/>
        <v>0</v>
      </c>
      <c r="AM77" s="41">
        <f t="shared" si="8"/>
        <v>475</v>
      </c>
      <c r="AN77" s="41">
        <f t="shared" si="8"/>
        <v>0</v>
      </c>
      <c r="AO77" s="41">
        <f t="shared" si="8"/>
        <v>520</v>
      </c>
      <c r="AP77" s="41">
        <f t="shared" si="7"/>
        <v>0</v>
      </c>
      <c r="AQ77" s="41">
        <f t="shared" si="7"/>
        <v>0</v>
      </c>
      <c r="AR77" s="41">
        <f t="shared" si="7"/>
        <v>30</v>
      </c>
      <c r="AS77" s="41">
        <f t="shared" si="7"/>
        <v>0</v>
      </c>
      <c r="AT77" s="41">
        <f t="shared" si="7"/>
        <v>0</v>
      </c>
      <c r="AU77" s="43">
        <f t="shared" si="6"/>
        <v>100</v>
      </c>
      <c r="AV77" s="43">
        <f t="shared" si="6"/>
        <v>0</v>
      </c>
      <c r="AW77" s="43">
        <f t="shared" si="6"/>
        <v>0</v>
      </c>
      <c r="AX77" s="43">
        <f t="shared" si="6"/>
        <v>150</v>
      </c>
      <c r="AY77" s="43">
        <f t="shared" si="6"/>
        <v>0</v>
      </c>
      <c r="AZ77" s="43">
        <f t="shared" si="9"/>
        <v>60</v>
      </c>
      <c r="BA77" s="43">
        <f t="shared" si="9"/>
        <v>0</v>
      </c>
      <c r="BB77" s="43">
        <f t="shared" si="9"/>
        <v>0</v>
      </c>
      <c r="BC77" s="43">
        <f t="shared" si="9"/>
        <v>5</v>
      </c>
      <c r="BD77" s="43">
        <f t="shared" si="9"/>
        <v>0</v>
      </c>
      <c r="BE77" s="43">
        <f t="shared" si="9"/>
        <v>0</v>
      </c>
      <c r="BF77" s="41">
        <f t="shared" si="12"/>
        <v>315</v>
      </c>
      <c r="BG77" s="41" t="str">
        <f t="array" ref="BG77">_xlfn.IFS(
OR(MONTH(A77)=11,MONTH(A77)=12,MONTH(A77)=1,MONTH(A77)=2),"Winter",
OR(MONTH(A77)=3,MONTH(A77)=4),"Spring",
OR(MONTH(A77)=5,MONTH(A77)=6),"Summer",
OR(MONTH(A77)=7,MONTH(A77)=8,MONTH(A77)=9),"Monsoon",
MONTH(A77)=10,"Autumn/Festive",
TRUE,""
)</f>
        <v>Spring</v>
      </c>
    </row>
    <row r="78" spans="1:59" x14ac:dyDescent="0.3">
      <c r="A78" s="39">
        <v>45403</v>
      </c>
      <c r="B78" s="40" t="str">
        <f t="shared" si="10"/>
        <v>April</v>
      </c>
      <c r="C78" s="41">
        <v>8</v>
      </c>
      <c r="D78" s="41">
        <v>0</v>
      </c>
      <c r="E78" s="41">
        <v>0</v>
      </c>
      <c r="F78" s="41">
        <v>5</v>
      </c>
      <c r="G78" s="41">
        <v>0</v>
      </c>
      <c r="H78" s="41">
        <v>0</v>
      </c>
      <c r="I78" s="41">
        <v>1.5</v>
      </c>
      <c r="J78" s="41">
        <v>2</v>
      </c>
      <c r="K78" s="41">
        <v>0</v>
      </c>
      <c r="L78" s="41">
        <v>0</v>
      </c>
      <c r="M78" s="41">
        <v>0</v>
      </c>
      <c r="N78" s="42">
        <v>110</v>
      </c>
      <c r="O78" s="42">
        <v>110</v>
      </c>
      <c r="P78" s="42">
        <v>26</v>
      </c>
      <c r="Q78" s="42">
        <v>65</v>
      </c>
      <c r="R78" s="42">
        <v>200</v>
      </c>
      <c r="S78" s="42">
        <v>230</v>
      </c>
      <c r="T78" s="42">
        <v>250</v>
      </c>
      <c r="U78" s="42">
        <v>170</v>
      </c>
      <c r="V78" s="42">
        <v>25</v>
      </c>
      <c r="W78" s="42">
        <v>4</v>
      </c>
      <c r="X78" s="42">
        <v>265</v>
      </c>
      <c r="Y78" s="43">
        <v>130</v>
      </c>
      <c r="Z78" s="43">
        <v>150</v>
      </c>
      <c r="AA78" s="43">
        <v>30</v>
      </c>
      <c r="AB78" s="43">
        <v>95</v>
      </c>
      <c r="AC78" s="43">
        <v>250</v>
      </c>
      <c r="AD78" s="43">
        <v>260</v>
      </c>
      <c r="AE78" s="43">
        <v>280</v>
      </c>
      <c r="AF78" s="43">
        <v>200</v>
      </c>
      <c r="AG78" s="43">
        <v>30</v>
      </c>
      <c r="AH78" s="43">
        <v>6</v>
      </c>
      <c r="AI78" s="43">
        <v>300</v>
      </c>
      <c r="AJ78" s="41">
        <f t="shared" si="11"/>
        <v>1040</v>
      </c>
      <c r="AK78" s="41">
        <f t="shared" si="8"/>
        <v>0</v>
      </c>
      <c r="AL78" s="41">
        <f t="shared" si="8"/>
        <v>0</v>
      </c>
      <c r="AM78" s="41">
        <f t="shared" si="8"/>
        <v>475</v>
      </c>
      <c r="AN78" s="41">
        <f t="shared" si="8"/>
        <v>0</v>
      </c>
      <c r="AO78" s="41">
        <f t="shared" si="8"/>
        <v>0</v>
      </c>
      <c r="AP78" s="41">
        <f t="shared" si="7"/>
        <v>420</v>
      </c>
      <c r="AQ78" s="41">
        <f t="shared" si="7"/>
        <v>400</v>
      </c>
      <c r="AR78" s="41">
        <f t="shared" si="7"/>
        <v>0</v>
      </c>
      <c r="AS78" s="41">
        <f t="shared" si="7"/>
        <v>0</v>
      </c>
      <c r="AT78" s="41">
        <f t="shared" si="7"/>
        <v>0</v>
      </c>
      <c r="AU78" s="43">
        <f t="shared" si="6"/>
        <v>160</v>
      </c>
      <c r="AV78" s="43">
        <f t="shared" si="6"/>
        <v>0</v>
      </c>
      <c r="AW78" s="43">
        <f t="shared" si="6"/>
        <v>0</v>
      </c>
      <c r="AX78" s="43">
        <f t="shared" si="6"/>
        <v>150</v>
      </c>
      <c r="AY78" s="43">
        <f t="shared" si="6"/>
        <v>0</v>
      </c>
      <c r="AZ78" s="43">
        <f t="shared" si="9"/>
        <v>0</v>
      </c>
      <c r="BA78" s="43">
        <f t="shared" si="9"/>
        <v>45</v>
      </c>
      <c r="BB78" s="43">
        <f t="shared" si="9"/>
        <v>60</v>
      </c>
      <c r="BC78" s="43">
        <f t="shared" si="9"/>
        <v>0</v>
      </c>
      <c r="BD78" s="43">
        <f t="shared" si="9"/>
        <v>0</v>
      </c>
      <c r="BE78" s="43">
        <f t="shared" si="9"/>
        <v>0</v>
      </c>
      <c r="BF78" s="41">
        <f t="shared" si="12"/>
        <v>415</v>
      </c>
      <c r="BG78" s="41" t="str">
        <f t="array" ref="BG78">_xlfn.IFS(
OR(MONTH(A78)=11,MONTH(A78)=12,MONTH(A78)=1,MONTH(A78)=2),"Winter",
OR(MONTH(A78)=3,MONTH(A78)=4),"Spring",
OR(MONTH(A78)=5,MONTH(A78)=6),"Summer",
OR(MONTH(A78)=7,MONTH(A78)=8,MONTH(A78)=9),"Monsoon",
MONTH(A78)=10,"Autumn/Festive",
TRUE,""
)</f>
        <v>Spring</v>
      </c>
    </row>
    <row r="79" spans="1:59" x14ac:dyDescent="0.3">
      <c r="A79" s="39">
        <v>45404</v>
      </c>
      <c r="B79" s="40" t="str">
        <f t="shared" si="10"/>
        <v>April</v>
      </c>
      <c r="C79" s="41">
        <v>16</v>
      </c>
      <c r="D79" s="41">
        <v>0</v>
      </c>
      <c r="E79" s="41">
        <v>0</v>
      </c>
      <c r="F79" s="41">
        <v>0</v>
      </c>
      <c r="G79" s="41">
        <v>0</v>
      </c>
      <c r="H79" s="41">
        <v>0</v>
      </c>
      <c r="I79" s="41">
        <v>0</v>
      </c>
      <c r="J79" s="41">
        <v>0</v>
      </c>
      <c r="K79" s="41">
        <v>0</v>
      </c>
      <c r="L79" s="41">
        <v>0</v>
      </c>
      <c r="M79" s="41">
        <v>0</v>
      </c>
      <c r="N79" s="42">
        <v>110</v>
      </c>
      <c r="O79" s="42">
        <v>110</v>
      </c>
      <c r="P79" s="42">
        <v>26</v>
      </c>
      <c r="Q79" s="42">
        <v>65</v>
      </c>
      <c r="R79" s="42">
        <v>200</v>
      </c>
      <c r="S79" s="42">
        <v>230</v>
      </c>
      <c r="T79" s="42">
        <v>250</v>
      </c>
      <c r="U79" s="42">
        <v>170</v>
      </c>
      <c r="V79" s="42">
        <v>25</v>
      </c>
      <c r="W79" s="42">
        <v>4</v>
      </c>
      <c r="X79" s="42">
        <v>265</v>
      </c>
      <c r="Y79" s="43">
        <v>130</v>
      </c>
      <c r="Z79" s="43">
        <v>150</v>
      </c>
      <c r="AA79" s="43">
        <v>30</v>
      </c>
      <c r="AB79" s="43">
        <v>95</v>
      </c>
      <c r="AC79" s="43">
        <v>250</v>
      </c>
      <c r="AD79" s="43">
        <v>260</v>
      </c>
      <c r="AE79" s="43">
        <v>280</v>
      </c>
      <c r="AF79" s="43">
        <v>200</v>
      </c>
      <c r="AG79" s="43">
        <v>30</v>
      </c>
      <c r="AH79" s="43">
        <v>6</v>
      </c>
      <c r="AI79" s="43">
        <v>300</v>
      </c>
      <c r="AJ79" s="41">
        <f t="shared" si="11"/>
        <v>2080</v>
      </c>
      <c r="AK79" s="41">
        <f t="shared" si="8"/>
        <v>0</v>
      </c>
      <c r="AL79" s="41">
        <f t="shared" si="8"/>
        <v>0</v>
      </c>
      <c r="AM79" s="41">
        <f t="shared" si="8"/>
        <v>0</v>
      </c>
      <c r="AN79" s="41">
        <f t="shared" si="8"/>
        <v>0</v>
      </c>
      <c r="AO79" s="41">
        <f t="shared" si="8"/>
        <v>0</v>
      </c>
      <c r="AP79" s="41">
        <f t="shared" si="7"/>
        <v>0</v>
      </c>
      <c r="AQ79" s="41">
        <f t="shared" si="7"/>
        <v>0</v>
      </c>
      <c r="AR79" s="41">
        <f t="shared" si="7"/>
        <v>0</v>
      </c>
      <c r="AS79" s="41">
        <f t="shared" si="7"/>
        <v>0</v>
      </c>
      <c r="AT79" s="41">
        <f t="shared" si="7"/>
        <v>0</v>
      </c>
      <c r="AU79" s="43">
        <f t="shared" si="6"/>
        <v>320</v>
      </c>
      <c r="AV79" s="43">
        <f t="shared" si="6"/>
        <v>0</v>
      </c>
      <c r="AW79" s="43">
        <f t="shared" si="6"/>
        <v>0</v>
      </c>
      <c r="AX79" s="43">
        <f t="shared" si="6"/>
        <v>0</v>
      </c>
      <c r="AY79" s="43">
        <f t="shared" si="6"/>
        <v>0</v>
      </c>
      <c r="AZ79" s="43">
        <f t="shared" si="9"/>
        <v>0</v>
      </c>
      <c r="BA79" s="43">
        <f t="shared" si="9"/>
        <v>0</v>
      </c>
      <c r="BB79" s="43">
        <f t="shared" si="9"/>
        <v>0</v>
      </c>
      <c r="BC79" s="43">
        <f t="shared" si="9"/>
        <v>0</v>
      </c>
      <c r="BD79" s="43">
        <f t="shared" si="9"/>
        <v>0</v>
      </c>
      <c r="BE79" s="43">
        <f t="shared" si="9"/>
        <v>0</v>
      </c>
      <c r="BF79" s="41">
        <f t="shared" si="12"/>
        <v>320</v>
      </c>
      <c r="BG79" s="41" t="str">
        <f t="array" ref="BG79">_xlfn.IFS(
OR(MONTH(A79)=11,MONTH(A79)=12,MONTH(A79)=1,MONTH(A79)=2),"Winter",
OR(MONTH(A79)=3,MONTH(A79)=4),"Spring",
OR(MONTH(A79)=5,MONTH(A79)=6),"Summer",
OR(MONTH(A79)=7,MONTH(A79)=8,MONTH(A79)=9),"Monsoon",
MONTH(A79)=10,"Autumn/Festive",
TRUE,""
)</f>
        <v>Spring</v>
      </c>
    </row>
    <row r="80" spans="1:59" x14ac:dyDescent="0.3">
      <c r="A80" s="39">
        <v>45405</v>
      </c>
      <c r="B80" s="40" t="str">
        <f t="shared" si="10"/>
        <v>April</v>
      </c>
      <c r="C80" s="41">
        <v>8</v>
      </c>
      <c r="D80" s="41">
        <v>3</v>
      </c>
      <c r="E80" s="41">
        <v>0</v>
      </c>
      <c r="F80" s="41">
        <v>0</v>
      </c>
      <c r="G80" s="41">
        <v>2</v>
      </c>
      <c r="H80" s="41">
        <v>0</v>
      </c>
      <c r="I80" s="41">
        <v>1</v>
      </c>
      <c r="J80" s="41">
        <v>0</v>
      </c>
      <c r="K80" s="41">
        <v>0</v>
      </c>
      <c r="L80" s="41">
        <v>0</v>
      </c>
      <c r="M80" s="41">
        <v>0</v>
      </c>
      <c r="N80" s="42">
        <v>110</v>
      </c>
      <c r="O80" s="42">
        <v>110</v>
      </c>
      <c r="P80" s="42">
        <v>26</v>
      </c>
      <c r="Q80" s="42">
        <v>65</v>
      </c>
      <c r="R80" s="42">
        <v>200</v>
      </c>
      <c r="S80" s="42">
        <v>230</v>
      </c>
      <c r="T80" s="42">
        <v>250</v>
      </c>
      <c r="U80" s="42">
        <v>170</v>
      </c>
      <c r="V80" s="42">
        <v>25</v>
      </c>
      <c r="W80" s="42">
        <v>4</v>
      </c>
      <c r="X80" s="42">
        <v>265</v>
      </c>
      <c r="Y80" s="43">
        <v>130</v>
      </c>
      <c r="Z80" s="43">
        <v>150</v>
      </c>
      <c r="AA80" s="43">
        <v>30</v>
      </c>
      <c r="AB80" s="43">
        <v>95</v>
      </c>
      <c r="AC80" s="43">
        <v>250</v>
      </c>
      <c r="AD80" s="43">
        <v>260</v>
      </c>
      <c r="AE80" s="43">
        <v>280</v>
      </c>
      <c r="AF80" s="43">
        <v>200</v>
      </c>
      <c r="AG80" s="43">
        <v>30</v>
      </c>
      <c r="AH80" s="43">
        <v>6</v>
      </c>
      <c r="AI80" s="43">
        <v>300</v>
      </c>
      <c r="AJ80" s="41">
        <f t="shared" si="11"/>
        <v>1040</v>
      </c>
      <c r="AK80" s="41">
        <f t="shared" si="8"/>
        <v>450</v>
      </c>
      <c r="AL80" s="41">
        <f t="shared" si="8"/>
        <v>0</v>
      </c>
      <c r="AM80" s="41">
        <f t="shared" si="8"/>
        <v>0</v>
      </c>
      <c r="AN80" s="41">
        <f t="shared" si="8"/>
        <v>500</v>
      </c>
      <c r="AO80" s="41">
        <f t="shared" si="8"/>
        <v>0</v>
      </c>
      <c r="AP80" s="41">
        <f t="shared" ref="AP80:AT143" si="13">I80*AE80</f>
        <v>280</v>
      </c>
      <c r="AQ80" s="41">
        <f t="shared" si="13"/>
        <v>0</v>
      </c>
      <c r="AR80" s="41">
        <f t="shared" si="13"/>
        <v>0</v>
      </c>
      <c r="AS80" s="41">
        <f t="shared" si="13"/>
        <v>0</v>
      </c>
      <c r="AT80" s="41">
        <f t="shared" si="13"/>
        <v>0</v>
      </c>
      <c r="AU80" s="43">
        <f t="shared" si="6"/>
        <v>160</v>
      </c>
      <c r="AV80" s="43">
        <f t="shared" si="6"/>
        <v>120</v>
      </c>
      <c r="AW80" s="43">
        <f t="shared" si="6"/>
        <v>0</v>
      </c>
      <c r="AX80" s="43">
        <f t="shared" si="6"/>
        <v>0</v>
      </c>
      <c r="AY80" s="43">
        <f t="shared" si="6"/>
        <v>100</v>
      </c>
      <c r="AZ80" s="43">
        <f t="shared" si="9"/>
        <v>0</v>
      </c>
      <c r="BA80" s="43">
        <f t="shared" si="9"/>
        <v>30</v>
      </c>
      <c r="BB80" s="43">
        <f t="shared" si="9"/>
        <v>0</v>
      </c>
      <c r="BC80" s="43">
        <f t="shared" si="9"/>
        <v>0</v>
      </c>
      <c r="BD80" s="43">
        <f t="shared" si="9"/>
        <v>0</v>
      </c>
      <c r="BE80" s="43">
        <f t="shared" si="9"/>
        <v>0</v>
      </c>
      <c r="BF80" s="41">
        <f t="shared" si="12"/>
        <v>410</v>
      </c>
      <c r="BG80" s="41" t="str">
        <f t="array" ref="BG80">_xlfn.IFS(
OR(MONTH(A80)=11,MONTH(A80)=12,MONTH(A80)=1,MONTH(A80)=2),"Winter",
OR(MONTH(A80)=3,MONTH(A80)=4),"Spring",
OR(MONTH(A80)=5,MONTH(A80)=6),"Summer",
OR(MONTH(A80)=7,MONTH(A80)=8,MONTH(A80)=9),"Monsoon",
MONTH(A80)=10,"Autumn/Festive",
TRUE,""
)</f>
        <v>Spring</v>
      </c>
    </row>
    <row r="81" spans="1:59" x14ac:dyDescent="0.3">
      <c r="A81" s="39">
        <v>45406</v>
      </c>
      <c r="B81" s="40" t="str">
        <f t="shared" si="10"/>
        <v>April</v>
      </c>
      <c r="C81" s="41">
        <v>0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0</v>
      </c>
      <c r="K81" s="41">
        <v>0</v>
      </c>
      <c r="L81" s="41">
        <v>0</v>
      </c>
      <c r="M81" s="41">
        <v>0</v>
      </c>
      <c r="N81" s="42">
        <v>110</v>
      </c>
      <c r="O81" s="42">
        <v>110</v>
      </c>
      <c r="P81" s="42">
        <v>26</v>
      </c>
      <c r="Q81" s="42">
        <v>65</v>
      </c>
      <c r="R81" s="42">
        <v>200</v>
      </c>
      <c r="S81" s="42">
        <v>230</v>
      </c>
      <c r="T81" s="42">
        <v>250</v>
      </c>
      <c r="U81" s="42">
        <v>170</v>
      </c>
      <c r="V81" s="42">
        <v>25</v>
      </c>
      <c r="W81" s="42">
        <v>4</v>
      </c>
      <c r="X81" s="42">
        <v>265</v>
      </c>
      <c r="Y81" s="43">
        <v>130</v>
      </c>
      <c r="Z81" s="43">
        <v>150</v>
      </c>
      <c r="AA81" s="43">
        <v>30</v>
      </c>
      <c r="AB81" s="43">
        <v>95</v>
      </c>
      <c r="AC81" s="43">
        <v>250</v>
      </c>
      <c r="AD81" s="43">
        <v>260</v>
      </c>
      <c r="AE81" s="43">
        <v>280</v>
      </c>
      <c r="AF81" s="43">
        <v>200</v>
      </c>
      <c r="AG81" s="43">
        <v>30</v>
      </c>
      <c r="AH81" s="43">
        <v>6</v>
      </c>
      <c r="AI81" s="43">
        <v>300</v>
      </c>
      <c r="AJ81" s="41">
        <f t="shared" si="11"/>
        <v>0</v>
      </c>
      <c r="AK81" s="41">
        <f t="shared" ref="AK81:AO144" si="14">D81*Z81</f>
        <v>0</v>
      </c>
      <c r="AL81" s="41">
        <f t="shared" si="14"/>
        <v>0</v>
      </c>
      <c r="AM81" s="41">
        <f t="shared" si="14"/>
        <v>0</v>
      </c>
      <c r="AN81" s="41">
        <f t="shared" si="14"/>
        <v>0</v>
      </c>
      <c r="AO81" s="41">
        <f t="shared" si="14"/>
        <v>0</v>
      </c>
      <c r="AP81" s="41">
        <f t="shared" si="13"/>
        <v>0</v>
      </c>
      <c r="AQ81" s="41">
        <f t="shared" si="13"/>
        <v>0</v>
      </c>
      <c r="AR81" s="41">
        <f t="shared" si="13"/>
        <v>0</v>
      </c>
      <c r="AS81" s="41">
        <f t="shared" si="13"/>
        <v>0</v>
      </c>
      <c r="AT81" s="41">
        <f t="shared" si="13"/>
        <v>0</v>
      </c>
      <c r="AU81" s="43">
        <f t="shared" si="6"/>
        <v>0</v>
      </c>
      <c r="AV81" s="43">
        <f t="shared" si="6"/>
        <v>0</v>
      </c>
      <c r="AW81" s="43">
        <f t="shared" si="6"/>
        <v>0</v>
      </c>
      <c r="AX81" s="43">
        <f t="shared" si="6"/>
        <v>0</v>
      </c>
      <c r="AY81" s="43">
        <f t="shared" si="6"/>
        <v>0</v>
      </c>
      <c r="AZ81" s="43">
        <f t="shared" si="9"/>
        <v>0</v>
      </c>
      <c r="BA81" s="43">
        <f t="shared" si="9"/>
        <v>0</v>
      </c>
      <c r="BB81" s="43">
        <f t="shared" si="9"/>
        <v>0</v>
      </c>
      <c r="BC81" s="43">
        <f t="shared" si="9"/>
        <v>0</v>
      </c>
      <c r="BD81" s="43">
        <f t="shared" si="9"/>
        <v>0</v>
      </c>
      <c r="BE81" s="43">
        <f t="shared" si="9"/>
        <v>0</v>
      </c>
      <c r="BF81" s="41">
        <f t="shared" si="12"/>
        <v>0</v>
      </c>
      <c r="BG81" s="41" t="str">
        <f t="array" ref="BG81">_xlfn.IFS(
OR(MONTH(A81)=11,MONTH(A81)=12,MONTH(A81)=1,MONTH(A81)=2),"Winter",
OR(MONTH(A81)=3,MONTH(A81)=4),"Spring",
OR(MONTH(A81)=5,MONTH(A81)=6),"Summer",
OR(MONTH(A81)=7,MONTH(A81)=8,MONTH(A81)=9),"Monsoon",
MONTH(A81)=10,"Autumn/Festive",
TRUE,""
)</f>
        <v>Spring</v>
      </c>
    </row>
    <row r="82" spans="1:59" x14ac:dyDescent="0.3">
      <c r="A82" s="39">
        <v>45407</v>
      </c>
      <c r="B82" s="40" t="str">
        <f t="shared" si="10"/>
        <v>April</v>
      </c>
      <c r="C82" s="41">
        <v>11</v>
      </c>
      <c r="D82" s="41">
        <v>0</v>
      </c>
      <c r="E82" s="41">
        <v>0</v>
      </c>
      <c r="F82" s="41">
        <v>2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2">
        <v>110</v>
      </c>
      <c r="O82" s="42">
        <v>110</v>
      </c>
      <c r="P82" s="42">
        <v>26</v>
      </c>
      <c r="Q82" s="42">
        <v>65</v>
      </c>
      <c r="R82" s="42">
        <v>200</v>
      </c>
      <c r="S82" s="42">
        <v>230</v>
      </c>
      <c r="T82" s="42">
        <v>250</v>
      </c>
      <c r="U82" s="42">
        <v>170</v>
      </c>
      <c r="V82" s="42">
        <v>25</v>
      </c>
      <c r="W82" s="42">
        <v>4</v>
      </c>
      <c r="X82" s="42">
        <v>265</v>
      </c>
      <c r="Y82" s="43">
        <v>130</v>
      </c>
      <c r="Z82" s="43">
        <v>150</v>
      </c>
      <c r="AA82" s="43">
        <v>30</v>
      </c>
      <c r="AB82" s="43">
        <v>95</v>
      </c>
      <c r="AC82" s="43">
        <v>250</v>
      </c>
      <c r="AD82" s="43">
        <v>260</v>
      </c>
      <c r="AE82" s="43">
        <v>280</v>
      </c>
      <c r="AF82" s="43">
        <v>200</v>
      </c>
      <c r="AG82" s="43">
        <v>30</v>
      </c>
      <c r="AH82" s="43">
        <v>6</v>
      </c>
      <c r="AI82" s="43">
        <v>300</v>
      </c>
      <c r="AJ82" s="41">
        <f t="shared" si="11"/>
        <v>1430</v>
      </c>
      <c r="AK82" s="41">
        <f t="shared" si="14"/>
        <v>0</v>
      </c>
      <c r="AL82" s="41">
        <f t="shared" si="14"/>
        <v>0</v>
      </c>
      <c r="AM82" s="41">
        <f t="shared" si="14"/>
        <v>190</v>
      </c>
      <c r="AN82" s="41">
        <f t="shared" si="14"/>
        <v>0</v>
      </c>
      <c r="AO82" s="41">
        <f t="shared" si="14"/>
        <v>0</v>
      </c>
      <c r="AP82" s="41">
        <f t="shared" si="13"/>
        <v>0</v>
      </c>
      <c r="AQ82" s="41">
        <f t="shared" si="13"/>
        <v>0</v>
      </c>
      <c r="AR82" s="41">
        <f t="shared" si="13"/>
        <v>0</v>
      </c>
      <c r="AS82" s="41">
        <f t="shared" si="13"/>
        <v>0</v>
      </c>
      <c r="AT82" s="41">
        <f t="shared" si="13"/>
        <v>0</v>
      </c>
      <c r="AU82" s="43">
        <f t="shared" si="6"/>
        <v>220</v>
      </c>
      <c r="AV82" s="43">
        <f t="shared" si="6"/>
        <v>0</v>
      </c>
      <c r="AW82" s="43">
        <f t="shared" si="6"/>
        <v>0</v>
      </c>
      <c r="AX82" s="43">
        <f t="shared" si="6"/>
        <v>60</v>
      </c>
      <c r="AY82" s="43">
        <f t="shared" si="6"/>
        <v>0</v>
      </c>
      <c r="AZ82" s="43">
        <f t="shared" si="9"/>
        <v>0</v>
      </c>
      <c r="BA82" s="43">
        <f t="shared" si="9"/>
        <v>0</v>
      </c>
      <c r="BB82" s="43">
        <f t="shared" si="9"/>
        <v>0</v>
      </c>
      <c r="BC82" s="43">
        <f t="shared" si="9"/>
        <v>0</v>
      </c>
      <c r="BD82" s="43">
        <f t="shared" si="9"/>
        <v>0</v>
      </c>
      <c r="BE82" s="43">
        <f t="shared" si="9"/>
        <v>0</v>
      </c>
      <c r="BF82" s="41">
        <f t="shared" si="12"/>
        <v>280</v>
      </c>
      <c r="BG82" s="41" t="str">
        <f t="array" ref="BG82">_xlfn.IFS(
OR(MONTH(A82)=11,MONTH(A82)=12,MONTH(A82)=1,MONTH(A82)=2),"Winter",
OR(MONTH(A82)=3,MONTH(A82)=4),"Spring",
OR(MONTH(A82)=5,MONTH(A82)=6),"Summer",
OR(MONTH(A82)=7,MONTH(A82)=8,MONTH(A82)=9),"Monsoon",
MONTH(A82)=10,"Autumn/Festive",
TRUE,""
)</f>
        <v>Spring</v>
      </c>
    </row>
    <row r="83" spans="1:59" x14ac:dyDescent="0.3">
      <c r="A83" s="39">
        <v>45408</v>
      </c>
      <c r="B83" s="40" t="str">
        <f t="shared" si="10"/>
        <v>April</v>
      </c>
      <c r="C83" s="41">
        <v>9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2">
        <v>110</v>
      </c>
      <c r="O83" s="42">
        <v>110</v>
      </c>
      <c r="P83" s="42">
        <v>26</v>
      </c>
      <c r="Q83" s="42">
        <v>65</v>
      </c>
      <c r="R83" s="42">
        <v>200</v>
      </c>
      <c r="S83" s="42">
        <v>230</v>
      </c>
      <c r="T83" s="42">
        <v>250</v>
      </c>
      <c r="U83" s="42">
        <v>170</v>
      </c>
      <c r="V83" s="42">
        <v>25</v>
      </c>
      <c r="W83" s="42">
        <v>4</v>
      </c>
      <c r="X83" s="42">
        <v>265</v>
      </c>
      <c r="Y83" s="43">
        <v>130</v>
      </c>
      <c r="Z83" s="43">
        <v>150</v>
      </c>
      <c r="AA83" s="43">
        <v>30</v>
      </c>
      <c r="AB83" s="43">
        <v>95</v>
      </c>
      <c r="AC83" s="43">
        <v>250</v>
      </c>
      <c r="AD83" s="43">
        <v>260</v>
      </c>
      <c r="AE83" s="43">
        <v>280</v>
      </c>
      <c r="AF83" s="43">
        <v>200</v>
      </c>
      <c r="AG83" s="43">
        <v>30</v>
      </c>
      <c r="AH83" s="43">
        <v>6</v>
      </c>
      <c r="AI83" s="43">
        <v>300</v>
      </c>
      <c r="AJ83" s="41">
        <f t="shared" si="11"/>
        <v>1170</v>
      </c>
      <c r="AK83" s="41">
        <f t="shared" si="14"/>
        <v>0</v>
      </c>
      <c r="AL83" s="41">
        <f t="shared" si="14"/>
        <v>0</v>
      </c>
      <c r="AM83" s="41">
        <f t="shared" si="14"/>
        <v>0</v>
      </c>
      <c r="AN83" s="41">
        <f t="shared" si="14"/>
        <v>0</v>
      </c>
      <c r="AO83" s="41">
        <f t="shared" si="14"/>
        <v>0</v>
      </c>
      <c r="AP83" s="41">
        <f t="shared" si="13"/>
        <v>0</v>
      </c>
      <c r="AQ83" s="41">
        <f t="shared" si="13"/>
        <v>0</v>
      </c>
      <c r="AR83" s="41">
        <f t="shared" si="13"/>
        <v>0</v>
      </c>
      <c r="AS83" s="41">
        <f t="shared" si="13"/>
        <v>0</v>
      </c>
      <c r="AT83" s="41">
        <f t="shared" si="13"/>
        <v>0</v>
      </c>
      <c r="AU83" s="43">
        <f t="shared" si="6"/>
        <v>180</v>
      </c>
      <c r="AV83" s="43">
        <f t="shared" si="6"/>
        <v>0</v>
      </c>
      <c r="AW83" s="43">
        <f t="shared" si="6"/>
        <v>0</v>
      </c>
      <c r="AX83" s="43">
        <f t="shared" si="6"/>
        <v>0</v>
      </c>
      <c r="AY83" s="43">
        <f t="shared" si="6"/>
        <v>0</v>
      </c>
      <c r="AZ83" s="43">
        <f t="shared" si="9"/>
        <v>0</v>
      </c>
      <c r="BA83" s="43">
        <f t="shared" si="9"/>
        <v>0</v>
      </c>
      <c r="BB83" s="43">
        <f t="shared" si="9"/>
        <v>0</v>
      </c>
      <c r="BC83" s="43">
        <f t="shared" si="9"/>
        <v>0</v>
      </c>
      <c r="BD83" s="43">
        <f t="shared" si="9"/>
        <v>0</v>
      </c>
      <c r="BE83" s="43">
        <f t="shared" si="9"/>
        <v>0</v>
      </c>
      <c r="BF83" s="41">
        <f t="shared" si="12"/>
        <v>180</v>
      </c>
      <c r="BG83" s="41" t="str">
        <f t="array" ref="BG83">_xlfn.IFS(
OR(MONTH(A83)=11,MONTH(A83)=12,MONTH(A83)=1,MONTH(A83)=2),"Winter",
OR(MONTH(A83)=3,MONTH(A83)=4),"Spring",
OR(MONTH(A83)=5,MONTH(A83)=6),"Summer",
OR(MONTH(A83)=7,MONTH(A83)=8,MONTH(A83)=9),"Monsoon",
MONTH(A83)=10,"Autumn/Festive",
TRUE,""
)</f>
        <v>Spring</v>
      </c>
    </row>
    <row r="84" spans="1:59" x14ac:dyDescent="0.3">
      <c r="A84" s="39">
        <v>45409</v>
      </c>
      <c r="B84" s="40" t="str">
        <f t="shared" si="10"/>
        <v>April</v>
      </c>
      <c r="C84" s="41">
        <v>27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2">
        <v>110</v>
      </c>
      <c r="O84" s="42">
        <v>110</v>
      </c>
      <c r="P84" s="42">
        <v>26</v>
      </c>
      <c r="Q84" s="42">
        <v>65</v>
      </c>
      <c r="R84" s="42">
        <v>200</v>
      </c>
      <c r="S84" s="42">
        <v>230</v>
      </c>
      <c r="T84" s="42">
        <v>250</v>
      </c>
      <c r="U84" s="42">
        <v>170</v>
      </c>
      <c r="V84" s="42">
        <v>25</v>
      </c>
      <c r="W84" s="42">
        <v>4</v>
      </c>
      <c r="X84" s="42">
        <v>265</v>
      </c>
      <c r="Y84" s="43">
        <v>130</v>
      </c>
      <c r="Z84" s="43">
        <v>150</v>
      </c>
      <c r="AA84" s="43">
        <v>30</v>
      </c>
      <c r="AB84" s="43">
        <v>95</v>
      </c>
      <c r="AC84" s="43">
        <v>250</v>
      </c>
      <c r="AD84" s="43">
        <v>260</v>
      </c>
      <c r="AE84" s="43">
        <v>280</v>
      </c>
      <c r="AF84" s="43">
        <v>200</v>
      </c>
      <c r="AG84" s="43">
        <v>30</v>
      </c>
      <c r="AH84" s="43">
        <v>6</v>
      </c>
      <c r="AI84" s="43">
        <v>300</v>
      </c>
      <c r="AJ84" s="41">
        <f t="shared" si="11"/>
        <v>3510</v>
      </c>
      <c r="AK84" s="41">
        <f t="shared" si="14"/>
        <v>0</v>
      </c>
      <c r="AL84" s="41">
        <f t="shared" si="14"/>
        <v>0</v>
      </c>
      <c r="AM84" s="41">
        <f t="shared" si="14"/>
        <v>0</v>
      </c>
      <c r="AN84" s="41">
        <f t="shared" si="14"/>
        <v>0</v>
      </c>
      <c r="AO84" s="41">
        <f t="shared" si="14"/>
        <v>0</v>
      </c>
      <c r="AP84" s="41">
        <f t="shared" si="13"/>
        <v>0</v>
      </c>
      <c r="AQ84" s="41">
        <f t="shared" si="13"/>
        <v>0</v>
      </c>
      <c r="AR84" s="41">
        <f t="shared" si="13"/>
        <v>0</v>
      </c>
      <c r="AS84" s="41">
        <f t="shared" si="13"/>
        <v>0</v>
      </c>
      <c r="AT84" s="41">
        <f t="shared" si="13"/>
        <v>0</v>
      </c>
      <c r="AU84" s="43">
        <f t="shared" si="6"/>
        <v>540</v>
      </c>
      <c r="AV84" s="43">
        <f t="shared" si="6"/>
        <v>0</v>
      </c>
      <c r="AW84" s="43">
        <f t="shared" si="6"/>
        <v>0</v>
      </c>
      <c r="AX84" s="43">
        <f t="shared" si="6"/>
        <v>0</v>
      </c>
      <c r="AY84" s="43">
        <f t="shared" si="6"/>
        <v>0</v>
      </c>
      <c r="AZ84" s="43">
        <f t="shared" si="9"/>
        <v>0</v>
      </c>
      <c r="BA84" s="43">
        <f t="shared" si="9"/>
        <v>0</v>
      </c>
      <c r="BB84" s="43">
        <f t="shared" si="9"/>
        <v>0</v>
      </c>
      <c r="BC84" s="43">
        <f t="shared" si="9"/>
        <v>0</v>
      </c>
      <c r="BD84" s="43">
        <f t="shared" si="9"/>
        <v>0</v>
      </c>
      <c r="BE84" s="43">
        <f t="shared" si="9"/>
        <v>0</v>
      </c>
      <c r="BF84" s="41">
        <f t="shared" si="12"/>
        <v>540</v>
      </c>
      <c r="BG84" s="41" t="str">
        <f t="array" ref="BG84">_xlfn.IFS(
OR(MONTH(A84)=11,MONTH(A84)=12,MONTH(A84)=1,MONTH(A84)=2),"Winter",
OR(MONTH(A84)=3,MONTH(A84)=4),"Spring",
OR(MONTH(A84)=5,MONTH(A84)=6),"Summer",
OR(MONTH(A84)=7,MONTH(A84)=8,MONTH(A84)=9),"Monsoon",
MONTH(A84)=10,"Autumn/Festive",
TRUE,""
)</f>
        <v>Spring</v>
      </c>
    </row>
    <row r="85" spans="1:59" x14ac:dyDescent="0.3">
      <c r="A85" s="39">
        <v>45410</v>
      </c>
      <c r="B85" s="40" t="str">
        <f t="shared" si="10"/>
        <v>April</v>
      </c>
      <c r="C85" s="41">
        <v>9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0.5</v>
      </c>
      <c r="J85" s="41">
        <v>0</v>
      </c>
      <c r="K85" s="41">
        <v>1</v>
      </c>
      <c r="L85" s="41">
        <v>0</v>
      </c>
      <c r="M85" s="41">
        <v>0</v>
      </c>
      <c r="N85" s="42">
        <v>110</v>
      </c>
      <c r="O85" s="42">
        <v>110</v>
      </c>
      <c r="P85" s="42">
        <v>26</v>
      </c>
      <c r="Q85" s="42">
        <v>65</v>
      </c>
      <c r="R85" s="42">
        <v>200</v>
      </c>
      <c r="S85" s="42">
        <v>230</v>
      </c>
      <c r="T85" s="42">
        <v>250</v>
      </c>
      <c r="U85" s="42">
        <v>170</v>
      </c>
      <c r="V85" s="42">
        <v>25</v>
      </c>
      <c r="W85" s="42">
        <v>4</v>
      </c>
      <c r="X85" s="42">
        <v>265</v>
      </c>
      <c r="Y85" s="43">
        <v>130</v>
      </c>
      <c r="Z85" s="43">
        <v>150</v>
      </c>
      <c r="AA85" s="43">
        <v>30</v>
      </c>
      <c r="AB85" s="43">
        <v>95</v>
      </c>
      <c r="AC85" s="43">
        <v>250</v>
      </c>
      <c r="AD85" s="43">
        <v>260</v>
      </c>
      <c r="AE85" s="43">
        <v>280</v>
      </c>
      <c r="AF85" s="43">
        <v>200</v>
      </c>
      <c r="AG85" s="43">
        <v>30</v>
      </c>
      <c r="AH85" s="43">
        <v>6</v>
      </c>
      <c r="AI85" s="43">
        <v>300</v>
      </c>
      <c r="AJ85" s="41">
        <f t="shared" si="11"/>
        <v>1170</v>
      </c>
      <c r="AK85" s="41">
        <f t="shared" si="14"/>
        <v>0</v>
      </c>
      <c r="AL85" s="41">
        <f t="shared" si="14"/>
        <v>0</v>
      </c>
      <c r="AM85" s="41">
        <f t="shared" si="14"/>
        <v>0</v>
      </c>
      <c r="AN85" s="41">
        <f t="shared" si="14"/>
        <v>0</v>
      </c>
      <c r="AO85" s="41">
        <f t="shared" si="14"/>
        <v>0</v>
      </c>
      <c r="AP85" s="41">
        <f t="shared" si="13"/>
        <v>140</v>
      </c>
      <c r="AQ85" s="41">
        <f t="shared" si="13"/>
        <v>0</v>
      </c>
      <c r="AR85" s="41">
        <f t="shared" si="13"/>
        <v>30</v>
      </c>
      <c r="AS85" s="41">
        <f t="shared" si="13"/>
        <v>0</v>
      </c>
      <c r="AT85" s="41">
        <f t="shared" si="13"/>
        <v>0</v>
      </c>
      <c r="AU85" s="43">
        <f t="shared" si="6"/>
        <v>180</v>
      </c>
      <c r="AV85" s="43">
        <f t="shared" si="6"/>
        <v>0</v>
      </c>
      <c r="AW85" s="43">
        <f t="shared" si="6"/>
        <v>0</v>
      </c>
      <c r="AX85" s="43">
        <f t="shared" si="6"/>
        <v>0</v>
      </c>
      <c r="AY85" s="43">
        <f t="shared" si="6"/>
        <v>0</v>
      </c>
      <c r="AZ85" s="43">
        <f t="shared" si="9"/>
        <v>0</v>
      </c>
      <c r="BA85" s="43">
        <f t="shared" si="9"/>
        <v>15</v>
      </c>
      <c r="BB85" s="43">
        <f t="shared" si="9"/>
        <v>0</v>
      </c>
      <c r="BC85" s="43">
        <f t="shared" si="9"/>
        <v>5</v>
      </c>
      <c r="BD85" s="43">
        <f t="shared" si="9"/>
        <v>0</v>
      </c>
      <c r="BE85" s="43">
        <f t="shared" si="9"/>
        <v>0</v>
      </c>
      <c r="BF85" s="41">
        <f t="shared" si="12"/>
        <v>200</v>
      </c>
      <c r="BG85" s="41" t="str">
        <f t="array" ref="BG85">_xlfn.IFS(
OR(MONTH(A85)=11,MONTH(A85)=12,MONTH(A85)=1,MONTH(A85)=2),"Winter",
OR(MONTH(A85)=3,MONTH(A85)=4),"Spring",
OR(MONTH(A85)=5,MONTH(A85)=6),"Summer",
OR(MONTH(A85)=7,MONTH(A85)=8,MONTH(A85)=9),"Monsoon",
MONTH(A85)=10,"Autumn/Festive",
TRUE,""
)</f>
        <v>Spring</v>
      </c>
    </row>
    <row r="86" spans="1:59" x14ac:dyDescent="0.3">
      <c r="A86" s="39">
        <v>45411</v>
      </c>
      <c r="B86" s="40" t="str">
        <f t="shared" si="10"/>
        <v>April</v>
      </c>
      <c r="C86" s="41">
        <v>7</v>
      </c>
      <c r="D86" s="41">
        <v>3</v>
      </c>
      <c r="E86" s="41">
        <v>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2">
        <v>110</v>
      </c>
      <c r="O86" s="42">
        <v>110</v>
      </c>
      <c r="P86" s="42">
        <v>26</v>
      </c>
      <c r="Q86" s="42">
        <v>65</v>
      </c>
      <c r="R86" s="42">
        <v>200</v>
      </c>
      <c r="S86" s="42">
        <v>230</v>
      </c>
      <c r="T86" s="42">
        <v>250</v>
      </c>
      <c r="U86" s="42">
        <v>170</v>
      </c>
      <c r="V86" s="42">
        <v>25</v>
      </c>
      <c r="W86" s="42">
        <v>4</v>
      </c>
      <c r="X86" s="42">
        <v>265</v>
      </c>
      <c r="Y86" s="43">
        <v>130</v>
      </c>
      <c r="Z86" s="43">
        <v>150</v>
      </c>
      <c r="AA86" s="43">
        <v>30</v>
      </c>
      <c r="AB86" s="43">
        <v>95</v>
      </c>
      <c r="AC86" s="43">
        <v>250</v>
      </c>
      <c r="AD86" s="43">
        <v>260</v>
      </c>
      <c r="AE86" s="43">
        <v>280</v>
      </c>
      <c r="AF86" s="43">
        <v>200</v>
      </c>
      <c r="AG86" s="43">
        <v>30</v>
      </c>
      <c r="AH86" s="43">
        <v>6</v>
      </c>
      <c r="AI86" s="43">
        <v>300</v>
      </c>
      <c r="AJ86" s="41">
        <f t="shared" si="11"/>
        <v>910</v>
      </c>
      <c r="AK86" s="41">
        <f t="shared" si="14"/>
        <v>450</v>
      </c>
      <c r="AL86" s="41">
        <f t="shared" si="14"/>
        <v>0</v>
      </c>
      <c r="AM86" s="41">
        <f t="shared" si="14"/>
        <v>0</v>
      </c>
      <c r="AN86" s="41">
        <f t="shared" si="14"/>
        <v>0</v>
      </c>
      <c r="AO86" s="41">
        <f t="shared" si="14"/>
        <v>0</v>
      </c>
      <c r="AP86" s="41">
        <f t="shared" si="13"/>
        <v>0</v>
      </c>
      <c r="AQ86" s="41">
        <f t="shared" si="13"/>
        <v>0</v>
      </c>
      <c r="AR86" s="41">
        <f t="shared" si="13"/>
        <v>0</v>
      </c>
      <c r="AS86" s="41">
        <f t="shared" si="13"/>
        <v>0</v>
      </c>
      <c r="AT86" s="41">
        <f t="shared" si="13"/>
        <v>0</v>
      </c>
      <c r="AU86" s="43">
        <f t="shared" si="6"/>
        <v>140</v>
      </c>
      <c r="AV86" s="43">
        <f t="shared" si="6"/>
        <v>120</v>
      </c>
      <c r="AW86" s="43">
        <f t="shared" si="6"/>
        <v>0</v>
      </c>
      <c r="AX86" s="43">
        <f t="shared" si="6"/>
        <v>0</v>
      </c>
      <c r="AY86" s="43">
        <f t="shared" si="6"/>
        <v>0</v>
      </c>
      <c r="AZ86" s="43">
        <f t="shared" si="9"/>
        <v>0</v>
      </c>
      <c r="BA86" s="43">
        <f t="shared" si="9"/>
        <v>0</v>
      </c>
      <c r="BB86" s="43">
        <f t="shared" si="9"/>
        <v>0</v>
      </c>
      <c r="BC86" s="43">
        <f t="shared" si="9"/>
        <v>0</v>
      </c>
      <c r="BD86" s="43">
        <f t="shared" si="9"/>
        <v>0</v>
      </c>
      <c r="BE86" s="43">
        <f t="shared" si="9"/>
        <v>0</v>
      </c>
      <c r="BF86" s="41">
        <f t="shared" si="12"/>
        <v>260</v>
      </c>
      <c r="BG86" s="41" t="str">
        <f t="array" ref="BG86">_xlfn.IFS(
OR(MONTH(A86)=11,MONTH(A86)=12,MONTH(A86)=1,MONTH(A86)=2),"Winter",
OR(MONTH(A86)=3,MONTH(A86)=4),"Spring",
OR(MONTH(A86)=5,MONTH(A86)=6),"Summer",
OR(MONTH(A86)=7,MONTH(A86)=8,MONTH(A86)=9),"Monsoon",
MONTH(A86)=10,"Autumn/Festive",
TRUE,""
)</f>
        <v>Spring</v>
      </c>
    </row>
    <row r="87" spans="1:59" x14ac:dyDescent="0.3">
      <c r="A87" s="39">
        <v>45412</v>
      </c>
      <c r="B87" s="40" t="str">
        <f t="shared" si="10"/>
        <v>April</v>
      </c>
      <c r="C87" s="41">
        <v>20</v>
      </c>
      <c r="D87" s="41">
        <v>0</v>
      </c>
      <c r="E87" s="41">
        <v>0</v>
      </c>
      <c r="F87" s="41">
        <v>0</v>
      </c>
      <c r="G87" s="41">
        <v>2</v>
      </c>
      <c r="H87" s="41">
        <v>0</v>
      </c>
      <c r="I87" s="41">
        <v>0</v>
      </c>
      <c r="J87" s="41">
        <v>0</v>
      </c>
      <c r="K87" s="41">
        <v>0</v>
      </c>
      <c r="L87" s="41">
        <v>0</v>
      </c>
      <c r="M87" s="41">
        <v>0</v>
      </c>
      <c r="N87" s="42">
        <v>110</v>
      </c>
      <c r="O87" s="42">
        <v>110</v>
      </c>
      <c r="P87" s="42">
        <v>26</v>
      </c>
      <c r="Q87" s="42">
        <v>65</v>
      </c>
      <c r="R87" s="42">
        <v>200</v>
      </c>
      <c r="S87" s="42">
        <v>230</v>
      </c>
      <c r="T87" s="42">
        <v>250</v>
      </c>
      <c r="U87" s="42">
        <v>170</v>
      </c>
      <c r="V87" s="42">
        <v>25</v>
      </c>
      <c r="W87" s="42">
        <v>4</v>
      </c>
      <c r="X87" s="42">
        <v>265</v>
      </c>
      <c r="Y87" s="43">
        <v>130</v>
      </c>
      <c r="Z87" s="43">
        <v>150</v>
      </c>
      <c r="AA87" s="43">
        <v>30</v>
      </c>
      <c r="AB87" s="43">
        <v>95</v>
      </c>
      <c r="AC87" s="43">
        <v>250</v>
      </c>
      <c r="AD87" s="43">
        <v>260</v>
      </c>
      <c r="AE87" s="43">
        <v>280</v>
      </c>
      <c r="AF87" s="43">
        <v>200</v>
      </c>
      <c r="AG87" s="43">
        <v>30</v>
      </c>
      <c r="AH87" s="43">
        <v>6</v>
      </c>
      <c r="AI87" s="43">
        <v>300</v>
      </c>
      <c r="AJ87" s="41">
        <f t="shared" si="11"/>
        <v>2600</v>
      </c>
      <c r="AK87" s="41">
        <f t="shared" si="14"/>
        <v>0</v>
      </c>
      <c r="AL87" s="41">
        <f t="shared" si="14"/>
        <v>0</v>
      </c>
      <c r="AM87" s="41">
        <f t="shared" si="14"/>
        <v>0</v>
      </c>
      <c r="AN87" s="41">
        <f t="shared" si="14"/>
        <v>500</v>
      </c>
      <c r="AO87" s="41">
        <f t="shared" si="14"/>
        <v>0</v>
      </c>
      <c r="AP87" s="41">
        <f t="shared" si="13"/>
        <v>0</v>
      </c>
      <c r="AQ87" s="41">
        <f t="shared" si="13"/>
        <v>0</v>
      </c>
      <c r="AR87" s="41">
        <f t="shared" si="13"/>
        <v>0</v>
      </c>
      <c r="AS87" s="41">
        <f t="shared" si="13"/>
        <v>0</v>
      </c>
      <c r="AT87" s="41">
        <f t="shared" si="13"/>
        <v>0</v>
      </c>
      <c r="AU87" s="43">
        <f t="shared" si="6"/>
        <v>400</v>
      </c>
      <c r="AV87" s="43">
        <f t="shared" si="6"/>
        <v>0</v>
      </c>
      <c r="AW87" s="43">
        <f t="shared" si="6"/>
        <v>0</v>
      </c>
      <c r="AX87" s="43">
        <f t="shared" si="6"/>
        <v>0</v>
      </c>
      <c r="AY87" s="43">
        <f t="shared" si="6"/>
        <v>100</v>
      </c>
      <c r="AZ87" s="43">
        <f t="shared" si="9"/>
        <v>0</v>
      </c>
      <c r="BA87" s="43">
        <f t="shared" si="9"/>
        <v>0</v>
      </c>
      <c r="BB87" s="43">
        <f t="shared" si="9"/>
        <v>0</v>
      </c>
      <c r="BC87" s="43">
        <f t="shared" si="9"/>
        <v>0</v>
      </c>
      <c r="BD87" s="43">
        <f t="shared" si="9"/>
        <v>0</v>
      </c>
      <c r="BE87" s="43">
        <f t="shared" si="9"/>
        <v>0</v>
      </c>
      <c r="BF87" s="41">
        <f t="shared" si="12"/>
        <v>500</v>
      </c>
      <c r="BG87" s="41" t="str">
        <f t="array" ref="BG87">_xlfn.IFS(
OR(MONTH(A87)=11,MONTH(A87)=12,MONTH(A87)=1,MONTH(A87)=2),"Winter",
OR(MONTH(A87)=3,MONTH(A87)=4),"Spring",
OR(MONTH(A87)=5,MONTH(A87)=6),"Summer",
OR(MONTH(A87)=7,MONTH(A87)=8,MONTH(A87)=9),"Monsoon",
MONTH(A87)=10,"Autumn/Festive",
TRUE,""
)</f>
        <v>Spring</v>
      </c>
    </row>
    <row r="88" spans="1:59" x14ac:dyDescent="0.3">
      <c r="A88" s="39">
        <v>45413</v>
      </c>
      <c r="B88" s="40" t="str">
        <f t="shared" si="10"/>
        <v>May</v>
      </c>
      <c r="C88" s="41">
        <v>12</v>
      </c>
      <c r="D88" s="41">
        <v>2</v>
      </c>
      <c r="E88" s="41">
        <v>0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2">
        <v>110</v>
      </c>
      <c r="O88" s="42">
        <v>110</v>
      </c>
      <c r="P88" s="42">
        <v>26</v>
      </c>
      <c r="Q88" s="42">
        <v>65</v>
      </c>
      <c r="R88" s="42">
        <v>200</v>
      </c>
      <c r="S88" s="42">
        <v>230</v>
      </c>
      <c r="T88" s="42">
        <v>250</v>
      </c>
      <c r="U88" s="42">
        <v>170</v>
      </c>
      <c r="V88" s="42">
        <v>25</v>
      </c>
      <c r="W88" s="42">
        <v>4</v>
      </c>
      <c r="X88" s="42">
        <v>265</v>
      </c>
      <c r="Y88" s="43">
        <v>130</v>
      </c>
      <c r="Z88" s="43">
        <v>150</v>
      </c>
      <c r="AA88" s="43">
        <v>30</v>
      </c>
      <c r="AB88" s="43">
        <v>95</v>
      </c>
      <c r="AC88" s="43">
        <v>250</v>
      </c>
      <c r="AD88" s="43">
        <v>260</v>
      </c>
      <c r="AE88" s="43">
        <v>280</v>
      </c>
      <c r="AF88" s="43">
        <v>200</v>
      </c>
      <c r="AG88" s="43">
        <v>30</v>
      </c>
      <c r="AH88" s="43">
        <v>6</v>
      </c>
      <c r="AI88" s="43">
        <v>300</v>
      </c>
      <c r="AJ88" s="41">
        <f t="shared" si="11"/>
        <v>1560</v>
      </c>
      <c r="AK88" s="41">
        <f t="shared" si="14"/>
        <v>300</v>
      </c>
      <c r="AL88" s="41">
        <f t="shared" si="14"/>
        <v>0</v>
      </c>
      <c r="AM88" s="41">
        <f t="shared" si="14"/>
        <v>0</v>
      </c>
      <c r="AN88" s="41">
        <f t="shared" si="14"/>
        <v>0</v>
      </c>
      <c r="AO88" s="41">
        <f t="shared" si="14"/>
        <v>0</v>
      </c>
      <c r="AP88" s="41">
        <f t="shared" si="13"/>
        <v>0</v>
      </c>
      <c r="AQ88" s="41">
        <f t="shared" si="13"/>
        <v>0</v>
      </c>
      <c r="AR88" s="41">
        <f t="shared" si="13"/>
        <v>0</v>
      </c>
      <c r="AS88" s="41">
        <f t="shared" si="13"/>
        <v>0</v>
      </c>
      <c r="AT88" s="41">
        <f t="shared" si="13"/>
        <v>0</v>
      </c>
      <c r="AU88" s="43">
        <f t="shared" si="6"/>
        <v>240</v>
      </c>
      <c r="AV88" s="43">
        <f t="shared" si="6"/>
        <v>80</v>
      </c>
      <c r="AW88" s="43">
        <f t="shared" si="6"/>
        <v>0</v>
      </c>
      <c r="AX88" s="43">
        <f t="shared" si="6"/>
        <v>0</v>
      </c>
      <c r="AY88" s="43">
        <f t="shared" si="6"/>
        <v>0</v>
      </c>
      <c r="AZ88" s="43">
        <f t="shared" si="9"/>
        <v>0</v>
      </c>
      <c r="BA88" s="43">
        <f t="shared" si="9"/>
        <v>0</v>
      </c>
      <c r="BB88" s="43">
        <f t="shared" si="9"/>
        <v>0</v>
      </c>
      <c r="BC88" s="43">
        <f t="shared" si="9"/>
        <v>0</v>
      </c>
      <c r="BD88" s="43">
        <f t="shared" si="9"/>
        <v>0</v>
      </c>
      <c r="BE88" s="43">
        <f t="shared" si="9"/>
        <v>0</v>
      </c>
      <c r="BF88" s="41">
        <f t="shared" si="12"/>
        <v>320</v>
      </c>
      <c r="BG88" s="41" t="str">
        <f t="array" ref="BG88">_xlfn.IFS(
OR(MONTH(A88)=11,MONTH(A88)=12,MONTH(A88)=1,MONTH(A88)=2),"Winter",
OR(MONTH(A88)=3,MONTH(A88)=4),"Spring",
OR(MONTH(A88)=5,MONTH(A88)=6),"Summer",
OR(MONTH(A88)=7,MONTH(A88)=8,MONTH(A88)=9),"Monsoon",
MONTH(A88)=10,"Autumn/Festive",
TRUE,""
)</f>
        <v>Summer</v>
      </c>
    </row>
    <row r="89" spans="1:59" x14ac:dyDescent="0.3">
      <c r="A89" s="39">
        <v>45414</v>
      </c>
      <c r="B89" s="40" t="str">
        <f t="shared" si="10"/>
        <v>May</v>
      </c>
      <c r="C89" s="41">
        <v>9</v>
      </c>
      <c r="D89" s="41">
        <v>0</v>
      </c>
      <c r="E89" s="41">
        <v>0</v>
      </c>
      <c r="F89" s="41">
        <v>2</v>
      </c>
      <c r="G89" s="41">
        <v>2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2">
        <v>110</v>
      </c>
      <c r="O89" s="42">
        <v>110</v>
      </c>
      <c r="P89" s="42">
        <v>26</v>
      </c>
      <c r="Q89" s="42">
        <v>65</v>
      </c>
      <c r="R89" s="42">
        <v>200</v>
      </c>
      <c r="S89" s="42">
        <v>230</v>
      </c>
      <c r="T89" s="42">
        <v>250</v>
      </c>
      <c r="U89" s="42">
        <v>170</v>
      </c>
      <c r="V89" s="42">
        <v>25</v>
      </c>
      <c r="W89" s="42">
        <v>4</v>
      </c>
      <c r="X89" s="42">
        <v>265</v>
      </c>
      <c r="Y89" s="43">
        <v>130</v>
      </c>
      <c r="Z89" s="43">
        <v>150</v>
      </c>
      <c r="AA89" s="43">
        <v>30</v>
      </c>
      <c r="AB89" s="43">
        <v>95</v>
      </c>
      <c r="AC89" s="43">
        <v>250</v>
      </c>
      <c r="AD89" s="43">
        <v>260</v>
      </c>
      <c r="AE89" s="43">
        <v>280</v>
      </c>
      <c r="AF89" s="43">
        <v>200</v>
      </c>
      <c r="AG89" s="43">
        <v>30</v>
      </c>
      <c r="AH89" s="43">
        <v>6</v>
      </c>
      <c r="AI89" s="43">
        <v>300</v>
      </c>
      <c r="AJ89" s="41">
        <f t="shared" si="11"/>
        <v>1170</v>
      </c>
      <c r="AK89" s="41">
        <f t="shared" si="14"/>
        <v>0</v>
      </c>
      <c r="AL89" s="41">
        <f t="shared" si="14"/>
        <v>0</v>
      </c>
      <c r="AM89" s="41">
        <f t="shared" si="14"/>
        <v>190</v>
      </c>
      <c r="AN89" s="41">
        <f t="shared" si="14"/>
        <v>500</v>
      </c>
      <c r="AO89" s="41">
        <f t="shared" si="14"/>
        <v>0</v>
      </c>
      <c r="AP89" s="41">
        <f t="shared" si="13"/>
        <v>0</v>
      </c>
      <c r="AQ89" s="41">
        <f t="shared" si="13"/>
        <v>0</v>
      </c>
      <c r="AR89" s="41">
        <f t="shared" si="13"/>
        <v>0</v>
      </c>
      <c r="AS89" s="41">
        <f t="shared" si="13"/>
        <v>0</v>
      </c>
      <c r="AT89" s="41">
        <f t="shared" si="13"/>
        <v>0</v>
      </c>
      <c r="AU89" s="43">
        <f t="shared" si="6"/>
        <v>180</v>
      </c>
      <c r="AV89" s="43">
        <f t="shared" si="6"/>
        <v>0</v>
      </c>
      <c r="AW89" s="43">
        <f t="shared" si="6"/>
        <v>0</v>
      </c>
      <c r="AX89" s="43">
        <f t="shared" si="6"/>
        <v>60</v>
      </c>
      <c r="AY89" s="43">
        <f t="shared" si="6"/>
        <v>100</v>
      </c>
      <c r="AZ89" s="43">
        <f t="shared" si="9"/>
        <v>0</v>
      </c>
      <c r="BA89" s="43">
        <f t="shared" si="9"/>
        <v>0</v>
      </c>
      <c r="BB89" s="43">
        <f t="shared" si="9"/>
        <v>0</v>
      </c>
      <c r="BC89" s="43">
        <f t="shared" si="9"/>
        <v>0</v>
      </c>
      <c r="BD89" s="43">
        <f t="shared" si="9"/>
        <v>0</v>
      </c>
      <c r="BE89" s="43">
        <f t="shared" si="9"/>
        <v>0</v>
      </c>
      <c r="BF89" s="41">
        <f t="shared" si="12"/>
        <v>340</v>
      </c>
      <c r="BG89" s="41" t="str">
        <f t="array" ref="BG89">_xlfn.IFS(
OR(MONTH(A89)=11,MONTH(A89)=12,MONTH(A89)=1,MONTH(A89)=2),"Winter",
OR(MONTH(A89)=3,MONTH(A89)=4),"Spring",
OR(MONTH(A89)=5,MONTH(A89)=6),"Summer",
OR(MONTH(A89)=7,MONTH(A89)=8,MONTH(A89)=9),"Monsoon",
MONTH(A89)=10,"Autumn/Festive",
TRUE,""
)</f>
        <v>Summer</v>
      </c>
    </row>
    <row r="90" spans="1:59" x14ac:dyDescent="0.3">
      <c r="A90" s="39">
        <v>45415</v>
      </c>
      <c r="B90" s="40" t="str">
        <f t="shared" si="10"/>
        <v>May</v>
      </c>
      <c r="C90" s="41">
        <v>39</v>
      </c>
      <c r="D90" s="41">
        <v>0</v>
      </c>
      <c r="E90" s="41">
        <v>0</v>
      </c>
      <c r="F90" s="41">
        <v>2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2">
        <v>110</v>
      </c>
      <c r="O90" s="42">
        <v>110</v>
      </c>
      <c r="P90" s="42">
        <v>26</v>
      </c>
      <c r="Q90" s="42">
        <v>65</v>
      </c>
      <c r="R90" s="42">
        <v>200</v>
      </c>
      <c r="S90" s="42">
        <v>230</v>
      </c>
      <c r="T90" s="42">
        <v>250</v>
      </c>
      <c r="U90" s="42">
        <v>170</v>
      </c>
      <c r="V90" s="42">
        <v>25</v>
      </c>
      <c r="W90" s="42">
        <v>4</v>
      </c>
      <c r="X90" s="42">
        <v>265</v>
      </c>
      <c r="Y90" s="43">
        <v>130</v>
      </c>
      <c r="Z90" s="43">
        <v>150</v>
      </c>
      <c r="AA90" s="43">
        <v>30</v>
      </c>
      <c r="AB90" s="43">
        <v>95</v>
      </c>
      <c r="AC90" s="43">
        <v>250</v>
      </c>
      <c r="AD90" s="43">
        <v>260</v>
      </c>
      <c r="AE90" s="43">
        <v>280</v>
      </c>
      <c r="AF90" s="43">
        <v>200</v>
      </c>
      <c r="AG90" s="43">
        <v>30</v>
      </c>
      <c r="AH90" s="43">
        <v>6</v>
      </c>
      <c r="AI90" s="43">
        <v>300</v>
      </c>
      <c r="AJ90" s="41">
        <f t="shared" si="11"/>
        <v>5070</v>
      </c>
      <c r="AK90" s="41">
        <f t="shared" si="14"/>
        <v>0</v>
      </c>
      <c r="AL90" s="41">
        <f t="shared" si="14"/>
        <v>0</v>
      </c>
      <c r="AM90" s="41">
        <f t="shared" si="14"/>
        <v>190</v>
      </c>
      <c r="AN90" s="41">
        <f t="shared" si="14"/>
        <v>0</v>
      </c>
      <c r="AO90" s="41">
        <f t="shared" si="14"/>
        <v>0</v>
      </c>
      <c r="AP90" s="41">
        <f t="shared" si="13"/>
        <v>0</v>
      </c>
      <c r="AQ90" s="41">
        <f t="shared" si="13"/>
        <v>0</v>
      </c>
      <c r="AR90" s="41">
        <f t="shared" si="13"/>
        <v>0</v>
      </c>
      <c r="AS90" s="41">
        <f t="shared" si="13"/>
        <v>0</v>
      </c>
      <c r="AT90" s="41">
        <f t="shared" si="13"/>
        <v>0</v>
      </c>
      <c r="AU90" s="43">
        <f t="shared" si="6"/>
        <v>780</v>
      </c>
      <c r="AV90" s="43">
        <f t="shared" si="6"/>
        <v>0</v>
      </c>
      <c r="AW90" s="43">
        <f t="shared" si="6"/>
        <v>0</v>
      </c>
      <c r="AX90" s="43">
        <f t="shared" si="6"/>
        <v>60</v>
      </c>
      <c r="AY90" s="43">
        <f t="shared" si="6"/>
        <v>0</v>
      </c>
      <c r="AZ90" s="43">
        <f t="shared" si="9"/>
        <v>0</v>
      </c>
      <c r="BA90" s="43">
        <f t="shared" si="9"/>
        <v>0</v>
      </c>
      <c r="BB90" s="43">
        <f t="shared" si="9"/>
        <v>0</v>
      </c>
      <c r="BC90" s="43">
        <f t="shared" si="9"/>
        <v>0</v>
      </c>
      <c r="BD90" s="43">
        <f t="shared" si="9"/>
        <v>0</v>
      </c>
      <c r="BE90" s="43">
        <f t="shared" si="9"/>
        <v>0</v>
      </c>
      <c r="BF90" s="41">
        <f t="shared" si="12"/>
        <v>840</v>
      </c>
      <c r="BG90" s="41" t="str">
        <f t="array" ref="BG90">_xlfn.IFS(
OR(MONTH(A90)=11,MONTH(A90)=12,MONTH(A90)=1,MONTH(A90)=2),"Winter",
OR(MONTH(A90)=3,MONTH(A90)=4),"Spring",
OR(MONTH(A90)=5,MONTH(A90)=6),"Summer",
OR(MONTH(A90)=7,MONTH(A90)=8,MONTH(A90)=9),"Monsoon",
MONTH(A90)=10,"Autumn/Festive",
TRUE,""
)</f>
        <v>Summer</v>
      </c>
    </row>
    <row r="91" spans="1:59" x14ac:dyDescent="0.3">
      <c r="A91" s="39">
        <v>45416</v>
      </c>
      <c r="B91" s="40" t="str">
        <f t="shared" si="10"/>
        <v>May</v>
      </c>
      <c r="C91" s="41">
        <v>19</v>
      </c>
      <c r="D91" s="41">
        <v>0</v>
      </c>
      <c r="E91" s="41">
        <v>0</v>
      </c>
      <c r="F91" s="41">
        <v>0</v>
      </c>
      <c r="G91" s="41">
        <v>2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2">
        <v>110</v>
      </c>
      <c r="O91" s="42">
        <v>110</v>
      </c>
      <c r="P91" s="42">
        <v>26</v>
      </c>
      <c r="Q91" s="42">
        <v>65</v>
      </c>
      <c r="R91" s="42">
        <v>200</v>
      </c>
      <c r="S91" s="42">
        <v>230</v>
      </c>
      <c r="T91" s="42">
        <v>250</v>
      </c>
      <c r="U91" s="42">
        <v>170</v>
      </c>
      <c r="V91" s="42">
        <v>25</v>
      </c>
      <c r="W91" s="42">
        <v>4</v>
      </c>
      <c r="X91" s="42">
        <v>265</v>
      </c>
      <c r="Y91" s="43">
        <v>130</v>
      </c>
      <c r="Z91" s="43">
        <v>150</v>
      </c>
      <c r="AA91" s="43">
        <v>30</v>
      </c>
      <c r="AB91" s="43">
        <v>95</v>
      </c>
      <c r="AC91" s="43">
        <v>250</v>
      </c>
      <c r="AD91" s="43">
        <v>260</v>
      </c>
      <c r="AE91" s="43">
        <v>280</v>
      </c>
      <c r="AF91" s="43">
        <v>200</v>
      </c>
      <c r="AG91" s="43">
        <v>30</v>
      </c>
      <c r="AH91" s="43">
        <v>6</v>
      </c>
      <c r="AI91" s="43">
        <v>300</v>
      </c>
      <c r="AJ91" s="41">
        <f t="shared" si="11"/>
        <v>2470</v>
      </c>
      <c r="AK91" s="41">
        <f t="shared" si="14"/>
        <v>0</v>
      </c>
      <c r="AL91" s="41">
        <f t="shared" si="14"/>
        <v>0</v>
      </c>
      <c r="AM91" s="41">
        <f t="shared" si="14"/>
        <v>0</v>
      </c>
      <c r="AN91" s="41">
        <f t="shared" si="14"/>
        <v>500</v>
      </c>
      <c r="AO91" s="41">
        <f t="shared" si="14"/>
        <v>0</v>
      </c>
      <c r="AP91" s="41">
        <f t="shared" si="13"/>
        <v>0</v>
      </c>
      <c r="AQ91" s="41">
        <f t="shared" si="13"/>
        <v>0</v>
      </c>
      <c r="AR91" s="41">
        <f t="shared" si="13"/>
        <v>0</v>
      </c>
      <c r="AS91" s="41">
        <f t="shared" si="13"/>
        <v>0</v>
      </c>
      <c r="AT91" s="41">
        <f t="shared" si="13"/>
        <v>0</v>
      </c>
      <c r="AU91" s="43">
        <f t="shared" si="6"/>
        <v>380</v>
      </c>
      <c r="AV91" s="43">
        <f t="shared" si="6"/>
        <v>0</v>
      </c>
      <c r="AW91" s="43">
        <f t="shared" si="6"/>
        <v>0</v>
      </c>
      <c r="AX91" s="43">
        <f t="shared" si="6"/>
        <v>0</v>
      </c>
      <c r="AY91" s="43">
        <f t="shared" si="6"/>
        <v>100</v>
      </c>
      <c r="AZ91" s="43">
        <f t="shared" si="9"/>
        <v>0</v>
      </c>
      <c r="BA91" s="43">
        <f t="shared" si="9"/>
        <v>0</v>
      </c>
      <c r="BB91" s="43">
        <f t="shared" si="9"/>
        <v>0</v>
      </c>
      <c r="BC91" s="43">
        <f t="shared" si="9"/>
        <v>0</v>
      </c>
      <c r="BD91" s="43">
        <f t="shared" si="9"/>
        <v>0</v>
      </c>
      <c r="BE91" s="43">
        <f t="shared" si="9"/>
        <v>0</v>
      </c>
      <c r="BF91" s="41">
        <f t="shared" si="12"/>
        <v>480</v>
      </c>
      <c r="BG91" s="41" t="str">
        <f t="array" ref="BG91">_xlfn.IFS(
OR(MONTH(A91)=11,MONTH(A91)=12,MONTH(A91)=1,MONTH(A91)=2),"Winter",
OR(MONTH(A91)=3,MONTH(A91)=4),"Spring",
OR(MONTH(A91)=5,MONTH(A91)=6),"Summer",
OR(MONTH(A91)=7,MONTH(A91)=8,MONTH(A91)=9),"Monsoon",
MONTH(A91)=10,"Autumn/Festive",
TRUE,""
)</f>
        <v>Summer</v>
      </c>
    </row>
    <row r="92" spans="1:59" x14ac:dyDescent="0.3">
      <c r="A92" s="39">
        <v>45417</v>
      </c>
      <c r="B92" s="40" t="str">
        <f t="shared" si="10"/>
        <v>May</v>
      </c>
      <c r="C92" s="41">
        <v>10</v>
      </c>
      <c r="D92" s="41">
        <v>5</v>
      </c>
      <c r="E92" s="41">
        <v>0</v>
      </c>
      <c r="F92" s="41">
        <v>0</v>
      </c>
      <c r="G92" s="41">
        <v>3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2">
        <v>110</v>
      </c>
      <c r="O92" s="42">
        <v>110</v>
      </c>
      <c r="P92" s="42">
        <v>26</v>
      </c>
      <c r="Q92" s="42">
        <v>65</v>
      </c>
      <c r="R92" s="42">
        <v>200</v>
      </c>
      <c r="S92" s="42">
        <v>230</v>
      </c>
      <c r="T92" s="42">
        <v>250</v>
      </c>
      <c r="U92" s="42">
        <v>170</v>
      </c>
      <c r="V92" s="42">
        <v>25</v>
      </c>
      <c r="W92" s="42">
        <v>4</v>
      </c>
      <c r="X92" s="42">
        <v>265</v>
      </c>
      <c r="Y92" s="43">
        <v>130</v>
      </c>
      <c r="Z92" s="43">
        <v>150</v>
      </c>
      <c r="AA92" s="43">
        <v>30</v>
      </c>
      <c r="AB92" s="43">
        <v>95</v>
      </c>
      <c r="AC92" s="43">
        <v>250</v>
      </c>
      <c r="AD92" s="43">
        <v>260</v>
      </c>
      <c r="AE92" s="43">
        <v>280</v>
      </c>
      <c r="AF92" s="43">
        <v>200</v>
      </c>
      <c r="AG92" s="43">
        <v>30</v>
      </c>
      <c r="AH92" s="43">
        <v>6</v>
      </c>
      <c r="AI92" s="43">
        <v>300</v>
      </c>
      <c r="AJ92" s="41">
        <f t="shared" si="11"/>
        <v>1300</v>
      </c>
      <c r="AK92" s="41">
        <f t="shared" si="14"/>
        <v>750</v>
      </c>
      <c r="AL92" s="41">
        <f t="shared" si="14"/>
        <v>0</v>
      </c>
      <c r="AM92" s="41">
        <f t="shared" si="14"/>
        <v>0</v>
      </c>
      <c r="AN92" s="41">
        <f t="shared" si="14"/>
        <v>750</v>
      </c>
      <c r="AO92" s="41">
        <f t="shared" si="14"/>
        <v>0</v>
      </c>
      <c r="AP92" s="41">
        <f t="shared" si="13"/>
        <v>0</v>
      </c>
      <c r="AQ92" s="41">
        <f t="shared" si="13"/>
        <v>0</v>
      </c>
      <c r="AR92" s="41">
        <f t="shared" si="13"/>
        <v>0</v>
      </c>
      <c r="AS92" s="41">
        <f t="shared" si="13"/>
        <v>0</v>
      </c>
      <c r="AT92" s="41">
        <f t="shared" si="13"/>
        <v>0</v>
      </c>
      <c r="AU92" s="43">
        <f t="shared" ref="AU92:BB155" si="15">AJ92-(C92*N92)</f>
        <v>200</v>
      </c>
      <c r="AV92" s="43">
        <f t="shared" si="15"/>
        <v>200</v>
      </c>
      <c r="AW92" s="43">
        <f t="shared" si="15"/>
        <v>0</v>
      </c>
      <c r="AX92" s="43">
        <f t="shared" si="15"/>
        <v>0</v>
      </c>
      <c r="AY92" s="43">
        <f t="shared" si="15"/>
        <v>150</v>
      </c>
      <c r="AZ92" s="43">
        <f t="shared" si="9"/>
        <v>0</v>
      </c>
      <c r="BA92" s="43">
        <f t="shared" si="9"/>
        <v>0</v>
      </c>
      <c r="BB92" s="43">
        <f t="shared" si="9"/>
        <v>0</v>
      </c>
      <c r="BC92" s="43">
        <f t="shared" si="9"/>
        <v>0</v>
      </c>
      <c r="BD92" s="43">
        <f t="shared" si="9"/>
        <v>0</v>
      </c>
      <c r="BE92" s="43">
        <f t="shared" si="9"/>
        <v>0</v>
      </c>
      <c r="BF92" s="41">
        <f t="shared" si="12"/>
        <v>550</v>
      </c>
      <c r="BG92" s="41" t="str">
        <f t="array" ref="BG92">_xlfn.IFS(
OR(MONTH(A92)=11,MONTH(A92)=12,MONTH(A92)=1,MONTH(A92)=2),"Winter",
OR(MONTH(A92)=3,MONTH(A92)=4),"Spring",
OR(MONTH(A92)=5,MONTH(A92)=6),"Summer",
OR(MONTH(A92)=7,MONTH(A92)=8,MONTH(A92)=9),"Monsoon",
MONTH(A92)=10,"Autumn/Festive",
TRUE,""
)</f>
        <v>Summer</v>
      </c>
    </row>
    <row r="93" spans="1:59" x14ac:dyDescent="0.3">
      <c r="A93" s="39">
        <v>45418</v>
      </c>
      <c r="B93" s="40" t="str">
        <f t="shared" si="10"/>
        <v>May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2">
        <v>110</v>
      </c>
      <c r="O93" s="42">
        <v>110</v>
      </c>
      <c r="P93" s="42">
        <v>26</v>
      </c>
      <c r="Q93" s="42">
        <v>65</v>
      </c>
      <c r="R93" s="42">
        <v>200</v>
      </c>
      <c r="S93" s="42">
        <v>230</v>
      </c>
      <c r="T93" s="42">
        <v>250</v>
      </c>
      <c r="U93" s="42">
        <v>170</v>
      </c>
      <c r="V93" s="42">
        <v>25</v>
      </c>
      <c r="W93" s="42">
        <v>4</v>
      </c>
      <c r="X93" s="42">
        <v>265</v>
      </c>
      <c r="Y93" s="43">
        <v>130</v>
      </c>
      <c r="Z93" s="43">
        <v>150</v>
      </c>
      <c r="AA93" s="43">
        <v>30</v>
      </c>
      <c r="AB93" s="43">
        <v>95</v>
      </c>
      <c r="AC93" s="43">
        <v>250</v>
      </c>
      <c r="AD93" s="43">
        <v>260</v>
      </c>
      <c r="AE93" s="43">
        <v>280</v>
      </c>
      <c r="AF93" s="43">
        <v>200</v>
      </c>
      <c r="AG93" s="43">
        <v>30</v>
      </c>
      <c r="AH93" s="43">
        <v>6</v>
      </c>
      <c r="AI93" s="43">
        <v>300</v>
      </c>
      <c r="AJ93" s="41">
        <f t="shared" si="11"/>
        <v>0</v>
      </c>
      <c r="AK93" s="41">
        <f t="shared" si="14"/>
        <v>0</v>
      </c>
      <c r="AL93" s="41">
        <f t="shared" si="14"/>
        <v>0</v>
      </c>
      <c r="AM93" s="41">
        <f t="shared" si="14"/>
        <v>0</v>
      </c>
      <c r="AN93" s="41">
        <f t="shared" si="14"/>
        <v>0</v>
      </c>
      <c r="AO93" s="41">
        <f t="shared" si="14"/>
        <v>0</v>
      </c>
      <c r="AP93" s="41">
        <f t="shared" si="13"/>
        <v>0</v>
      </c>
      <c r="AQ93" s="41">
        <f t="shared" si="13"/>
        <v>0</v>
      </c>
      <c r="AR93" s="41">
        <f t="shared" si="13"/>
        <v>0</v>
      </c>
      <c r="AS93" s="41">
        <f t="shared" si="13"/>
        <v>0</v>
      </c>
      <c r="AT93" s="41">
        <f t="shared" si="13"/>
        <v>0</v>
      </c>
      <c r="AU93" s="43">
        <f t="shared" si="15"/>
        <v>0</v>
      </c>
      <c r="AV93" s="43">
        <f t="shared" si="15"/>
        <v>0</v>
      </c>
      <c r="AW93" s="43">
        <f t="shared" si="15"/>
        <v>0</v>
      </c>
      <c r="AX93" s="43">
        <f t="shared" si="15"/>
        <v>0</v>
      </c>
      <c r="AY93" s="43">
        <f t="shared" si="15"/>
        <v>0</v>
      </c>
      <c r="AZ93" s="43">
        <f t="shared" si="9"/>
        <v>0</v>
      </c>
      <c r="BA93" s="43">
        <f t="shared" si="9"/>
        <v>0</v>
      </c>
      <c r="BB93" s="43">
        <f t="shared" si="9"/>
        <v>0</v>
      </c>
      <c r="BC93" s="43">
        <f t="shared" si="9"/>
        <v>0</v>
      </c>
      <c r="BD93" s="43">
        <f t="shared" si="9"/>
        <v>0</v>
      </c>
      <c r="BE93" s="43">
        <f t="shared" si="9"/>
        <v>0</v>
      </c>
      <c r="BF93" s="41">
        <f t="shared" si="12"/>
        <v>0</v>
      </c>
      <c r="BG93" s="41" t="str">
        <f t="array" ref="BG93">_xlfn.IFS(
OR(MONTH(A93)=11,MONTH(A93)=12,MONTH(A93)=1,MONTH(A93)=2),"Winter",
OR(MONTH(A93)=3,MONTH(A93)=4),"Spring",
OR(MONTH(A93)=5,MONTH(A93)=6),"Summer",
OR(MONTH(A93)=7,MONTH(A93)=8,MONTH(A93)=9),"Monsoon",
MONTH(A93)=10,"Autumn/Festive",
TRUE,""
)</f>
        <v>Summer</v>
      </c>
    </row>
    <row r="94" spans="1:59" x14ac:dyDescent="0.3">
      <c r="A94" s="39">
        <v>45419</v>
      </c>
      <c r="B94" s="40" t="str">
        <f t="shared" si="10"/>
        <v>May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2">
        <v>110</v>
      </c>
      <c r="O94" s="42">
        <v>110</v>
      </c>
      <c r="P94" s="42">
        <v>26</v>
      </c>
      <c r="Q94" s="42">
        <v>65</v>
      </c>
      <c r="R94" s="42">
        <v>200</v>
      </c>
      <c r="S94" s="42">
        <v>230</v>
      </c>
      <c r="T94" s="42">
        <v>250</v>
      </c>
      <c r="U94" s="42">
        <v>170</v>
      </c>
      <c r="V94" s="42">
        <v>25</v>
      </c>
      <c r="W94" s="42">
        <v>4</v>
      </c>
      <c r="X94" s="42">
        <v>265</v>
      </c>
      <c r="Y94" s="43">
        <v>130</v>
      </c>
      <c r="Z94" s="43">
        <v>150</v>
      </c>
      <c r="AA94" s="43">
        <v>30</v>
      </c>
      <c r="AB94" s="43">
        <v>95</v>
      </c>
      <c r="AC94" s="43">
        <v>250</v>
      </c>
      <c r="AD94" s="43">
        <v>260</v>
      </c>
      <c r="AE94" s="43">
        <v>280</v>
      </c>
      <c r="AF94" s="43">
        <v>200</v>
      </c>
      <c r="AG94" s="43">
        <v>30</v>
      </c>
      <c r="AH94" s="43">
        <v>6</v>
      </c>
      <c r="AI94" s="43">
        <v>300</v>
      </c>
      <c r="AJ94" s="41">
        <f t="shared" si="11"/>
        <v>0</v>
      </c>
      <c r="AK94" s="41">
        <f t="shared" si="14"/>
        <v>0</v>
      </c>
      <c r="AL94" s="41">
        <f t="shared" si="14"/>
        <v>0</v>
      </c>
      <c r="AM94" s="41">
        <f t="shared" si="14"/>
        <v>0</v>
      </c>
      <c r="AN94" s="41">
        <f t="shared" si="14"/>
        <v>0</v>
      </c>
      <c r="AO94" s="41">
        <f t="shared" si="14"/>
        <v>0</v>
      </c>
      <c r="AP94" s="41">
        <f t="shared" si="13"/>
        <v>0</v>
      </c>
      <c r="AQ94" s="41">
        <f t="shared" si="13"/>
        <v>0</v>
      </c>
      <c r="AR94" s="41">
        <f t="shared" si="13"/>
        <v>0</v>
      </c>
      <c r="AS94" s="41">
        <f t="shared" si="13"/>
        <v>0</v>
      </c>
      <c r="AT94" s="41">
        <f t="shared" si="13"/>
        <v>0</v>
      </c>
      <c r="AU94" s="43">
        <f t="shared" si="15"/>
        <v>0</v>
      </c>
      <c r="AV94" s="43">
        <f t="shared" si="15"/>
        <v>0</v>
      </c>
      <c r="AW94" s="43">
        <f t="shared" si="15"/>
        <v>0</v>
      </c>
      <c r="AX94" s="43">
        <f t="shared" si="15"/>
        <v>0</v>
      </c>
      <c r="AY94" s="43">
        <f t="shared" si="15"/>
        <v>0</v>
      </c>
      <c r="AZ94" s="43">
        <f t="shared" si="9"/>
        <v>0</v>
      </c>
      <c r="BA94" s="43">
        <f t="shared" si="9"/>
        <v>0</v>
      </c>
      <c r="BB94" s="43">
        <f t="shared" si="9"/>
        <v>0</v>
      </c>
      <c r="BC94" s="43">
        <f t="shared" si="9"/>
        <v>0</v>
      </c>
      <c r="BD94" s="43">
        <f t="shared" si="9"/>
        <v>0</v>
      </c>
      <c r="BE94" s="43">
        <f t="shared" si="9"/>
        <v>0</v>
      </c>
      <c r="BF94" s="41">
        <f t="shared" si="12"/>
        <v>0</v>
      </c>
      <c r="BG94" s="41" t="str">
        <f t="array" ref="BG94">_xlfn.IFS(
OR(MONTH(A94)=11,MONTH(A94)=12,MONTH(A94)=1,MONTH(A94)=2),"Winter",
OR(MONTH(A94)=3,MONTH(A94)=4),"Spring",
OR(MONTH(A94)=5,MONTH(A94)=6),"Summer",
OR(MONTH(A94)=7,MONTH(A94)=8,MONTH(A94)=9),"Monsoon",
MONTH(A94)=10,"Autumn/Festive",
TRUE,""
)</f>
        <v>Summer</v>
      </c>
    </row>
    <row r="95" spans="1:59" x14ac:dyDescent="0.3">
      <c r="A95" s="39">
        <v>45420</v>
      </c>
      <c r="B95" s="40" t="str">
        <f t="shared" si="10"/>
        <v>May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2">
        <v>110</v>
      </c>
      <c r="O95" s="42">
        <v>110</v>
      </c>
      <c r="P95" s="42">
        <v>26</v>
      </c>
      <c r="Q95" s="42">
        <v>65</v>
      </c>
      <c r="R95" s="42">
        <v>200</v>
      </c>
      <c r="S95" s="42">
        <v>230</v>
      </c>
      <c r="T95" s="42">
        <v>250</v>
      </c>
      <c r="U95" s="42">
        <v>170</v>
      </c>
      <c r="V95" s="42">
        <v>25</v>
      </c>
      <c r="W95" s="42">
        <v>4</v>
      </c>
      <c r="X95" s="42">
        <v>265</v>
      </c>
      <c r="Y95" s="43">
        <v>130</v>
      </c>
      <c r="Z95" s="43">
        <v>150</v>
      </c>
      <c r="AA95" s="43">
        <v>30</v>
      </c>
      <c r="AB95" s="43">
        <v>95</v>
      </c>
      <c r="AC95" s="43">
        <v>250</v>
      </c>
      <c r="AD95" s="43">
        <v>260</v>
      </c>
      <c r="AE95" s="43">
        <v>280</v>
      </c>
      <c r="AF95" s="43">
        <v>200</v>
      </c>
      <c r="AG95" s="43">
        <v>30</v>
      </c>
      <c r="AH95" s="43">
        <v>6</v>
      </c>
      <c r="AI95" s="43">
        <v>300</v>
      </c>
      <c r="AJ95" s="41">
        <f t="shared" si="11"/>
        <v>0</v>
      </c>
      <c r="AK95" s="41">
        <f t="shared" si="14"/>
        <v>0</v>
      </c>
      <c r="AL95" s="41">
        <f t="shared" si="14"/>
        <v>0</v>
      </c>
      <c r="AM95" s="41">
        <f t="shared" si="14"/>
        <v>0</v>
      </c>
      <c r="AN95" s="41">
        <f t="shared" si="14"/>
        <v>0</v>
      </c>
      <c r="AO95" s="41">
        <f t="shared" si="14"/>
        <v>0</v>
      </c>
      <c r="AP95" s="41">
        <f t="shared" si="13"/>
        <v>0</v>
      </c>
      <c r="AQ95" s="41">
        <f t="shared" si="13"/>
        <v>0</v>
      </c>
      <c r="AR95" s="41">
        <f t="shared" si="13"/>
        <v>0</v>
      </c>
      <c r="AS95" s="41">
        <f t="shared" si="13"/>
        <v>0</v>
      </c>
      <c r="AT95" s="41">
        <f t="shared" si="13"/>
        <v>0</v>
      </c>
      <c r="AU95" s="43">
        <f t="shared" si="15"/>
        <v>0</v>
      </c>
      <c r="AV95" s="43">
        <f t="shared" si="15"/>
        <v>0</v>
      </c>
      <c r="AW95" s="43">
        <f t="shared" si="15"/>
        <v>0</v>
      </c>
      <c r="AX95" s="43">
        <f t="shared" si="15"/>
        <v>0</v>
      </c>
      <c r="AY95" s="43">
        <f t="shared" si="15"/>
        <v>0</v>
      </c>
      <c r="AZ95" s="43">
        <f t="shared" si="9"/>
        <v>0</v>
      </c>
      <c r="BA95" s="43">
        <f t="shared" si="9"/>
        <v>0</v>
      </c>
      <c r="BB95" s="43">
        <f t="shared" si="9"/>
        <v>0</v>
      </c>
      <c r="BC95" s="43">
        <f t="shared" si="9"/>
        <v>0</v>
      </c>
      <c r="BD95" s="43">
        <f t="shared" si="9"/>
        <v>0</v>
      </c>
      <c r="BE95" s="43">
        <f t="shared" si="9"/>
        <v>0</v>
      </c>
      <c r="BF95" s="41">
        <f t="shared" si="12"/>
        <v>0</v>
      </c>
      <c r="BG95" s="41" t="str">
        <f t="array" ref="BG95">_xlfn.IFS(
OR(MONTH(A95)=11,MONTH(A95)=12,MONTH(A95)=1,MONTH(A95)=2),"Winter",
OR(MONTH(A95)=3,MONTH(A95)=4),"Spring",
OR(MONTH(A95)=5,MONTH(A95)=6),"Summer",
OR(MONTH(A95)=7,MONTH(A95)=8,MONTH(A95)=9),"Monsoon",
MONTH(A95)=10,"Autumn/Festive",
TRUE,""
)</f>
        <v>Summer</v>
      </c>
    </row>
    <row r="96" spans="1:59" x14ac:dyDescent="0.3">
      <c r="A96" s="39">
        <v>45421</v>
      </c>
      <c r="B96" s="40" t="str">
        <f t="shared" si="10"/>
        <v>May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2">
        <v>110</v>
      </c>
      <c r="O96" s="42">
        <v>110</v>
      </c>
      <c r="P96" s="42">
        <v>26</v>
      </c>
      <c r="Q96" s="42">
        <v>65</v>
      </c>
      <c r="R96" s="42">
        <v>200</v>
      </c>
      <c r="S96" s="42">
        <v>230</v>
      </c>
      <c r="T96" s="42">
        <v>250</v>
      </c>
      <c r="U96" s="42">
        <v>170</v>
      </c>
      <c r="V96" s="42">
        <v>25</v>
      </c>
      <c r="W96" s="42">
        <v>4</v>
      </c>
      <c r="X96" s="42">
        <v>265</v>
      </c>
      <c r="Y96" s="43">
        <v>130</v>
      </c>
      <c r="Z96" s="43">
        <v>150</v>
      </c>
      <c r="AA96" s="43">
        <v>30</v>
      </c>
      <c r="AB96" s="43">
        <v>95</v>
      </c>
      <c r="AC96" s="43">
        <v>250</v>
      </c>
      <c r="AD96" s="43">
        <v>260</v>
      </c>
      <c r="AE96" s="43">
        <v>280</v>
      </c>
      <c r="AF96" s="43">
        <v>200</v>
      </c>
      <c r="AG96" s="43">
        <v>30</v>
      </c>
      <c r="AH96" s="43">
        <v>6</v>
      </c>
      <c r="AI96" s="43">
        <v>300</v>
      </c>
      <c r="AJ96" s="41">
        <f t="shared" si="11"/>
        <v>0</v>
      </c>
      <c r="AK96" s="41">
        <f t="shared" si="14"/>
        <v>0</v>
      </c>
      <c r="AL96" s="41">
        <f t="shared" si="14"/>
        <v>0</v>
      </c>
      <c r="AM96" s="41">
        <f t="shared" si="14"/>
        <v>0</v>
      </c>
      <c r="AN96" s="41">
        <f t="shared" si="14"/>
        <v>0</v>
      </c>
      <c r="AO96" s="41">
        <f t="shared" si="14"/>
        <v>0</v>
      </c>
      <c r="AP96" s="41">
        <f t="shared" si="13"/>
        <v>0</v>
      </c>
      <c r="AQ96" s="41">
        <f t="shared" si="13"/>
        <v>0</v>
      </c>
      <c r="AR96" s="41">
        <f t="shared" si="13"/>
        <v>0</v>
      </c>
      <c r="AS96" s="41">
        <f t="shared" si="13"/>
        <v>0</v>
      </c>
      <c r="AT96" s="41">
        <f t="shared" si="13"/>
        <v>0</v>
      </c>
      <c r="AU96" s="43">
        <f t="shared" si="15"/>
        <v>0</v>
      </c>
      <c r="AV96" s="43">
        <f t="shared" si="15"/>
        <v>0</v>
      </c>
      <c r="AW96" s="43">
        <f t="shared" si="15"/>
        <v>0</v>
      </c>
      <c r="AX96" s="43">
        <f t="shared" si="15"/>
        <v>0</v>
      </c>
      <c r="AY96" s="43">
        <f t="shared" si="15"/>
        <v>0</v>
      </c>
      <c r="AZ96" s="43">
        <f t="shared" si="9"/>
        <v>0</v>
      </c>
      <c r="BA96" s="43">
        <f t="shared" si="9"/>
        <v>0</v>
      </c>
      <c r="BB96" s="43">
        <f t="shared" si="9"/>
        <v>0</v>
      </c>
      <c r="BC96" s="43">
        <f t="shared" si="9"/>
        <v>0</v>
      </c>
      <c r="BD96" s="43">
        <f t="shared" si="9"/>
        <v>0</v>
      </c>
      <c r="BE96" s="43">
        <f t="shared" si="9"/>
        <v>0</v>
      </c>
      <c r="BF96" s="41">
        <f t="shared" si="12"/>
        <v>0</v>
      </c>
      <c r="BG96" s="41" t="str">
        <f t="array" ref="BG96">_xlfn.IFS(
OR(MONTH(A96)=11,MONTH(A96)=12,MONTH(A96)=1,MONTH(A96)=2),"Winter",
OR(MONTH(A96)=3,MONTH(A96)=4),"Spring",
OR(MONTH(A96)=5,MONTH(A96)=6),"Summer",
OR(MONTH(A96)=7,MONTH(A96)=8,MONTH(A96)=9),"Monsoon",
MONTH(A96)=10,"Autumn/Festive",
TRUE,""
)</f>
        <v>Summer</v>
      </c>
    </row>
    <row r="97" spans="1:59" x14ac:dyDescent="0.3">
      <c r="A97" s="39">
        <v>45422</v>
      </c>
      <c r="B97" s="40" t="str">
        <f t="shared" si="10"/>
        <v>May</v>
      </c>
      <c r="C97" s="41">
        <v>13</v>
      </c>
      <c r="D97" s="41">
        <v>5</v>
      </c>
      <c r="E97" s="41">
        <v>0</v>
      </c>
      <c r="F97" s="41">
        <v>0</v>
      </c>
      <c r="G97" s="41">
        <v>0</v>
      </c>
      <c r="H97" s="41">
        <v>0</v>
      </c>
      <c r="I97" s="41">
        <v>1</v>
      </c>
      <c r="J97" s="41">
        <v>0</v>
      </c>
      <c r="K97" s="41">
        <v>0</v>
      </c>
      <c r="L97" s="41">
        <v>0</v>
      </c>
      <c r="M97" s="41">
        <v>2</v>
      </c>
      <c r="N97" s="42">
        <v>110</v>
      </c>
      <c r="O97" s="42">
        <v>110</v>
      </c>
      <c r="P97" s="42">
        <v>26</v>
      </c>
      <c r="Q97" s="42">
        <v>65</v>
      </c>
      <c r="R97" s="42">
        <v>200</v>
      </c>
      <c r="S97" s="42">
        <v>230</v>
      </c>
      <c r="T97" s="42">
        <v>250</v>
      </c>
      <c r="U97" s="42">
        <v>170</v>
      </c>
      <c r="V97" s="42">
        <v>25</v>
      </c>
      <c r="W97" s="42">
        <v>4</v>
      </c>
      <c r="X97" s="42">
        <v>265</v>
      </c>
      <c r="Y97" s="43">
        <v>130</v>
      </c>
      <c r="Z97" s="43">
        <v>150</v>
      </c>
      <c r="AA97" s="43">
        <v>30</v>
      </c>
      <c r="AB97" s="43">
        <v>95</v>
      </c>
      <c r="AC97" s="43">
        <v>250</v>
      </c>
      <c r="AD97" s="43">
        <v>260</v>
      </c>
      <c r="AE97" s="43">
        <v>280</v>
      </c>
      <c r="AF97" s="43">
        <v>200</v>
      </c>
      <c r="AG97" s="43">
        <v>30</v>
      </c>
      <c r="AH97" s="43">
        <v>6</v>
      </c>
      <c r="AI97" s="43">
        <v>300</v>
      </c>
      <c r="AJ97" s="41">
        <f t="shared" si="11"/>
        <v>1690</v>
      </c>
      <c r="AK97" s="41">
        <f t="shared" si="14"/>
        <v>750</v>
      </c>
      <c r="AL97" s="41">
        <f t="shared" si="14"/>
        <v>0</v>
      </c>
      <c r="AM97" s="41">
        <f t="shared" si="14"/>
        <v>0</v>
      </c>
      <c r="AN97" s="41">
        <f t="shared" si="14"/>
        <v>0</v>
      </c>
      <c r="AO97" s="41">
        <f t="shared" si="14"/>
        <v>0</v>
      </c>
      <c r="AP97" s="41">
        <f t="shared" si="13"/>
        <v>280</v>
      </c>
      <c r="AQ97" s="41">
        <f t="shared" si="13"/>
        <v>0</v>
      </c>
      <c r="AR97" s="41">
        <f t="shared" si="13"/>
        <v>0</v>
      </c>
      <c r="AS97" s="41">
        <f t="shared" si="13"/>
        <v>0</v>
      </c>
      <c r="AT97" s="41">
        <f t="shared" si="13"/>
        <v>600</v>
      </c>
      <c r="AU97" s="43">
        <f t="shared" si="15"/>
        <v>260</v>
      </c>
      <c r="AV97" s="43">
        <f t="shared" si="15"/>
        <v>200</v>
      </c>
      <c r="AW97" s="43">
        <f t="shared" si="15"/>
        <v>0</v>
      </c>
      <c r="AX97" s="43">
        <f t="shared" si="15"/>
        <v>0</v>
      </c>
      <c r="AY97" s="43">
        <f t="shared" si="15"/>
        <v>0</v>
      </c>
      <c r="AZ97" s="43">
        <f t="shared" si="9"/>
        <v>0</v>
      </c>
      <c r="BA97" s="43">
        <f t="shared" si="9"/>
        <v>30</v>
      </c>
      <c r="BB97" s="43">
        <f t="shared" si="9"/>
        <v>0</v>
      </c>
      <c r="BC97" s="43">
        <f t="shared" ref="BC97:BE160" si="16">AR97-(K97*V97)</f>
        <v>0</v>
      </c>
      <c r="BD97" s="43">
        <f t="shared" si="16"/>
        <v>0</v>
      </c>
      <c r="BE97" s="43">
        <f t="shared" si="16"/>
        <v>70</v>
      </c>
      <c r="BF97" s="41">
        <f t="shared" si="12"/>
        <v>560</v>
      </c>
      <c r="BG97" s="41" t="str">
        <f t="array" ref="BG97">_xlfn.IFS(
OR(MONTH(A97)=11,MONTH(A97)=12,MONTH(A97)=1,MONTH(A97)=2),"Winter",
OR(MONTH(A97)=3,MONTH(A97)=4),"Spring",
OR(MONTH(A97)=5,MONTH(A97)=6),"Summer",
OR(MONTH(A97)=7,MONTH(A97)=8,MONTH(A97)=9),"Monsoon",
MONTH(A97)=10,"Autumn/Festive",
TRUE,""
)</f>
        <v>Summer</v>
      </c>
    </row>
    <row r="98" spans="1:59" x14ac:dyDescent="0.3">
      <c r="A98" s="39">
        <v>45423</v>
      </c>
      <c r="B98" s="40" t="str">
        <f t="shared" si="10"/>
        <v>May</v>
      </c>
      <c r="C98" s="41">
        <v>9</v>
      </c>
      <c r="D98" s="41">
        <v>0</v>
      </c>
      <c r="E98" s="41">
        <v>0</v>
      </c>
      <c r="F98" s="41">
        <v>2</v>
      </c>
      <c r="G98" s="41">
        <v>0</v>
      </c>
      <c r="H98" s="41">
        <v>0</v>
      </c>
      <c r="I98" s="41">
        <v>0</v>
      </c>
      <c r="J98" s="41">
        <v>0</v>
      </c>
      <c r="K98" s="41">
        <v>0</v>
      </c>
      <c r="L98" s="41">
        <v>0</v>
      </c>
      <c r="M98" s="41">
        <v>0</v>
      </c>
      <c r="N98" s="42">
        <v>110</v>
      </c>
      <c r="O98" s="42">
        <v>110</v>
      </c>
      <c r="P98" s="42">
        <v>26</v>
      </c>
      <c r="Q98" s="42">
        <v>65</v>
      </c>
      <c r="R98" s="42">
        <v>200</v>
      </c>
      <c r="S98" s="42">
        <v>230</v>
      </c>
      <c r="T98" s="42">
        <v>250</v>
      </c>
      <c r="U98" s="42">
        <v>170</v>
      </c>
      <c r="V98" s="42">
        <v>25</v>
      </c>
      <c r="W98" s="42">
        <v>4</v>
      </c>
      <c r="X98" s="42">
        <v>265</v>
      </c>
      <c r="Y98" s="43">
        <v>130</v>
      </c>
      <c r="Z98" s="43">
        <v>150</v>
      </c>
      <c r="AA98" s="43">
        <v>30</v>
      </c>
      <c r="AB98" s="43">
        <v>95</v>
      </c>
      <c r="AC98" s="43">
        <v>250</v>
      </c>
      <c r="AD98" s="43">
        <v>260</v>
      </c>
      <c r="AE98" s="43">
        <v>280</v>
      </c>
      <c r="AF98" s="43">
        <v>200</v>
      </c>
      <c r="AG98" s="43">
        <v>30</v>
      </c>
      <c r="AH98" s="43">
        <v>6</v>
      </c>
      <c r="AI98" s="43">
        <v>300</v>
      </c>
      <c r="AJ98" s="41">
        <f t="shared" si="11"/>
        <v>1170</v>
      </c>
      <c r="AK98" s="41">
        <f t="shared" si="14"/>
        <v>0</v>
      </c>
      <c r="AL98" s="41">
        <f t="shared" si="14"/>
        <v>0</v>
      </c>
      <c r="AM98" s="41">
        <f t="shared" si="14"/>
        <v>190</v>
      </c>
      <c r="AN98" s="41">
        <f t="shared" si="14"/>
        <v>0</v>
      </c>
      <c r="AO98" s="41">
        <f t="shared" si="14"/>
        <v>0</v>
      </c>
      <c r="AP98" s="41">
        <f t="shared" si="13"/>
        <v>0</v>
      </c>
      <c r="AQ98" s="41">
        <f t="shared" si="13"/>
        <v>0</v>
      </c>
      <c r="AR98" s="41">
        <f t="shared" si="13"/>
        <v>0</v>
      </c>
      <c r="AS98" s="41">
        <f t="shared" si="13"/>
        <v>0</v>
      </c>
      <c r="AT98" s="41">
        <f t="shared" si="13"/>
        <v>0</v>
      </c>
      <c r="AU98" s="43">
        <f t="shared" si="15"/>
        <v>180</v>
      </c>
      <c r="AV98" s="43">
        <f t="shared" si="15"/>
        <v>0</v>
      </c>
      <c r="AW98" s="43">
        <f t="shared" si="15"/>
        <v>0</v>
      </c>
      <c r="AX98" s="43">
        <f t="shared" si="15"/>
        <v>60</v>
      </c>
      <c r="AY98" s="43">
        <f t="shared" si="15"/>
        <v>0</v>
      </c>
      <c r="AZ98" s="43">
        <f t="shared" si="15"/>
        <v>0</v>
      </c>
      <c r="BA98" s="43">
        <f t="shared" si="15"/>
        <v>0</v>
      </c>
      <c r="BB98" s="43">
        <f t="shared" si="15"/>
        <v>0</v>
      </c>
      <c r="BC98" s="43">
        <f t="shared" si="16"/>
        <v>0</v>
      </c>
      <c r="BD98" s="43">
        <f t="shared" si="16"/>
        <v>0</v>
      </c>
      <c r="BE98" s="43">
        <f t="shared" si="16"/>
        <v>0</v>
      </c>
      <c r="BF98" s="41">
        <f t="shared" si="12"/>
        <v>240</v>
      </c>
      <c r="BG98" s="41" t="str">
        <f t="array" ref="BG98">_xlfn.IFS(
OR(MONTH(A98)=11,MONTH(A98)=12,MONTH(A98)=1,MONTH(A98)=2),"Winter",
OR(MONTH(A98)=3,MONTH(A98)=4),"Spring",
OR(MONTH(A98)=5,MONTH(A98)=6),"Summer",
OR(MONTH(A98)=7,MONTH(A98)=8,MONTH(A98)=9),"Monsoon",
MONTH(A98)=10,"Autumn/Festive",
TRUE,""
)</f>
        <v>Summer</v>
      </c>
    </row>
    <row r="99" spans="1:59" x14ac:dyDescent="0.3">
      <c r="A99" s="39">
        <v>45424</v>
      </c>
      <c r="B99" s="40" t="str">
        <f t="shared" si="10"/>
        <v>May</v>
      </c>
      <c r="C99" s="41">
        <v>14</v>
      </c>
      <c r="D99" s="41">
        <v>0</v>
      </c>
      <c r="E99" s="41">
        <v>0</v>
      </c>
      <c r="F99" s="41">
        <v>0</v>
      </c>
      <c r="G99" s="41">
        <v>2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2">
        <v>110</v>
      </c>
      <c r="O99" s="42">
        <v>110</v>
      </c>
      <c r="P99" s="42">
        <v>26</v>
      </c>
      <c r="Q99" s="42">
        <v>65</v>
      </c>
      <c r="R99" s="42">
        <v>200</v>
      </c>
      <c r="S99" s="42">
        <v>230</v>
      </c>
      <c r="T99" s="42">
        <v>250</v>
      </c>
      <c r="U99" s="42">
        <v>170</v>
      </c>
      <c r="V99" s="42">
        <v>25</v>
      </c>
      <c r="W99" s="42">
        <v>4</v>
      </c>
      <c r="X99" s="42">
        <v>265</v>
      </c>
      <c r="Y99" s="43">
        <v>130</v>
      </c>
      <c r="Z99" s="43">
        <v>150</v>
      </c>
      <c r="AA99" s="43">
        <v>30</v>
      </c>
      <c r="AB99" s="43">
        <v>95</v>
      </c>
      <c r="AC99" s="43">
        <v>250</v>
      </c>
      <c r="AD99" s="43">
        <v>260</v>
      </c>
      <c r="AE99" s="43">
        <v>280</v>
      </c>
      <c r="AF99" s="43">
        <v>200</v>
      </c>
      <c r="AG99" s="43">
        <v>30</v>
      </c>
      <c r="AH99" s="43">
        <v>6</v>
      </c>
      <c r="AI99" s="43">
        <v>300</v>
      </c>
      <c r="AJ99" s="41">
        <f t="shared" si="11"/>
        <v>1820</v>
      </c>
      <c r="AK99" s="41">
        <f t="shared" si="14"/>
        <v>0</v>
      </c>
      <c r="AL99" s="41">
        <f t="shared" si="14"/>
        <v>0</v>
      </c>
      <c r="AM99" s="41">
        <f t="shared" si="14"/>
        <v>0</v>
      </c>
      <c r="AN99" s="41">
        <f t="shared" si="14"/>
        <v>500</v>
      </c>
      <c r="AO99" s="41">
        <f t="shared" si="14"/>
        <v>0</v>
      </c>
      <c r="AP99" s="41">
        <f t="shared" si="13"/>
        <v>0</v>
      </c>
      <c r="AQ99" s="41">
        <f t="shared" si="13"/>
        <v>0</v>
      </c>
      <c r="AR99" s="41">
        <f t="shared" si="13"/>
        <v>0</v>
      </c>
      <c r="AS99" s="41">
        <f t="shared" si="13"/>
        <v>0</v>
      </c>
      <c r="AT99" s="41">
        <f t="shared" si="13"/>
        <v>0</v>
      </c>
      <c r="AU99" s="43">
        <f t="shared" si="15"/>
        <v>280</v>
      </c>
      <c r="AV99" s="43">
        <f t="shared" si="15"/>
        <v>0</v>
      </c>
      <c r="AW99" s="43">
        <f t="shared" si="15"/>
        <v>0</v>
      </c>
      <c r="AX99" s="43">
        <f t="shared" si="15"/>
        <v>0</v>
      </c>
      <c r="AY99" s="43">
        <f t="shared" si="15"/>
        <v>100</v>
      </c>
      <c r="AZ99" s="43">
        <f t="shared" si="15"/>
        <v>0</v>
      </c>
      <c r="BA99" s="43">
        <f t="shared" si="15"/>
        <v>0</v>
      </c>
      <c r="BB99" s="43">
        <f t="shared" si="15"/>
        <v>0</v>
      </c>
      <c r="BC99" s="43">
        <f t="shared" si="16"/>
        <v>0</v>
      </c>
      <c r="BD99" s="43">
        <f t="shared" si="16"/>
        <v>0</v>
      </c>
      <c r="BE99" s="43">
        <f t="shared" si="16"/>
        <v>0</v>
      </c>
      <c r="BF99" s="41">
        <f t="shared" si="12"/>
        <v>380</v>
      </c>
      <c r="BG99" s="41" t="str">
        <f t="array" ref="BG99">_xlfn.IFS(
OR(MONTH(A99)=11,MONTH(A99)=12,MONTH(A99)=1,MONTH(A99)=2),"Winter",
OR(MONTH(A99)=3,MONTH(A99)=4),"Spring",
OR(MONTH(A99)=5,MONTH(A99)=6),"Summer",
OR(MONTH(A99)=7,MONTH(A99)=8,MONTH(A99)=9),"Monsoon",
MONTH(A99)=10,"Autumn/Festive",
TRUE,""
)</f>
        <v>Summer</v>
      </c>
    </row>
    <row r="100" spans="1:59" x14ac:dyDescent="0.3">
      <c r="A100" s="39">
        <v>45425</v>
      </c>
      <c r="B100" s="40" t="str">
        <f t="shared" si="10"/>
        <v>May</v>
      </c>
      <c r="C100" s="41">
        <v>16</v>
      </c>
      <c r="D100" s="41">
        <v>6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2">
        <v>110</v>
      </c>
      <c r="O100" s="42">
        <v>110</v>
      </c>
      <c r="P100" s="42">
        <v>26</v>
      </c>
      <c r="Q100" s="42">
        <v>65</v>
      </c>
      <c r="R100" s="42">
        <v>200</v>
      </c>
      <c r="S100" s="42">
        <v>230</v>
      </c>
      <c r="T100" s="42">
        <v>250</v>
      </c>
      <c r="U100" s="42">
        <v>170</v>
      </c>
      <c r="V100" s="42">
        <v>25</v>
      </c>
      <c r="W100" s="42">
        <v>4</v>
      </c>
      <c r="X100" s="42">
        <v>265</v>
      </c>
      <c r="Y100" s="43">
        <v>130</v>
      </c>
      <c r="Z100" s="43">
        <v>150</v>
      </c>
      <c r="AA100" s="43">
        <v>30</v>
      </c>
      <c r="AB100" s="43">
        <v>95</v>
      </c>
      <c r="AC100" s="43">
        <v>250</v>
      </c>
      <c r="AD100" s="43">
        <v>260</v>
      </c>
      <c r="AE100" s="43">
        <v>280</v>
      </c>
      <c r="AF100" s="43">
        <v>200</v>
      </c>
      <c r="AG100" s="43">
        <v>30</v>
      </c>
      <c r="AH100" s="43">
        <v>6</v>
      </c>
      <c r="AI100" s="43">
        <v>300</v>
      </c>
      <c r="AJ100" s="41">
        <f t="shared" si="11"/>
        <v>2080</v>
      </c>
      <c r="AK100" s="41">
        <f t="shared" si="14"/>
        <v>900</v>
      </c>
      <c r="AL100" s="41">
        <f t="shared" si="14"/>
        <v>0</v>
      </c>
      <c r="AM100" s="41">
        <f t="shared" si="14"/>
        <v>0</v>
      </c>
      <c r="AN100" s="41">
        <f t="shared" si="14"/>
        <v>0</v>
      </c>
      <c r="AO100" s="41">
        <f t="shared" si="14"/>
        <v>0</v>
      </c>
      <c r="AP100" s="41">
        <f t="shared" si="13"/>
        <v>0</v>
      </c>
      <c r="AQ100" s="41">
        <f t="shared" si="13"/>
        <v>0</v>
      </c>
      <c r="AR100" s="41">
        <f t="shared" si="13"/>
        <v>0</v>
      </c>
      <c r="AS100" s="41">
        <f t="shared" si="13"/>
        <v>0</v>
      </c>
      <c r="AT100" s="41">
        <f t="shared" si="13"/>
        <v>0</v>
      </c>
      <c r="AU100" s="43">
        <f t="shared" si="15"/>
        <v>320</v>
      </c>
      <c r="AV100" s="43">
        <f t="shared" si="15"/>
        <v>240</v>
      </c>
      <c r="AW100" s="43">
        <f t="shared" si="15"/>
        <v>0</v>
      </c>
      <c r="AX100" s="43">
        <f t="shared" si="15"/>
        <v>0</v>
      </c>
      <c r="AY100" s="43">
        <f t="shared" si="15"/>
        <v>0</v>
      </c>
      <c r="AZ100" s="43">
        <f t="shared" si="15"/>
        <v>0</v>
      </c>
      <c r="BA100" s="43">
        <f t="shared" si="15"/>
        <v>0</v>
      </c>
      <c r="BB100" s="43">
        <f t="shared" si="15"/>
        <v>0</v>
      </c>
      <c r="BC100" s="43">
        <f t="shared" si="16"/>
        <v>0</v>
      </c>
      <c r="BD100" s="43">
        <f t="shared" si="16"/>
        <v>0</v>
      </c>
      <c r="BE100" s="43">
        <f t="shared" si="16"/>
        <v>0</v>
      </c>
      <c r="BF100" s="41">
        <f t="shared" si="12"/>
        <v>560</v>
      </c>
      <c r="BG100" s="41" t="str">
        <f t="array" ref="BG100">_xlfn.IFS(
OR(MONTH(A100)=11,MONTH(A100)=12,MONTH(A100)=1,MONTH(A100)=2),"Winter",
OR(MONTH(A100)=3,MONTH(A100)=4),"Spring",
OR(MONTH(A100)=5,MONTH(A100)=6),"Summer",
OR(MONTH(A100)=7,MONTH(A100)=8,MONTH(A100)=9),"Monsoon",
MONTH(A100)=10,"Autumn/Festive",
TRUE,""
)</f>
        <v>Summer</v>
      </c>
    </row>
    <row r="101" spans="1:59" x14ac:dyDescent="0.3">
      <c r="A101" s="39">
        <v>45426</v>
      </c>
      <c r="B101" s="40" t="str">
        <f t="shared" si="10"/>
        <v>May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2">
        <v>110</v>
      </c>
      <c r="O101" s="42">
        <v>110</v>
      </c>
      <c r="P101" s="42">
        <v>26</v>
      </c>
      <c r="Q101" s="42">
        <v>65</v>
      </c>
      <c r="R101" s="42">
        <v>200</v>
      </c>
      <c r="S101" s="42">
        <v>230</v>
      </c>
      <c r="T101" s="42">
        <v>250</v>
      </c>
      <c r="U101" s="42">
        <v>170</v>
      </c>
      <c r="V101" s="42">
        <v>25</v>
      </c>
      <c r="W101" s="42">
        <v>4</v>
      </c>
      <c r="X101" s="42">
        <v>265</v>
      </c>
      <c r="Y101" s="43">
        <v>130</v>
      </c>
      <c r="Z101" s="43">
        <v>150</v>
      </c>
      <c r="AA101" s="43">
        <v>30</v>
      </c>
      <c r="AB101" s="43">
        <v>95</v>
      </c>
      <c r="AC101" s="43">
        <v>250</v>
      </c>
      <c r="AD101" s="43">
        <v>260</v>
      </c>
      <c r="AE101" s="43">
        <v>280</v>
      </c>
      <c r="AF101" s="43">
        <v>200</v>
      </c>
      <c r="AG101" s="43">
        <v>30</v>
      </c>
      <c r="AH101" s="43">
        <v>6</v>
      </c>
      <c r="AI101" s="43">
        <v>300</v>
      </c>
      <c r="AJ101" s="41">
        <f t="shared" si="11"/>
        <v>0</v>
      </c>
      <c r="AK101" s="41">
        <f t="shared" si="14"/>
        <v>0</v>
      </c>
      <c r="AL101" s="41">
        <f t="shared" si="14"/>
        <v>0</v>
      </c>
      <c r="AM101" s="41">
        <f t="shared" si="14"/>
        <v>0</v>
      </c>
      <c r="AN101" s="41">
        <f t="shared" si="14"/>
        <v>0</v>
      </c>
      <c r="AO101" s="41">
        <f t="shared" si="14"/>
        <v>0</v>
      </c>
      <c r="AP101" s="41">
        <f t="shared" si="13"/>
        <v>0</v>
      </c>
      <c r="AQ101" s="41">
        <f t="shared" si="13"/>
        <v>0</v>
      </c>
      <c r="AR101" s="41">
        <f t="shared" si="13"/>
        <v>0</v>
      </c>
      <c r="AS101" s="41">
        <f t="shared" si="13"/>
        <v>0</v>
      </c>
      <c r="AT101" s="41">
        <f t="shared" si="13"/>
        <v>0</v>
      </c>
      <c r="AU101" s="43">
        <f t="shared" si="15"/>
        <v>0</v>
      </c>
      <c r="AV101" s="43">
        <f t="shared" si="15"/>
        <v>0</v>
      </c>
      <c r="AW101" s="43">
        <f t="shared" si="15"/>
        <v>0</v>
      </c>
      <c r="AX101" s="43">
        <f t="shared" si="15"/>
        <v>0</v>
      </c>
      <c r="AY101" s="43">
        <f t="shared" si="15"/>
        <v>0</v>
      </c>
      <c r="AZ101" s="43">
        <f t="shared" si="15"/>
        <v>0</v>
      </c>
      <c r="BA101" s="43">
        <f t="shared" si="15"/>
        <v>0</v>
      </c>
      <c r="BB101" s="43">
        <f t="shared" si="15"/>
        <v>0</v>
      </c>
      <c r="BC101" s="43">
        <f t="shared" si="16"/>
        <v>0</v>
      </c>
      <c r="BD101" s="43">
        <f t="shared" si="16"/>
        <v>0</v>
      </c>
      <c r="BE101" s="43">
        <f t="shared" si="16"/>
        <v>0</v>
      </c>
      <c r="BF101" s="41">
        <f t="shared" si="12"/>
        <v>0</v>
      </c>
      <c r="BG101" s="41" t="str">
        <f t="array" ref="BG101">_xlfn.IFS(
OR(MONTH(A101)=11,MONTH(A101)=12,MONTH(A101)=1,MONTH(A101)=2),"Winter",
OR(MONTH(A101)=3,MONTH(A101)=4),"Spring",
OR(MONTH(A101)=5,MONTH(A101)=6),"Summer",
OR(MONTH(A101)=7,MONTH(A101)=8,MONTH(A101)=9),"Monsoon",
MONTH(A101)=10,"Autumn/Festive",
TRUE,""
)</f>
        <v>Summer</v>
      </c>
    </row>
    <row r="102" spans="1:59" x14ac:dyDescent="0.3">
      <c r="A102" s="39">
        <v>45427</v>
      </c>
      <c r="B102" s="40" t="str">
        <f t="shared" si="10"/>
        <v>May</v>
      </c>
      <c r="C102" s="41">
        <v>2</v>
      </c>
      <c r="D102" s="41">
        <v>0</v>
      </c>
      <c r="E102" s="41">
        <v>0</v>
      </c>
      <c r="F102" s="41">
        <v>5</v>
      </c>
      <c r="G102" s="41">
        <v>2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2">
        <v>110</v>
      </c>
      <c r="O102" s="42">
        <v>110</v>
      </c>
      <c r="P102" s="42">
        <v>26</v>
      </c>
      <c r="Q102" s="42">
        <v>65</v>
      </c>
      <c r="R102" s="42">
        <v>200</v>
      </c>
      <c r="S102" s="42">
        <v>230</v>
      </c>
      <c r="T102" s="42">
        <v>250</v>
      </c>
      <c r="U102" s="42">
        <v>170</v>
      </c>
      <c r="V102" s="42">
        <v>25</v>
      </c>
      <c r="W102" s="42">
        <v>4</v>
      </c>
      <c r="X102" s="42">
        <v>265</v>
      </c>
      <c r="Y102" s="43">
        <v>130</v>
      </c>
      <c r="Z102" s="43">
        <v>150</v>
      </c>
      <c r="AA102" s="43">
        <v>30</v>
      </c>
      <c r="AB102" s="43">
        <v>95</v>
      </c>
      <c r="AC102" s="43">
        <v>250</v>
      </c>
      <c r="AD102" s="43">
        <v>260</v>
      </c>
      <c r="AE102" s="43">
        <v>280</v>
      </c>
      <c r="AF102" s="43">
        <v>200</v>
      </c>
      <c r="AG102" s="43">
        <v>30</v>
      </c>
      <c r="AH102" s="43">
        <v>6</v>
      </c>
      <c r="AI102" s="43">
        <v>300</v>
      </c>
      <c r="AJ102" s="41">
        <f t="shared" si="11"/>
        <v>260</v>
      </c>
      <c r="AK102" s="41">
        <f t="shared" si="14"/>
        <v>0</v>
      </c>
      <c r="AL102" s="41">
        <f t="shared" si="14"/>
        <v>0</v>
      </c>
      <c r="AM102" s="41">
        <f t="shared" si="14"/>
        <v>475</v>
      </c>
      <c r="AN102" s="41">
        <f t="shared" si="14"/>
        <v>500</v>
      </c>
      <c r="AO102" s="41">
        <f t="shared" si="14"/>
        <v>0</v>
      </c>
      <c r="AP102" s="41">
        <f t="shared" si="13"/>
        <v>0</v>
      </c>
      <c r="AQ102" s="41">
        <f t="shared" si="13"/>
        <v>0</v>
      </c>
      <c r="AR102" s="41">
        <f t="shared" si="13"/>
        <v>0</v>
      </c>
      <c r="AS102" s="41">
        <f t="shared" si="13"/>
        <v>0</v>
      </c>
      <c r="AT102" s="41">
        <f t="shared" si="13"/>
        <v>0</v>
      </c>
      <c r="AU102" s="43">
        <f t="shared" si="15"/>
        <v>40</v>
      </c>
      <c r="AV102" s="43">
        <f t="shared" si="15"/>
        <v>0</v>
      </c>
      <c r="AW102" s="43">
        <f t="shared" si="15"/>
        <v>0</v>
      </c>
      <c r="AX102" s="43">
        <f t="shared" si="15"/>
        <v>150</v>
      </c>
      <c r="AY102" s="43">
        <f t="shared" si="15"/>
        <v>100</v>
      </c>
      <c r="AZ102" s="43">
        <f t="shared" si="15"/>
        <v>0</v>
      </c>
      <c r="BA102" s="43">
        <f t="shared" si="15"/>
        <v>0</v>
      </c>
      <c r="BB102" s="43">
        <f t="shared" si="15"/>
        <v>0</v>
      </c>
      <c r="BC102" s="43">
        <f t="shared" si="16"/>
        <v>0</v>
      </c>
      <c r="BD102" s="43">
        <f t="shared" si="16"/>
        <v>0</v>
      </c>
      <c r="BE102" s="43">
        <f t="shared" si="16"/>
        <v>0</v>
      </c>
      <c r="BF102" s="41">
        <f t="shared" si="12"/>
        <v>290</v>
      </c>
      <c r="BG102" s="41" t="str">
        <f t="array" ref="BG102">_xlfn.IFS(
OR(MONTH(A102)=11,MONTH(A102)=12,MONTH(A102)=1,MONTH(A102)=2),"Winter",
OR(MONTH(A102)=3,MONTH(A102)=4),"Spring",
OR(MONTH(A102)=5,MONTH(A102)=6),"Summer",
OR(MONTH(A102)=7,MONTH(A102)=8,MONTH(A102)=9),"Monsoon",
MONTH(A102)=10,"Autumn/Festive",
TRUE,""
)</f>
        <v>Summer</v>
      </c>
    </row>
    <row r="103" spans="1:59" x14ac:dyDescent="0.3">
      <c r="A103" s="39">
        <v>45428</v>
      </c>
      <c r="B103" s="40" t="str">
        <f t="shared" si="10"/>
        <v>May</v>
      </c>
      <c r="C103" s="41">
        <v>11</v>
      </c>
      <c r="D103" s="41">
        <v>0</v>
      </c>
      <c r="E103" s="41">
        <v>0</v>
      </c>
      <c r="F103" s="41">
        <v>0</v>
      </c>
      <c r="G103" s="41">
        <v>8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2">
        <v>110</v>
      </c>
      <c r="O103" s="42">
        <v>110</v>
      </c>
      <c r="P103" s="42">
        <v>26</v>
      </c>
      <c r="Q103" s="42">
        <v>65</v>
      </c>
      <c r="R103" s="42">
        <v>200</v>
      </c>
      <c r="S103" s="42">
        <v>230</v>
      </c>
      <c r="T103" s="42">
        <v>250</v>
      </c>
      <c r="U103" s="42">
        <v>170</v>
      </c>
      <c r="V103" s="42">
        <v>25</v>
      </c>
      <c r="W103" s="42">
        <v>4</v>
      </c>
      <c r="X103" s="42">
        <v>265</v>
      </c>
      <c r="Y103" s="43">
        <v>130</v>
      </c>
      <c r="Z103" s="43">
        <v>150</v>
      </c>
      <c r="AA103" s="43">
        <v>30</v>
      </c>
      <c r="AB103" s="43">
        <v>95</v>
      </c>
      <c r="AC103" s="43">
        <v>250</v>
      </c>
      <c r="AD103" s="43">
        <v>260</v>
      </c>
      <c r="AE103" s="43">
        <v>280</v>
      </c>
      <c r="AF103" s="43">
        <v>200</v>
      </c>
      <c r="AG103" s="43">
        <v>30</v>
      </c>
      <c r="AH103" s="43">
        <v>6</v>
      </c>
      <c r="AI103" s="43">
        <v>300</v>
      </c>
      <c r="AJ103" s="41">
        <f t="shared" si="11"/>
        <v>1430</v>
      </c>
      <c r="AK103" s="41">
        <f t="shared" si="14"/>
        <v>0</v>
      </c>
      <c r="AL103" s="41">
        <f t="shared" si="14"/>
        <v>0</v>
      </c>
      <c r="AM103" s="41">
        <f t="shared" si="14"/>
        <v>0</v>
      </c>
      <c r="AN103" s="41">
        <f t="shared" si="14"/>
        <v>2000</v>
      </c>
      <c r="AO103" s="41">
        <f t="shared" si="14"/>
        <v>0</v>
      </c>
      <c r="AP103" s="41">
        <f t="shared" si="13"/>
        <v>0</v>
      </c>
      <c r="AQ103" s="41">
        <f t="shared" si="13"/>
        <v>0</v>
      </c>
      <c r="AR103" s="41">
        <f t="shared" si="13"/>
        <v>0</v>
      </c>
      <c r="AS103" s="41">
        <f t="shared" si="13"/>
        <v>0</v>
      </c>
      <c r="AT103" s="41">
        <f t="shared" si="13"/>
        <v>0</v>
      </c>
      <c r="AU103" s="43">
        <f t="shared" si="15"/>
        <v>220</v>
      </c>
      <c r="AV103" s="43">
        <f t="shared" si="15"/>
        <v>0</v>
      </c>
      <c r="AW103" s="43">
        <f t="shared" si="15"/>
        <v>0</v>
      </c>
      <c r="AX103" s="43">
        <f t="shared" si="15"/>
        <v>0</v>
      </c>
      <c r="AY103" s="43">
        <f t="shared" si="15"/>
        <v>400</v>
      </c>
      <c r="AZ103" s="43">
        <f t="shared" si="15"/>
        <v>0</v>
      </c>
      <c r="BA103" s="43">
        <f t="shared" si="15"/>
        <v>0</v>
      </c>
      <c r="BB103" s="43">
        <f t="shared" si="15"/>
        <v>0</v>
      </c>
      <c r="BC103" s="43">
        <f t="shared" si="16"/>
        <v>0</v>
      </c>
      <c r="BD103" s="43">
        <f t="shared" si="16"/>
        <v>0</v>
      </c>
      <c r="BE103" s="43">
        <f t="shared" si="16"/>
        <v>0</v>
      </c>
      <c r="BF103" s="41">
        <f t="shared" si="12"/>
        <v>620</v>
      </c>
      <c r="BG103" s="41" t="str">
        <f t="array" ref="BG103">_xlfn.IFS(
OR(MONTH(A103)=11,MONTH(A103)=12,MONTH(A103)=1,MONTH(A103)=2),"Winter",
OR(MONTH(A103)=3,MONTH(A103)=4),"Spring",
OR(MONTH(A103)=5,MONTH(A103)=6),"Summer",
OR(MONTH(A103)=7,MONTH(A103)=8,MONTH(A103)=9),"Monsoon",
MONTH(A103)=10,"Autumn/Festive",
TRUE,""
)</f>
        <v>Summer</v>
      </c>
    </row>
    <row r="104" spans="1:59" x14ac:dyDescent="0.3">
      <c r="A104" s="39">
        <v>45429</v>
      </c>
      <c r="B104" s="40" t="str">
        <f t="shared" si="10"/>
        <v>May</v>
      </c>
      <c r="C104" s="41">
        <v>20</v>
      </c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>
        <v>0</v>
      </c>
      <c r="K104" s="41">
        <v>0</v>
      </c>
      <c r="L104" s="41">
        <v>0</v>
      </c>
      <c r="M104" s="41">
        <v>0</v>
      </c>
      <c r="N104" s="42">
        <v>110</v>
      </c>
      <c r="O104" s="42">
        <v>110</v>
      </c>
      <c r="P104" s="42">
        <v>26</v>
      </c>
      <c r="Q104" s="42">
        <v>65</v>
      </c>
      <c r="R104" s="42">
        <v>200</v>
      </c>
      <c r="S104" s="42">
        <v>230</v>
      </c>
      <c r="T104" s="42">
        <v>250</v>
      </c>
      <c r="U104" s="42">
        <v>170</v>
      </c>
      <c r="V104" s="42">
        <v>25</v>
      </c>
      <c r="W104" s="42">
        <v>4</v>
      </c>
      <c r="X104" s="42">
        <v>265</v>
      </c>
      <c r="Y104" s="43">
        <v>130</v>
      </c>
      <c r="Z104" s="43">
        <v>150</v>
      </c>
      <c r="AA104" s="43">
        <v>30</v>
      </c>
      <c r="AB104" s="43">
        <v>95</v>
      </c>
      <c r="AC104" s="43">
        <v>250</v>
      </c>
      <c r="AD104" s="43">
        <v>260</v>
      </c>
      <c r="AE104" s="43">
        <v>280</v>
      </c>
      <c r="AF104" s="43">
        <v>200</v>
      </c>
      <c r="AG104" s="43">
        <v>30</v>
      </c>
      <c r="AH104" s="43">
        <v>6</v>
      </c>
      <c r="AI104" s="43">
        <v>300</v>
      </c>
      <c r="AJ104" s="41">
        <f t="shared" si="11"/>
        <v>2600</v>
      </c>
      <c r="AK104" s="41">
        <f t="shared" si="14"/>
        <v>0</v>
      </c>
      <c r="AL104" s="41">
        <f t="shared" si="14"/>
        <v>0</v>
      </c>
      <c r="AM104" s="41">
        <f t="shared" si="14"/>
        <v>0</v>
      </c>
      <c r="AN104" s="41">
        <f t="shared" si="14"/>
        <v>0</v>
      </c>
      <c r="AO104" s="41">
        <f t="shared" si="14"/>
        <v>0</v>
      </c>
      <c r="AP104" s="41">
        <f t="shared" si="13"/>
        <v>0</v>
      </c>
      <c r="AQ104" s="41">
        <f t="shared" si="13"/>
        <v>0</v>
      </c>
      <c r="AR104" s="41">
        <f t="shared" si="13"/>
        <v>0</v>
      </c>
      <c r="AS104" s="41">
        <f t="shared" si="13"/>
        <v>0</v>
      </c>
      <c r="AT104" s="41">
        <f t="shared" si="13"/>
        <v>0</v>
      </c>
      <c r="AU104" s="43">
        <f t="shared" si="15"/>
        <v>400</v>
      </c>
      <c r="AV104" s="43">
        <f t="shared" si="15"/>
        <v>0</v>
      </c>
      <c r="AW104" s="43">
        <f t="shared" si="15"/>
        <v>0</v>
      </c>
      <c r="AX104" s="43">
        <f t="shared" si="15"/>
        <v>0</v>
      </c>
      <c r="AY104" s="43">
        <f t="shared" si="15"/>
        <v>0</v>
      </c>
      <c r="AZ104" s="43">
        <f t="shared" si="15"/>
        <v>0</v>
      </c>
      <c r="BA104" s="43">
        <f t="shared" si="15"/>
        <v>0</v>
      </c>
      <c r="BB104" s="43">
        <f t="shared" si="15"/>
        <v>0</v>
      </c>
      <c r="BC104" s="43">
        <f t="shared" si="16"/>
        <v>0</v>
      </c>
      <c r="BD104" s="43">
        <f t="shared" si="16"/>
        <v>0</v>
      </c>
      <c r="BE104" s="43">
        <f t="shared" si="16"/>
        <v>0</v>
      </c>
      <c r="BF104" s="41">
        <f t="shared" si="12"/>
        <v>400</v>
      </c>
      <c r="BG104" s="41" t="str">
        <f t="array" ref="BG104">_xlfn.IFS(
OR(MONTH(A104)=11,MONTH(A104)=12,MONTH(A104)=1,MONTH(A104)=2),"Winter",
OR(MONTH(A104)=3,MONTH(A104)=4),"Spring",
OR(MONTH(A104)=5,MONTH(A104)=6),"Summer",
OR(MONTH(A104)=7,MONTH(A104)=8,MONTH(A104)=9),"Monsoon",
MONTH(A104)=10,"Autumn/Festive",
TRUE,""
)</f>
        <v>Summer</v>
      </c>
    </row>
    <row r="105" spans="1:59" x14ac:dyDescent="0.3">
      <c r="A105" s="39">
        <v>45430</v>
      </c>
      <c r="B105" s="40" t="str">
        <f t="shared" si="10"/>
        <v>May</v>
      </c>
      <c r="C105" s="41">
        <v>12</v>
      </c>
      <c r="D105" s="41">
        <v>4</v>
      </c>
      <c r="E105" s="41">
        <v>0</v>
      </c>
      <c r="F105" s="41">
        <v>0</v>
      </c>
      <c r="G105" s="41">
        <v>0</v>
      </c>
      <c r="H105" s="41">
        <v>0</v>
      </c>
      <c r="I105" s="41">
        <v>0</v>
      </c>
      <c r="J105" s="41">
        <v>0</v>
      </c>
      <c r="K105" s="41">
        <v>0</v>
      </c>
      <c r="L105" s="41">
        <v>0</v>
      </c>
      <c r="M105" s="41">
        <v>0</v>
      </c>
      <c r="N105" s="42">
        <v>110</v>
      </c>
      <c r="O105" s="42">
        <v>110</v>
      </c>
      <c r="P105" s="42">
        <v>26</v>
      </c>
      <c r="Q105" s="42">
        <v>65</v>
      </c>
      <c r="R105" s="42">
        <v>200</v>
      </c>
      <c r="S105" s="42">
        <v>230</v>
      </c>
      <c r="T105" s="42">
        <v>250</v>
      </c>
      <c r="U105" s="42">
        <v>170</v>
      </c>
      <c r="V105" s="42">
        <v>25</v>
      </c>
      <c r="W105" s="42">
        <v>4</v>
      </c>
      <c r="X105" s="42">
        <v>265</v>
      </c>
      <c r="Y105" s="43">
        <v>130</v>
      </c>
      <c r="Z105" s="43">
        <v>150</v>
      </c>
      <c r="AA105" s="43">
        <v>30</v>
      </c>
      <c r="AB105" s="43">
        <v>95</v>
      </c>
      <c r="AC105" s="43">
        <v>250</v>
      </c>
      <c r="AD105" s="43">
        <v>260</v>
      </c>
      <c r="AE105" s="43">
        <v>280</v>
      </c>
      <c r="AF105" s="43">
        <v>200</v>
      </c>
      <c r="AG105" s="43">
        <v>30</v>
      </c>
      <c r="AH105" s="43">
        <v>6</v>
      </c>
      <c r="AI105" s="43">
        <v>300</v>
      </c>
      <c r="AJ105" s="41">
        <f t="shared" si="11"/>
        <v>1560</v>
      </c>
      <c r="AK105" s="41">
        <f t="shared" si="14"/>
        <v>600</v>
      </c>
      <c r="AL105" s="41">
        <f t="shared" si="14"/>
        <v>0</v>
      </c>
      <c r="AM105" s="41">
        <f t="shared" si="14"/>
        <v>0</v>
      </c>
      <c r="AN105" s="41">
        <f t="shared" si="14"/>
        <v>0</v>
      </c>
      <c r="AO105" s="41">
        <f t="shared" si="14"/>
        <v>0</v>
      </c>
      <c r="AP105" s="41">
        <f t="shared" si="13"/>
        <v>0</v>
      </c>
      <c r="AQ105" s="41">
        <f t="shared" si="13"/>
        <v>0</v>
      </c>
      <c r="AR105" s="41">
        <f t="shared" si="13"/>
        <v>0</v>
      </c>
      <c r="AS105" s="41">
        <f t="shared" si="13"/>
        <v>0</v>
      </c>
      <c r="AT105" s="41">
        <f t="shared" si="13"/>
        <v>0</v>
      </c>
      <c r="AU105" s="43">
        <f t="shared" si="15"/>
        <v>240</v>
      </c>
      <c r="AV105" s="43">
        <f t="shared" si="15"/>
        <v>160</v>
      </c>
      <c r="AW105" s="43">
        <f t="shared" si="15"/>
        <v>0</v>
      </c>
      <c r="AX105" s="43">
        <f t="shared" si="15"/>
        <v>0</v>
      </c>
      <c r="AY105" s="43">
        <f t="shared" si="15"/>
        <v>0</v>
      </c>
      <c r="AZ105" s="43">
        <f t="shared" si="15"/>
        <v>0</v>
      </c>
      <c r="BA105" s="43">
        <f t="shared" si="15"/>
        <v>0</v>
      </c>
      <c r="BB105" s="43">
        <f t="shared" si="15"/>
        <v>0</v>
      </c>
      <c r="BC105" s="43">
        <f t="shared" si="16"/>
        <v>0</v>
      </c>
      <c r="BD105" s="43">
        <f t="shared" si="16"/>
        <v>0</v>
      </c>
      <c r="BE105" s="43">
        <f t="shared" si="16"/>
        <v>0</v>
      </c>
      <c r="BF105" s="41">
        <f t="shared" si="12"/>
        <v>400</v>
      </c>
      <c r="BG105" s="41" t="str">
        <f t="array" ref="BG105">_xlfn.IFS(
OR(MONTH(A105)=11,MONTH(A105)=12,MONTH(A105)=1,MONTH(A105)=2),"Winter",
OR(MONTH(A105)=3,MONTH(A105)=4),"Spring",
OR(MONTH(A105)=5,MONTH(A105)=6),"Summer",
OR(MONTH(A105)=7,MONTH(A105)=8,MONTH(A105)=9),"Monsoon",
MONTH(A105)=10,"Autumn/Festive",
TRUE,""
)</f>
        <v>Summer</v>
      </c>
    </row>
    <row r="106" spans="1:59" x14ac:dyDescent="0.3">
      <c r="A106" s="39">
        <v>45431</v>
      </c>
      <c r="B106" s="40" t="str">
        <f t="shared" si="10"/>
        <v>May</v>
      </c>
      <c r="C106" s="41">
        <v>12</v>
      </c>
      <c r="D106" s="41">
        <v>0</v>
      </c>
      <c r="E106" s="41">
        <v>0</v>
      </c>
      <c r="F106" s="41">
        <v>2</v>
      </c>
      <c r="G106" s="41">
        <v>2</v>
      </c>
      <c r="H106" s="41">
        <v>0</v>
      </c>
      <c r="I106" s="41">
        <v>0</v>
      </c>
      <c r="J106" s="41">
        <v>0</v>
      </c>
      <c r="K106" s="41">
        <v>0</v>
      </c>
      <c r="L106" s="41">
        <v>0</v>
      </c>
      <c r="M106" s="41">
        <v>0</v>
      </c>
      <c r="N106" s="42">
        <v>110</v>
      </c>
      <c r="O106" s="42">
        <v>110</v>
      </c>
      <c r="P106" s="42">
        <v>26</v>
      </c>
      <c r="Q106" s="42">
        <v>65</v>
      </c>
      <c r="R106" s="42">
        <v>200</v>
      </c>
      <c r="S106" s="42">
        <v>230</v>
      </c>
      <c r="T106" s="42">
        <v>250</v>
      </c>
      <c r="U106" s="42">
        <v>170</v>
      </c>
      <c r="V106" s="42">
        <v>25</v>
      </c>
      <c r="W106" s="42">
        <v>4</v>
      </c>
      <c r="X106" s="42">
        <v>265</v>
      </c>
      <c r="Y106" s="43">
        <v>130</v>
      </c>
      <c r="Z106" s="43">
        <v>150</v>
      </c>
      <c r="AA106" s="43">
        <v>30</v>
      </c>
      <c r="AB106" s="43">
        <v>95</v>
      </c>
      <c r="AC106" s="43">
        <v>250</v>
      </c>
      <c r="AD106" s="43">
        <v>260</v>
      </c>
      <c r="AE106" s="43">
        <v>280</v>
      </c>
      <c r="AF106" s="43">
        <v>200</v>
      </c>
      <c r="AG106" s="43">
        <v>30</v>
      </c>
      <c r="AH106" s="43">
        <v>6</v>
      </c>
      <c r="AI106" s="43">
        <v>300</v>
      </c>
      <c r="AJ106" s="41">
        <f t="shared" si="11"/>
        <v>1560</v>
      </c>
      <c r="AK106" s="41">
        <f t="shared" si="14"/>
        <v>0</v>
      </c>
      <c r="AL106" s="41">
        <f t="shared" si="14"/>
        <v>0</v>
      </c>
      <c r="AM106" s="41">
        <f t="shared" si="14"/>
        <v>190</v>
      </c>
      <c r="AN106" s="41">
        <f t="shared" si="14"/>
        <v>500</v>
      </c>
      <c r="AO106" s="41">
        <f t="shared" si="14"/>
        <v>0</v>
      </c>
      <c r="AP106" s="41">
        <f t="shared" si="13"/>
        <v>0</v>
      </c>
      <c r="AQ106" s="41">
        <f t="shared" si="13"/>
        <v>0</v>
      </c>
      <c r="AR106" s="41">
        <f t="shared" si="13"/>
        <v>0</v>
      </c>
      <c r="AS106" s="41">
        <f t="shared" si="13"/>
        <v>0</v>
      </c>
      <c r="AT106" s="41">
        <f t="shared" si="13"/>
        <v>0</v>
      </c>
      <c r="AU106" s="43">
        <f t="shared" si="15"/>
        <v>240</v>
      </c>
      <c r="AV106" s="43">
        <f t="shared" si="15"/>
        <v>0</v>
      </c>
      <c r="AW106" s="43">
        <f t="shared" si="15"/>
        <v>0</v>
      </c>
      <c r="AX106" s="43">
        <f t="shared" si="15"/>
        <v>60</v>
      </c>
      <c r="AY106" s="43">
        <f t="shared" si="15"/>
        <v>100</v>
      </c>
      <c r="AZ106" s="43">
        <f t="shared" si="15"/>
        <v>0</v>
      </c>
      <c r="BA106" s="43">
        <f t="shared" si="15"/>
        <v>0</v>
      </c>
      <c r="BB106" s="43">
        <f t="shared" si="15"/>
        <v>0</v>
      </c>
      <c r="BC106" s="43">
        <f t="shared" si="16"/>
        <v>0</v>
      </c>
      <c r="BD106" s="43">
        <f t="shared" si="16"/>
        <v>0</v>
      </c>
      <c r="BE106" s="43">
        <f t="shared" si="16"/>
        <v>0</v>
      </c>
      <c r="BF106" s="41">
        <f t="shared" si="12"/>
        <v>400</v>
      </c>
      <c r="BG106" s="41" t="str">
        <f t="array" ref="BG106">_xlfn.IFS(
OR(MONTH(A106)=11,MONTH(A106)=12,MONTH(A106)=1,MONTH(A106)=2),"Winter",
OR(MONTH(A106)=3,MONTH(A106)=4),"Spring",
OR(MONTH(A106)=5,MONTH(A106)=6),"Summer",
OR(MONTH(A106)=7,MONTH(A106)=8,MONTH(A106)=9),"Monsoon",
MONTH(A106)=10,"Autumn/Festive",
TRUE,""
)</f>
        <v>Summer</v>
      </c>
    </row>
    <row r="107" spans="1:59" x14ac:dyDescent="0.3">
      <c r="A107" s="39">
        <v>45432</v>
      </c>
      <c r="B107" s="40" t="str">
        <f t="shared" si="10"/>
        <v>May</v>
      </c>
      <c r="C107" s="41">
        <v>28</v>
      </c>
      <c r="D107" s="41">
        <v>0</v>
      </c>
      <c r="E107" s="41">
        <v>0</v>
      </c>
      <c r="F107" s="41">
        <v>0</v>
      </c>
      <c r="G107" s="41">
        <v>0</v>
      </c>
      <c r="H107" s="41">
        <v>0</v>
      </c>
      <c r="I107" s="41">
        <v>0</v>
      </c>
      <c r="J107" s="41">
        <v>0</v>
      </c>
      <c r="K107" s="41">
        <v>0</v>
      </c>
      <c r="L107" s="41">
        <v>0</v>
      </c>
      <c r="M107" s="41">
        <v>0</v>
      </c>
      <c r="N107" s="42">
        <v>110</v>
      </c>
      <c r="O107" s="42">
        <v>110</v>
      </c>
      <c r="P107" s="42">
        <v>26</v>
      </c>
      <c r="Q107" s="42">
        <v>65</v>
      </c>
      <c r="R107" s="42">
        <v>200</v>
      </c>
      <c r="S107" s="42">
        <v>230</v>
      </c>
      <c r="T107" s="42">
        <v>250</v>
      </c>
      <c r="U107" s="42">
        <v>170</v>
      </c>
      <c r="V107" s="42">
        <v>25</v>
      </c>
      <c r="W107" s="42">
        <v>4</v>
      </c>
      <c r="X107" s="42">
        <v>265</v>
      </c>
      <c r="Y107" s="43">
        <v>130</v>
      </c>
      <c r="Z107" s="43">
        <v>150</v>
      </c>
      <c r="AA107" s="43">
        <v>30</v>
      </c>
      <c r="AB107" s="43">
        <v>95</v>
      </c>
      <c r="AC107" s="43">
        <v>250</v>
      </c>
      <c r="AD107" s="43">
        <v>260</v>
      </c>
      <c r="AE107" s="43">
        <v>280</v>
      </c>
      <c r="AF107" s="43">
        <v>200</v>
      </c>
      <c r="AG107" s="43">
        <v>30</v>
      </c>
      <c r="AH107" s="43">
        <v>6</v>
      </c>
      <c r="AI107" s="43">
        <v>300</v>
      </c>
      <c r="AJ107" s="41">
        <f t="shared" si="11"/>
        <v>3640</v>
      </c>
      <c r="AK107" s="41">
        <f t="shared" si="14"/>
        <v>0</v>
      </c>
      <c r="AL107" s="41">
        <f t="shared" si="14"/>
        <v>0</v>
      </c>
      <c r="AM107" s="41">
        <f t="shared" si="14"/>
        <v>0</v>
      </c>
      <c r="AN107" s="41">
        <f t="shared" si="14"/>
        <v>0</v>
      </c>
      <c r="AO107" s="41">
        <f t="shared" si="14"/>
        <v>0</v>
      </c>
      <c r="AP107" s="41">
        <f t="shared" si="13"/>
        <v>0</v>
      </c>
      <c r="AQ107" s="41">
        <f t="shared" si="13"/>
        <v>0</v>
      </c>
      <c r="AR107" s="41">
        <f t="shared" si="13"/>
        <v>0</v>
      </c>
      <c r="AS107" s="41">
        <f t="shared" si="13"/>
        <v>0</v>
      </c>
      <c r="AT107" s="41">
        <f t="shared" si="13"/>
        <v>0</v>
      </c>
      <c r="AU107" s="43">
        <f t="shared" si="15"/>
        <v>560</v>
      </c>
      <c r="AV107" s="43">
        <f t="shared" si="15"/>
        <v>0</v>
      </c>
      <c r="AW107" s="43">
        <f t="shared" si="15"/>
        <v>0</v>
      </c>
      <c r="AX107" s="43">
        <f t="shared" si="15"/>
        <v>0</v>
      </c>
      <c r="AY107" s="43">
        <f t="shared" si="15"/>
        <v>0</v>
      </c>
      <c r="AZ107" s="43">
        <f t="shared" si="15"/>
        <v>0</v>
      </c>
      <c r="BA107" s="43">
        <f t="shared" si="15"/>
        <v>0</v>
      </c>
      <c r="BB107" s="43">
        <f t="shared" si="15"/>
        <v>0</v>
      </c>
      <c r="BC107" s="43">
        <f t="shared" si="16"/>
        <v>0</v>
      </c>
      <c r="BD107" s="43">
        <f t="shared" si="16"/>
        <v>0</v>
      </c>
      <c r="BE107" s="43">
        <f t="shared" si="16"/>
        <v>0</v>
      </c>
      <c r="BF107" s="41">
        <f t="shared" si="12"/>
        <v>560</v>
      </c>
      <c r="BG107" s="41" t="str">
        <f t="array" ref="BG107">_xlfn.IFS(
OR(MONTH(A107)=11,MONTH(A107)=12,MONTH(A107)=1,MONTH(A107)=2),"Winter",
OR(MONTH(A107)=3,MONTH(A107)=4),"Spring",
OR(MONTH(A107)=5,MONTH(A107)=6),"Summer",
OR(MONTH(A107)=7,MONTH(A107)=8,MONTH(A107)=9),"Monsoon",
MONTH(A107)=10,"Autumn/Festive",
TRUE,""
)</f>
        <v>Summer</v>
      </c>
    </row>
    <row r="108" spans="1:59" x14ac:dyDescent="0.3">
      <c r="A108" s="39">
        <v>45433</v>
      </c>
      <c r="B108" s="40" t="str">
        <f t="shared" si="10"/>
        <v>May</v>
      </c>
      <c r="C108" s="41">
        <v>8</v>
      </c>
      <c r="D108" s="41">
        <v>0</v>
      </c>
      <c r="E108" s="41">
        <v>0</v>
      </c>
      <c r="F108" s="41">
        <v>0</v>
      </c>
      <c r="G108" s="41">
        <v>0</v>
      </c>
      <c r="H108" s="41">
        <v>0</v>
      </c>
      <c r="I108" s="41">
        <v>0</v>
      </c>
      <c r="J108" s="41">
        <v>0</v>
      </c>
      <c r="K108" s="41">
        <v>0</v>
      </c>
      <c r="L108" s="41">
        <v>0</v>
      </c>
      <c r="M108" s="41">
        <v>0</v>
      </c>
      <c r="N108" s="42">
        <v>110</v>
      </c>
      <c r="O108" s="42">
        <v>110</v>
      </c>
      <c r="P108" s="42">
        <v>26</v>
      </c>
      <c r="Q108" s="42">
        <v>65</v>
      </c>
      <c r="R108" s="42">
        <v>200</v>
      </c>
      <c r="S108" s="42">
        <v>230</v>
      </c>
      <c r="T108" s="42">
        <v>250</v>
      </c>
      <c r="U108" s="42">
        <v>170</v>
      </c>
      <c r="V108" s="42">
        <v>25</v>
      </c>
      <c r="W108" s="42">
        <v>4</v>
      </c>
      <c r="X108" s="42">
        <v>265</v>
      </c>
      <c r="Y108" s="43">
        <v>130</v>
      </c>
      <c r="Z108" s="43">
        <v>150</v>
      </c>
      <c r="AA108" s="43">
        <v>30</v>
      </c>
      <c r="AB108" s="43">
        <v>95</v>
      </c>
      <c r="AC108" s="43">
        <v>250</v>
      </c>
      <c r="AD108" s="43">
        <v>260</v>
      </c>
      <c r="AE108" s="43">
        <v>280</v>
      </c>
      <c r="AF108" s="43">
        <v>200</v>
      </c>
      <c r="AG108" s="43">
        <v>30</v>
      </c>
      <c r="AH108" s="43">
        <v>6</v>
      </c>
      <c r="AI108" s="43">
        <v>300</v>
      </c>
      <c r="AJ108" s="41">
        <f t="shared" si="11"/>
        <v>1040</v>
      </c>
      <c r="AK108" s="41">
        <f t="shared" si="14"/>
        <v>0</v>
      </c>
      <c r="AL108" s="41">
        <f t="shared" si="14"/>
        <v>0</v>
      </c>
      <c r="AM108" s="41">
        <f t="shared" si="14"/>
        <v>0</v>
      </c>
      <c r="AN108" s="41">
        <f t="shared" si="14"/>
        <v>0</v>
      </c>
      <c r="AO108" s="41">
        <f t="shared" si="14"/>
        <v>0</v>
      </c>
      <c r="AP108" s="41">
        <f t="shared" si="13"/>
        <v>0</v>
      </c>
      <c r="AQ108" s="41">
        <f t="shared" si="13"/>
        <v>0</v>
      </c>
      <c r="AR108" s="41">
        <f t="shared" si="13"/>
        <v>0</v>
      </c>
      <c r="AS108" s="41">
        <f t="shared" si="13"/>
        <v>0</v>
      </c>
      <c r="AT108" s="41">
        <f t="shared" si="13"/>
        <v>0</v>
      </c>
      <c r="AU108" s="43">
        <f t="shared" si="15"/>
        <v>160</v>
      </c>
      <c r="AV108" s="43">
        <f t="shared" si="15"/>
        <v>0</v>
      </c>
      <c r="AW108" s="43">
        <f t="shared" si="15"/>
        <v>0</v>
      </c>
      <c r="AX108" s="43">
        <f t="shared" si="15"/>
        <v>0</v>
      </c>
      <c r="AY108" s="43">
        <f t="shared" si="15"/>
        <v>0</v>
      </c>
      <c r="AZ108" s="43">
        <f t="shared" si="15"/>
        <v>0</v>
      </c>
      <c r="BA108" s="43">
        <f t="shared" si="15"/>
        <v>0</v>
      </c>
      <c r="BB108" s="43">
        <f t="shared" si="15"/>
        <v>0</v>
      </c>
      <c r="BC108" s="43">
        <f t="shared" si="16"/>
        <v>0</v>
      </c>
      <c r="BD108" s="43">
        <f t="shared" si="16"/>
        <v>0</v>
      </c>
      <c r="BE108" s="43">
        <f t="shared" si="16"/>
        <v>0</v>
      </c>
      <c r="BF108" s="41">
        <f t="shared" si="12"/>
        <v>160</v>
      </c>
      <c r="BG108" s="41" t="str">
        <f t="array" ref="BG108">_xlfn.IFS(
OR(MONTH(A108)=11,MONTH(A108)=12,MONTH(A108)=1,MONTH(A108)=2),"Winter",
OR(MONTH(A108)=3,MONTH(A108)=4),"Spring",
OR(MONTH(A108)=5,MONTH(A108)=6),"Summer",
OR(MONTH(A108)=7,MONTH(A108)=8,MONTH(A108)=9),"Monsoon",
MONTH(A108)=10,"Autumn/Festive",
TRUE,""
)</f>
        <v>Summer</v>
      </c>
    </row>
    <row r="109" spans="1:59" x14ac:dyDescent="0.3">
      <c r="A109" s="39">
        <v>45434</v>
      </c>
      <c r="B109" s="40" t="str">
        <f t="shared" si="10"/>
        <v>May</v>
      </c>
      <c r="C109" s="41">
        <v>7</v>
      </c>
      <c r="D109" s="41">
        <v>3</v>
      </c>
      <c r="E109" s="41">
        <v>0</v>
      </c>
      <c r="F109" s="41">
        <v>2</v>
      </c>
      <c r="G109" s="41">
        <v>0</v>
      </c>
      <c r="H109" s="41">
        <v>0</v>
      </c>
      <c r="I109" s="41">
        <v>0</v>
      </c>
      <c r="J109" s="41">
        <v>0</v>
      </c>
      <c r="K109" s="41">
        <v>0</v>
      </c>
      <c r="L109" s="41">
        <v>0</v>
      </c>
      <c r="M109" s="41">
        <v>0</v>
      </c>
      <c r="N109" s="42">
        <v>110</v>
      </c>
      <c r="O109" s="42">
        <v>110</v>
      </c>
      <c r="P109" s="42">
        <v>26</v>
      </c>
      <c r="Q109" s="42">
        <v>65</v>
      </c>
      <c r="R109" s="42">
        <v>200</v>
      </c>
      <c r="S109" s="42">
        <v>230</v>
      </c>
      <c r="T109" s="42">
        <v>250</v>
      </c>
      <c r="U109" s="42">
        <v>170</v>
      </c>
      <c r="V109" s="42">
        <v>25</v>
      </c>
      <c r="W109" s="42">
        <v>4</v>
      </c>
      <c r="X109" s="42">
        <v>265</v>
      </c>
      <c r="Y109" s="43">
        <v>130</v>
      </c>
      <c r="Z109" s="43">
        <v>150</v>
      </c>
      <c r="AA109" s="43">
        <v>30</v>
      </c>
      <c r="AB109" s="43">
        <v>95</v>
      </c>
      <c r="AC109" s="43">
        <v>250</v>
      </c>
      <c r="AD109" s="43">
        <v>260</v>
      </c>
      <c r="AE109" s="43">
        <v>280</v>
      </c>
      <c r="AF109" s="43">
        <v>200</v>
      </c>
      <c r="AG109" s="43">
        <v>30</v>
      </c>
      <c r="AH109" s="43">
        <v>6</v>
      </c>
      <c r="AI109" s="43">
        <v>300</v>
      </c>
      <c r="AJ109" s="41">
        <f t="shared" si="11"/>
        <v>910</v>
      </c>
      <c r="AK109" s="41">
        <f t="shared" si="14"/>
        <v>450</v>
      </c>
      <c r="AL109" s="41">
        <f t="shared" si="14"/>
        <v>0</v>
      </c>
      <c r="AM109" s="41">
        <f t="shared" si="14"/>
        <v>190</v>
      </c>
      <c r="AN109" s="41">
        <f t="shared" si="14"/>
        <v>0</v>
      </c>
      <c r="AO109" s="41">
        <f t="shared" si="14"/>
        <v>0</v>
      </c>
      <c r="AP109" s="41">
        <f t="shared" si="13"/>
        <v>0</v>
      </c>
      <c r="AQ109" s="41">
        <f t="shared" si="13"/>
        <v>0</v>
      </c>
      <c r="AR109" s="41">
        <f t="shared" si="13"/>
        <v>0</v>
      </c>
      <c r="AS109" s="41">
        <f t="shared" si="13"/>
        <v>0</v>
      </c>
      <c r="AT109" s="41">
        <f t="shared" si="13"/>
        <v>0</v>
      </c>
      <c r="AU109" s="43">
        <f t="shared" si="15"/>
        <v>140</v>
      </c>
      <c r="AV109" s="43">
        <f t="shared" si="15"/>
        <v>120</v>
      </c>
      <c r="AW109" s="43">
        <f t="shared" si="15"/>
        <v>0</v>
      </c>
      <c r="AX109" s="43">
        <f t="shared" si="15"/>
        <v>60</v>
      </c>
      <c r="AY109" s="43">
        <f t="shared" si="15"/>
        <v>0</v>
      </c>
      <c r="AZ109" s="43">
        <f t="shared" si="15"/>
        <v>0</v>
      </c>
      <c r="BA109" s="43">
        <f t="shared" si="15"/>
        <v>0</v>
      </c>
      <c r="BB109" s="43">
        <f t="shared" si="15"/>
        <v>0</v>
      </c>
      <c r="BC109" s="43">
        <f t="shared" si="16"/>
        <v>0</v>
      </c>
      <c r="BD109" s="43">
        <f t="shared" si="16"/>
        <v>0</v>
      </c>
      <c r="BE109" s="43">
        <f t="shared" si="16"/>
        <v>0</v>
      </c>
      <c r="BF109" s="41">
        <f t="shared" si="12"/>
        <v>320</v>
      </c>
      <c r="BG109" s="41" t="str">
        <f t="array" ref="BG109">_xlfn.IFS(
OR(MONTH(A109)=11,MONTH(A109)=12,MONTH(A109)=1,MONTH(A109)=2),"Winter",
OR(MONTH(A109)=3,MONTH(A109)=4),"Spring",
OR(MONTH(A109)=5,MONTH(A109)=6),"Summer",
OR(MONTH(A109)=7,MONTH(A109)=8,MONTH(A109)=9),"Monsoon",
MONTH(A109)=10,"Autumn/Festive",
TRUE,""
)</f>
        <v>Summer</v>
      </c>
    </row>
    <row r="110" spans="1:59" x14ac:dyDescent="0.3">
      <c r="A110" s="39">
        <v>45435</v>
      </c>
      <c r="B110" s="40" t="str">
        <f t="shared" si="10"/>
        <v>May</v>
      </c>
      <c r="C110" s="41">
        <v>26</v>
      </c>
      <c r="D110" s="41">
        <v>0</v>
      </c>
      <c r="E110" s="41">
        <v>0</v>
      </c>
      <c r="F110" s="41">
        <v>0</v>
      </c>
      <c r="G110" s="41">
        <v>0</v>
      </c>
      <c r="H110" s="41">
        <v>0</v>
      </c>
      <c r="I110" s="41">
        <v>0</v>
      </c>
      <c r="J110" s="41">
        <v>0</v>
      </c>
      <c r="K110" s="41">
        <v>0</v>
      </c>
      <c r="L110" s="41">
        <v>0</v>
      </c>
      <c r="M110" s="41">
        <v>0</v>
      </c>
      <c r="N110" s="42">
        <v>110</v>
      </c>
      <c r="O110" s="42">
        <v>110</v>
      </c>
      <c r="P110" s="42">
        <v>26</v>
      </c>
      <c r="Q110" s="42">
        <v>65</v>
      </c>
      <c r="R110" s="42">
        <v>200</v>
      </c>
      <c r="S110" s="42">
        <v>230</v>
      </c>
      <c r="T110" s="42">
        <v>250</v>
      </c>
      <c r="U110" s="42">
        <v>170</v>
      </c>
      <c r="V110" s="42">
        <v>25</v>
      </c>
      <c r="W110" s="42">
        <v>4</v>
      </c>
      <c r="X110" s="42">
        <v>265</v>
      </c>
      <c r="Y110" s="43">
        <v>130</v>
      </c>
      <c r="Z110" s="43">
        <v>150</v>
      </c>
      <c r="AA110" s="43">
        <v>30</v>
      </c>
      <c r="AB110" s="43">
        <v>95</v>
      </c>
      <c r="AC110" s="43">
        <v>250</v>
      </c>
      <c r="AD110" s="43">
        <v>260</v>
      </c>
      <c r="AE110" s="43">
        <v>280</v>
      </c>
      <c r="AF110" s="43">
        <v>200</v>
      </c>
      <c r="AG110" s="43">
        <v>30</v>
      </c>
      <c r="AH110" s="43">
        <v>6</v>
      </c>
      <c r="AI110" s="43">
        <v>300</v>
      </c>
      <c r="AJ110" s="41">
        <f t="shared" si="11"/>
        <v>3380</v>
      </c>
      <c r="AK110" s="41">
        <f t="shared" si="14"/>
        <v>0</v>
      </c>
      <c r="AL110" s="41">
        <f t="shared" si="14"/>
        <v>0</v>
      </c>
      <c r="AM110" s="41">
        <f t="shared" si="14"/>
        <v>0</v>
      </c>
      <c r="AN110" s="41">
        <f t="shared" si="14"/>
        <v>0</v>
      </c>
      <c r="AO110" s="41">
        <f t="shared" si="14"/>
        <v>0</v>
      </c>
      <c r="AP110" s="41">
        <f t="shared" si="13"/>
        <v>0</v>
      </c>
      <c r="AQ110" s="41">
        <f t="shared" si="13"/>
        <v>0</v>
      </c>
      <c r="AR110" s="41">
        <f t="shared" si="13"/>
        <v>0</v>
      </c>
      <c r="AS110" s="41">
        <f t="shared" si="13"/>
        <v>0</v>
      </c>
      <c r="AT110" s="41">
        <f t="shared" si="13"/>
        <v>0</v>
      </c>
      <c r="AU110" s="43">
        <f t="shared" si="15"/>
        <v>520</v>
      </c>
      <c r="AV110" s="43">
        <f t="shared" si="15"/>
        <v>0</v>
      </c>
      <c r="AW110" s="43">
        <f t="shared" si="15"/>
        <v>0</v>
      </c>
      <c r="AX110" s="43">
        <f t="shared" si="15"/>
        <v>0</v>
      </c>
      <c r="AY110" s="43">
        <f t="shared" si="15"/>
        <v>0</v>
      </c>
      <c r="AZ110" s="43">
        <f t="shared" si="15"/>
        <v>0</v>
      </c>
      <c r="BA110" s="43">
        <f t="shared" si="15"/>
        <v>0</v>
      </c>
      <c r="BB110" s="43">
        <f t="shared" si="15"/>
        <v>0</v>
      </c>
      <c r="BC110" s="43">
        <f t="shared" si="16"/>
        <v>0</v>
      </c>
      <c r="BD110" s="43">
        <f t="shared" si="16"/>
        <v>0</v>
      </c>
      <c r="BE110" s="43">
        <f t="shared" si="16"/>
        <v>0</v>
      </c>
      <c r="BF110" s="41">
        <f t="shared" si="12"/>
        <v>520</v>
      </c>
      <c r="BG110" s="41" t="str">
        <f t="array" ref="BG110">_xlfn.IFS(
OR(MONTH(A110)=11,MONTH(A110)=12,MONTH(A110)=1,MONTH(A110)=2),"Winter",
OR(MONTH(A110)=3,MONTH(A110)=4),"Spring",
OR(MONTH(A110)=5,MONTH(A110)=6),"Summer",
OR(MONTH(A110)=7,MONTH(A110)=8,MONTH(A110)=9),"Monsoon",
MONTH(A110)=10,"Autumn/Festive",
TRUE,""
)</f>
        <v>Summer</v>
      </c>
    </row>
    <row r="111" spans="1:59" x14ac:dyDescent="0.3">
      <c r="A111" s="39">
        <v>45436</v>
      </c>
      <c r="B111" s="40" t="str">
        <f t="shared" si="10"/>
        <v>May</v>
      </c>
      <c r="C111" s="41">
        <v>11</v>
      </c>
      <c r="D111" s="41">
        <v>2</v>
      </c>
      <c r="E111" s="41">
        <v>0</v>
      </c>
      <c r="F111" s="41">
        <v>0</v>
      </c>
      <c r="G111" s="41">
        <v>0</v>
      </c>
      <c r="H111" s="41">
        <v>0</v>
      </c>
      <c r="I111" s="41">
        <v>0</v>
      </c>
      <c r="J111" s="41">
        <v>0</v>
      </c>
      <c r="K111" s="41">
        <v>0</v>
      </c>
      <c r="L111" s="41">
        <v>0</v>
      </c>
      <c r="M111" s="41">
        <v>0</v>
      </c>
      <c r="N111" s="42">
        <v>110</v>
      </c>
      <c r="O111" s="42">
        <v>110</v>
      </c>
      <c r="P111" s="42">
        <v>26</v>
      </c>
      <c r="Q111" s="42">
        <v>65</v>
      </c>
      <c r="R111" s="42">
        <v>200</v>
      </c>
      <c r="S111" s="42">
        <v>230</v>
      </c>
      <c r="T111" s="42">
        <v>250</v>
      </c>
      <c r="U111" s="42">
        <v>170</v>
      </c>
      <c r="V111" s="42">
        <v>25</v>
      </c>
      <c r="W111" s="42">
        <v>4</v>
      </c>
      <c r="X111" s="42">
        <v>265</v>
      </c>
      <c r="Y111" s="43">
        <v>130</v>
      </c>
      <c r="Z111" s="43">
        <v>150</v>
      </c>
      <c r="AA111" s="43">
        <v>30</v>
      </c>
      <c r="AB111" s="43">
        <v>95</v>
      </c>
      <c r="AC111" s="43">
        <v>250</v>
      </c>
      <c r="AD111" s="43">
        <v>260</v>
      </c>
      <c r="AE111" s="43">
        <v>280</v>
      </c>
      <c r="AF111" s="43">
        <v>200</v>
      </c>
      <c r="AG111" s="43">
        <v>30</v>
      </c>
      <c r="AH111" s="43">
        <v>6</v>
      </c>
      <c r="AI111" s="43">
        <v>300</v>
      </c>
      <c r="AJ111" s="41">
        <f t="shared" si="11"/>
        <v>1430</v>
      </c>
      <c r="AK111" s="41">
        <f t="shared" si="14"/>
        <v>300</v>
      </c>
      <c r="AL111" s="41">
        <f t="shared" si="14"/>
        <v>0</v>
      </c>
      <c r="AM111" s="41">
        <f t="shared" si="14"/>
        <v>0</v>
      </c>
      <c r="AN111" s="41">
        <f t="shared" si="14"/>
        <v>0</v>
      </c>
      <c r="AO111" s="41">
        <f t="shared" si="14"/>
        <v>0</v>
      </c>
      <c r="AP111" s="41">
        <f t="shared" si="13"/>
        <v>0</v>
      </c>
      <c r="AQ111" s="41">
        <f t="shared" si="13"/>
        <v>0</v>
      </c>
      <c r="AR111" s="41">
        <f t="shared" si="13"/>
        <v>0</v>
      </c>
      <c r="AS111" s="41">
        <f t="shared" si="13"/>
        <v>0</v>
      </c>
      <c r="AT111" s="41">
        <f t="shared" si="13"/>
        <v>0</v>
      </c>
      <c r="AU111" s="43">
        <f t="shared" si="15"/>
        <v>220</v>
      </c>
      <c r="AV111" s="43">
        <f t="shared" si="15"/>
        <v>80</v>
      </c>
      <c r="AW111" s="43">
        <f t="shared" si="15"/>
        <v>0</v>
      </c>
      <c r="AX111" s="43">
        <f t="shared" si="15"/>
        <v>0</v>
      </c>
      <c r="AY111" s="43">
        <f t="shared" si="15"/>
        <v>0</v>
      </c>
      <c r="AZ111" s="43">
        <f t="shared" si="15"/>
        <v>0</v>
      </c>
      <c r="BA111" s="43">
        <f t="shared" si="15"/>
        <v>0</v>
      </c>
      <c r="BB111" s="43">
        <f t="shared" si="15"/>
        <v>0</v>
      </c>
      <c r="BC111" s="43">
        <f t="shared" si="16"/>
        <v>0</v>
      </c>
      <c r="BD111" s="43">
        <f t="shared" si="16"/>
        <v>0</v>
      </c>
      <c r="BE111" s="43">
        <f t="shared" si="16"/>
        <v>0</v>
      </c>
      <c r="BF111" s="41">
        <f t="shared" si="12"/>
        <v>300</v>
      </c>
      <c r="BG111" s="41" t="str">
        <f t="array" ref="BG111">_xlfn.IFS(
OR(MONTH(A111)=11,MONTH(A111)=12,MONTH(A111)=1,MONTH(A111)=2),"Winter",
OR(MONTH(A111)=3,MONTH(A111)=4),"Spring",
OR(MONTH(A111)=5,MONTH(A111)=6),"Summer",
OR(MONTH(A111)=7,MONTH(A111)=8,MONTH(A111)=9),"Monsoon",
MONTH(A111)=10,"Autumn/Festive",
TRUE,""
)</f>
        <v>Summer</v>
      </c>
    </row>
    <row r="112" spans="1:59" x14ac:dyDescent="0.3">
      <c r="A112" s="39">
        <v>45437</v>
      </c>
      <c r="B112" s="40" t="str">
        <f t="shared" si="10"/>
        <v>May</v>
      </c>
      <c r="C112" s="41">
        <v>0</v>
      </c>
      <c r="D112" s="41">
        <v>0</v>
      </c>
      <c r="E112" s="41">
        <v>0</v>
      </c>
      <c r="F112" s="41">
        <v>0</v>
      </c>
      <c r="G112" s="41">
        <v>0</v>
      </c>
      <c r="H112" s="41">
        <v>0</v>
      </c>
      <c r="I112" s="41">
        <v>0</v>
      </c>
      <c r="J112" s="41">
        <v>0</v>
      </c>
      <c r="K112" s="41">
        <v>0</v>
      </c>
      <c r="L112" s="41">
        <v>0</v>
      </c>
      <c r="M112" s="41">
        <v>0</v>
      </c>
      <c r="N112" s="42">
        <v>110</v>
      </c>
      <c r="O112" s="42">
        <v>110</v>
      </c>
      <c r="P112" s="42">
        <v>26</v>
      </c>
      <c r="Q112" s="42">
        <v>65</v>
      </c>
      <c r="R112" s="42">
        <v>200</v>
      </c>
      <c r="S112" s="42">
        <v>230</v>
      </c>
      <c r="T112" s="42">
        <v>250</v>
      </c>
      <c r="U112" s="42">
        <v>170</v>
      </c>
      <c r="V112" s="42">
        <v>25</v>
      </c>
      <c r="W112" s="42">
        <v>4</v>
      </c>
      <c r="X112" s="42">
        <v>265</v>
      </c>
      <c r="Y112" s="43">
        <v>130</v>
      </c>
      <c r="Z112" s="43">
        <v>150</v>
      </c>
      <c r="AA112" s="43">
        <v>30</v>
      </c>
      <c r="AB112" s="43">
        <v>95</v>
      </c>
      <c r="AC112" s="43">
        <v>250</v>
      </c>
      <c r="AD112" s="43">
        <v>260</v>
      </c>
      <c r="AE112" s="43">
        <v>280</v>
      </c>
      <c r="AF112" s="43">
        <v>200</v>
      </c>
      <c r="AG112" s="43">
        <v>30</v>
      </c>
      <c r="AH112" s="43">
        <v>6</v>
      </c>
      <c r="AI112" s="43">
        <v>300</v>
      </c>
      <c r="AJ112" s="41">
        <f t="shared" si="11"/>
        <v>0</v>
      </c>
      <c r="AK112" s="41">
        <f t="shared" si="14"/>
        <v>0</v>
      </c>
      <c r="AL112" s="41">
        <f t="shared" si="14"/>
        <v>0</v>
      </c>
      <c r="AM112" s="41">
        <f t="shared" si="14"/>
        <v>0</v>
      </c>
      <c r="AN112" s="41">
        <f t="shared" si="14"/>
        <v>0</v>
      </c>
      <c r="AO112" s="41">
        <f t="shared" si="14"/>
        <v>0</v>
      </c>
      <c r="AP112" s="41">
        <f t="shared" si="13"/>
        <v>0</v>
      </c>
      <c r="AQ112" s="41">
        <f t="shared" si="13"/>
        <v>0</v>
      </c>
      <c r="AR112" s="41">
        <f t="shared" si="13"/>
        <v>0</v>
      </c>
      <c r="AS112" s="41">
        <f t="shared" si="13"/>
        <v>0</v>
      </c>
      <c r="AT112" s="41">
        <f t="shared" si="13"/>
        <v>0</v>
      </c>
      <c r="AU112" s="43">
        <f t="shared" si="15"/>
        <v>0</v>
      </c>
      <c r="AV112" s="43">
        <f t="shared" si="15"/>
        <v>0</v>
      </c>
      <c r="AW112" s="43">
        <f t="shared" si="15"/>
        <v>0</v>
      </c>
      <c r="AX112" s="43">
        <f t="shared" si="15"/>
        <v>0</v>
      </c>
      <c r="AY112" s="43">
        <f t="shared" si="15"/>
        <v>0</v>
      </c>
      <c r="AZ112" s="43">
        <f t="shared" si="15"/>
        <v>0</v>
      </c>
      <c r="BA112" s="43">
        <f t="shared" si="15"/>
        <v>0</v>
      </c>
      <c r="BB112" s="43">
        <f t="shared" si="15"/>
        <v>0</v>
      </c>
      <c r="BC112" s="43">
        <f t="shared" si="16"/>
        <v>0</v>
      </c>
      <c r="BD112" s="43">
        <f t="shared" si="16"/>
        <v>0</v>
      </c>
      <c r="BE112" s="43">
        <f t="shared" si="16"/>
        <v>0</v>
      </c>
      <c r="BF112" s="41">
        <f t="shared" si="12"/>
        <v>0</v>
      </c>
      <c r="BG112" s="41" t="str">
        <f t="array" ref="BG112">_xlfn.IFS(
OR(MONTH(A112)=11,MONTH(A112)=12,MONTH(A112)=1,MONTH(A112)=2),"Winter",
OR(MONTH(A112)=3,MONTH(A112)=4),"Spring",
OR(MONTH(A112)=5,MONTH(A112)=6),"Summer",
OR(MONTH(A112)=7,MONTH(A112)=8,MONTH(A112)=9),"Monsoon",
MONTH(A112)=10,"Autumn/Festive",
TRUE,""
)</f>
        <v>Summer</v>
      </c>
    </row>
    <row r="113" spans="1:59" x14ac:dyDescent="0.3">
      <c r="A113" s="39">
        <v>45438</v>
      </c>
      <c r="B113" s="40" t="str">
        <f t="shared" si="10"/>
        <v>May</v>
      </c>
      <c r="C113" s="41">
        <v>0</v>
      </c>
      <c r="D113" s="41">
        <v>0</v>
      </c>
      <c r="E113" s="41">
        <v>0</v>
      </c>
      <c r="F113" s="41">
        <v>0</v>
      </c>
      <c r="G113" s="41">
        <v>0</v>
      </c>
      <c r="H113" s="41">
        <v>0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2">
        <v>110</v>
      </c>
      <c r="O113" s="42">
        <v>110</v>
      </c>
      <c r="P113" s="42">
        <v>26</v>
      </c>
      <c r="Q113" s="42">
        <v>65</v>
      </c>
      <c r="R113" s="42">
        <v>200</v>
      </c>
      <c r="S113" s="42">
        <v>230</v>
      </c>
      <c r="T113" s="42">
        <v>250</v>
      </c>
      <c r="U113" s="42">
        <v>170</v>
      </c>
      <c r="V113" s="42">
        <v>25</v>
      </c>
      <c r="W113" s="42">
        <v>4</v>
      </c>
      <c r="X113" s="42">
        <v>265</v>
      </c>
      <c r="Y113" s="43">
        <v>130</v>
      </c>
      <c r="Z113" s="43">
        <v>150</v>
      </c>
      <c r="AA113" s="43">
        <v>30</v>
      </c>
      <c r="AB113" s="43">
        <v>95</v>
      </c>
      <c r="AC113" s="43">
        <v>250</v>
      </c>
      <c r="AD113" s="43">
        <v>260</v>
      </c>
      <c r="AE113" s="43">
        <v>280</v>
      </c>
      <c r="AF113" s="43">
        <v>200</v>
      </c>
      <c r="AG113" s="43">
        <v>30</v>
      </c>
      <c r="AH113" s="43">
        <v>6</v>
      </c>
      <c r="AI113" s="43">
        <v>300</v>
      </c>
      <c r="AJ113" s="41">
        <f t="shared" si="11"/>
        <v>0</v>
      </c>
      <c r="AK113" s="41">
        <f t="shared" si="14"/>
        <v>0</v>
      </c>
      <c r="AL113" s="41">
        <f t="shared" si="14"/>
        <v>0</v>
      </c>
      <c r="AM113" s="41">
        <f t="shared" si="14"/>
        <v>0</v>
      </c>
      <c r="AN113" s="41">
        <f t="shared" si="14"/>
        <v>0</v>
      </c>
      <c r="AO113" s="41">
        <f t="shared" si="14"/>
        <v>0</v>
      </c>
      <c r="AP113" s="41">
        <f t="shared" si="13"/>
        <v>0</v>
      </c>
      <c r="AQ113" s="41">
        <f t="shared" si="13"/>
        <v>0</v>
      </c>
      <c r="AR113" s="41">
        <f t="shared" si="13"/>
        <v>0</v>
      </c>
      <c r="AS113" s="41">
        <f t="shared" si="13"/>
        <v>0</v>
      </c>
      <c r="AT113" s="41">
        <f t="shared" si="13"/>
        <v>0</v>
      </c>
      <c r="AU113" s="43">
        <f t="shared" si="15"/>
        <v>0</v>
      </c>
      <c r="AV113" s="43">
        <f t="shared" si="15"/>
        <v>0</v>
      </c>
      <c r="AW113" s="43">
        <f t="shared" si="15"/>
        <v>0</v>
      </c>
      <c r="AX113" s="43">
        <f t="shared" si="15"/>
        <v>0</v>
      </c>
      <c r="AY113" s="43">
        <f t="shared" si="15"/>
        <v>0</v>
      </c>
      <c r="AZ113" s="43">
        <f t="shared" si="15"/>
        <v>0</v>
      </c>
      <c r="BA113" s="43">
        <f t="shared" si="15"/>
        <v>0</v>
      </c>
      <c r="BB113" s="43">
        <f t="shared" si="15"/>
        <v>0</v>
      </c>
      <c r="BC113" s="43">
        <f t="shared" si="16"/>
        <v>0</v>
      </c>
      <c r="BD113" s="43">
        <f t="shared" si="16"/>
        <v>0</v>
      </c>
      <c r="BE113" s="43">
        <f t="shared" si="16"/>
        <v>0</v>
      </c>
      <c r="BF113" s="41">
        <f t="shared" si="12"/>
        <v>0</v>
      </c>
      <c r="BG113" s="41" t="str">
        <f t="array" ref="BG113">_xlfn.IFS(
OR(MONTH(A113)=11,MONTH(A113)=12,MONTH(A113)=1,MONTH(A113)=2),"Winter",
OR(MONTH(A113)=3,MONTH(A113)=4),"Spring",
OR(MONTH(A113)=5,MONTH(A113)=6),"Summer",
OR(MONTH(A113)=7,MONTH(A113)=8,MONTH(A113)=9),"Monsoon",
MONTH(A113)=10,"Autumn/Festive",
TRUE,""
)</f>
        <v>Summer</v>
      </c>
    </row>
    <row r="114" spans="1:59" x14ac:dyDescent="0.3">
      <c r="A114" s="39">
        <v>45439</v>
      </c>
      <c r="B114" s="40" t="str">
        <f t="shared" si="10"/>
        <v>May</v>
      </c>
      <c r="C114" s="41">
        <v>0</v>
      </c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0</v>
      </c>
      <c r="J114" s="41">
        <v>0</v>
      </c>
      <c r="K114" s="41">
        <v>0</v>
      </c>
      <c r="L114" s="41">
        <v>0</v>
      </c>
      <c r="M114" s="41">
        <v>0</v>
      </c>
      <c r="N114" s="42">
        <v>110</v>
      </c>
      <c r="O114" s="42">
        <v>110</v>
      </c>
      <c r="P114" s="42">
        <v>26</v>
      </c>
      <c r="Q114" s="42">
        <v>65</v>
      </c>
      <c r="R114" s="42">
        <v>200</v>
      </c>
      <c r="S114" s="42">
        <v>230</v>
      </c>
      <c r="T114" s="42">
        <v>250</v>
      </c>
      <c r="U114" s="42">
        <v>170</v>
      </c>
      <c r="V114" s="42">
        <v>25</v>
      </c>
      <c r="W114" s="42">
        <v>4</v>
      </c>
      <c r="X114" s="42">
        <v>265</v>
      </c>
      <c r="Y114" s="43">
        <v>130</v>
      </c>
      <c r="Z114" s="43">
        <v>150</v>
      </c>
      <c r="AA114" s="43">
        <v>30</v>
      </c>
      <c r="AB114" s="43">
        <v>95</v>
      </c>
      <c r="AC114" s="43">
        <v>250</v>
      </c>
      <c r="AD114" s="43">
        <v>260</v>
      </c>
      <c r="AE114" s="43">
        <v>280</v>
      </c>
      <c r="AF114" s="43">
        <v>200</v>
      </c>
      <c r="AG114" s="43">
        <v>30</v>
      </c>
      <c r="AH114" s="43">
        <v>6</v>
      </c>
      <c r="AI114" s="43">
        <v>300</v>
      </c>
      <c r="AJ114" s="41">
        <f t="shared" si="11"/>
        <v>0</v>
      </c>
      <c r="AK114" s="41">
        <f t="shared" si="14"/>
        <v>0</v>
      </c>
      <c r="AL114" s="41">
        <f t="shared" si="14"/>
        <v>0</v>
      </c>
      <c r="AM114" s="41">
        <f t="shared" si="14"/>
        <v>0</v>
      </c>
      <c r="AN114" s="41">
        <f t="shared" si="14"/>
        <v>0</v>
      </c>
      <c r="AO114" s="41">
        <f t="shared" si="14"/>
        <v>0</v>
      </c>
      <c r="AP114" s="41">
        <f t="shared" si="13"/>
        <v>0</v>
      </c>
      <c r="AQ114" s="41">
        <f t="shared" si="13"/>
        <v>0</v>
      </c>
      <c r="AR114" s="41">
        <f t="shared" si="13"/>
        <v>0</v>
      </c>
      <c r="AS114" s="41">
        <f t="shared" si="13"/>
        <v>0</v>
      </c>
      <c r="AT114" s="41">
        <f t="shared" si="13"/>
        <v>0</v>
      </c>
      <c r="AU114" s="43">
        <f t="shared" si="15"/>
        <v>0</v>
      </c>
      <c r="AV114" s="43">
        <f t="shared" si="15"/>
        <v>0</v>
      </c>
      <c r="AW114" s="43">
        <f t="shared" si="15"/>
        <v>0</v>
      </c>
      <c r="AX114" s="43">
        <f t="shared" si="15"/>
        <v>0</v>
      </c>
      <c r="AY114" s="43">
        <f t="shared" si="15"/>
        <v>0</v>
      </c>
      <c r="AZ114" s="43">
        <f t="shared" si="15"/>
        <v>0</v>
      </c>
      <c r="BA114" s="43">
        <f t="shared" si="15"/>
        <v>0</v>
      </c>
      <c r="BB114" s="43">
        <f t="shared" si="15"/>
        <v>0</v>
      </c>
      <c r="BC114" s="43">
        <f t="shared" si="16"/>
        <v>0</v>
      </c>
      <c r="BD114" s="43">
        <f t="shared" si="16"/>
        <v>0</v>
      </c>
      <c r="BE114" s="43">
        <f t="shared" si="16"/>
        <v>0</v>
      </c>
      <c r="BF114" s="41">
        <f t="shared" si="12"/>
        <v>0</v>
      </c>
      <c r="BG114" s="41" t="str">
        <f t="array" ref="BG114">_xlfn.IFS(
OR(MONTH(A114)=11,MONTH(A114)=12,MONTH(A114)=1,MONTH(A114)=2),"Winter",
OR(MONTH(A114)=3,MONTH(A114)=4),"Spring",
OR(MONTH(A114)=5,MONTH(A114)=6),"Summer",
OR(MONTH(A114)=7,MONTH(A114)=8,MONTH(A114)=9),"Monsoon",
MONTH(A114)=10,"Autumn/Festive",
TRUE,""
)</f>
        <v>Summer</v>
      </c>
    </row>
    <row r="115" spans="1:59" x14ac:dyDescent="0.3">
      <c r="A115" s="39">
        <v>45440</v>
      </c>
      <c r="B115" s="40" t="str">
        <f t="shared" si="10"/>
        <v>May</v>
      </c>
      <c r="C115" s="41">
        <v>0</v>
      </c>
      <c r="D115" s="41">
        <v>0</v>
      </c>
      <c r="E115" s="41">
        <v>0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  <c r="K115" s="41">
        <v>0</v>
      </c>
      <c r="L115" s="41">
        <v>0</v>
      </c>
      <c r="M115" s="41">
        <v>0</v>
      </c>
      <c r="N115" s="42">
        <v>110</v>
      </c>
      <c r="O115" s="42">
        <v>110</v>
      </c>
      <c r="P115" s="42">
        <v>26</v>
      </c>
      <c r="Q115" s="42">
        <v>65</v>
      </c>
      <c r="R115" s="42">
        <v>200</v>
      </c>
      <c r="S115" s="42">
        <v>230</v>
      </c>
      <c r="T115" s="42">
        <v>250</v>
      </c>
      <c r="U115" s="42">
        <v>170</v>
      </c>
      <c r="V115" s="42">
        <v>25</v>
      </c>
      <c r="W115" s="42">
        <v>4</v>
      </c>
      <c r="X115" s="42">
        <v>265</v>
      </c>
      <c r="Y115" s="43">
        <v>130</v>
      </c>
      <c r="Z115" s="43">
        <v>150</v>
      </c>
      <c r="AA115" s="43">
        <v>30</v>
      </c>
      <c r="AB115" s="43">
        <v>95</v>
      </c>
      <c r="AC115" s="43">
        <v>250</v>
      </c>
      <c r="AD115" s="43">
        <v>260</v>
      </c>
      <c r="AE115" s="43">
        <v>280</v>
      </c>
      <c r="AF115" s="43">
        <v>200</v>
      </c>
      <c r="AG115" s="43">
        <v>30</v>
      </c>
      <c r="AH115" s="43">
        <v>6</v>
      </c>
      <c r="AI115" s="43">
        <v>300</v>
      </c>
      <c r="AJ115" s="41">
        <f t="shared" si="11"/>
        <v>0</v>
      </c>
      <c r="AK115" s="41">
        <f t="shared" si="14"/>
        <v>0</v>
      </c>
      <c r="AL115" s="41">
        <f t="shared" si="14"/>
        <v>0</v>
      </c>
      <c r="AM115" s="41">
        <f t="shared" si="14"/>
        <v>0</v>
      </c>
      <c r="AN115" s="41">
        <f t="shared" si="14"/>
        <v>0</v>
      </c>
      <c r="AO115" s="41">
        <f t="shared" si="14"/>
        <v>0</v>
      </c>
      <c r="AP115" s="41">
        <f t="shared" si="13"/>
        <v>0</v>
      </c>
      <c r="AQ115" s="41">
        <f t="shared" si="13"/>
        <v>0</v>
      </c>
      <c r="AR115" s="41">
        <f t="shared" si="13"/>
        <v>0</v>
      </c>
      <c r="AS115" s="41">
        <f t="shared" si="13"/>
        <v>0</v>
      </c>
      <c r="AT115" s="41">
        <f t="shared" si="13"/>
        <v>0</v>
      </c>
      <c r="AU115" s="43">
        <f t="shared" si="15"/>
        <v>0</v>
      </c>
      <c r="AV115" s="43">
        <f t="shared" si="15"/>
        <v>0</v>
      </c>
      <c r="AW115" s="43">
        <f t="shared" si="15"/>
        <v>0</v>
      </c>
      <c r="AX115" s="43">
        <f t="shared" si="15"/>
        <v>0</v>
      </c>
      <c r="AY115" s="43">
        <f t="shared" si="15"/>
        <v>0</v>
      </c>
      <c r="AZ115" s="43">
        <f t="shared" si="15"/>
        <v>0</v>
      </c>
      <c r="BA115" s="43">
        <f t="shared" si="15"/>
        <v>0</v>
      </c>
      <c r="BB115" s="43">
        <f t="shared" si="15"/>
        <v>0</v>
      </c>
      <c r="BC115" s="43">
        <f t="shared" si="16"/>
        <v>0</v>
      </c>
      <c r="BD115" s="43">
        <f t="shared" si="16"/>
        <v>0</v>
      </c>
      <c r="BE115" s="43">
        <f t="shared" si="16"/>
        <v>0</v>
      </c>
      <c r="BF115" s="41">
        <f t="shared" si="12"/>
        <v>0</v>
      </c>
      <c r="BG115" s="41" t="str">
        <f t="array" ref="BG115">_xlfn.IFS(
OR(MONTH(A115)=11,MONTH(A115)=12,MONTH(A115)=1,MONTH(A115)=2),"Winter",
OR(MONTH(A115)=3,MONTH(A115)=4),"Spring",
OR(MONTH(A115)=5,MONTH(A115)=6),"Summer",
OR(MONTH(A115)=7,MONTH(A115)=8,MONTH(A115)=9),"Monsoon",
MONTH(A115)=10,"Autumn/Festive",
TRUE,""
)</f>
        <v>Summer</v>
      </c>
    </row>
    <row r="116" spans="1:59" x14ac:dyDescent="0.3">
      <c r="A116" s="39">
        <v>45441</v>
      </c>
      <c r="B116" s="40" t="str">
        <f t="shared" si="10"/>
        <v>May</v>
      </c>
      <c r="C116" s="41">
        <v>18</v>
      </c>
      <c r="D116" s="41">
        <v>5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41">
        <v>0</v>
      </c>
      <c r="K116" s="41">
        <v>0</v>
      </c>
      <c r="L116" s="41">
        <v>0</v>
      </c>
      <c r="M116" s="41">
        <v>0</v>
      </c>
      <c r="N116" s="42">
        <v>110</v>
      </c>
      <c r="O116" s="42">
        <v>110</v>
      </c>
      <c r="P116" s="42">
        <v>26</v>
      </c>
      <c r="Q116" s="42">
        <v>65</v>
      </c>
      <c r="R116" s="42">
        <v>200</v>
      </c>
      <c r="S116" s="42">
        <v>230</v>
      </c>
      <c r="T116" s="42">
        <v>250</v>
      </c>
      <c r="U116" s="42">
        <v>170</v>
      </c>
      <c r="V116" s="42">
        <v>25</v>
      </c>
      <c r="W116" s="42">
        <v>4</v>
      </c>
      <c r="X116" s="42">
        <v>265</v>
      </c>
      <c r="Y116" s="43">
        <v>130</v>
      </c>
      <c r="Z116" s="43">
        <v>150</v>
      </c>
      <c r="AA116" s="43">
        <v>30</v>
      </c>
      <c r="AB116" s="43">
        <v>95</v>
      </c>
      <c r="AC116" s="43">
        <v>250</v>
      </c>
      <c r="AD116" s="43">
        <v>260</v>
      </c>
      <c r="AE116" s="43">
        <v>280</v>
      </c>
      <c r="AF116" s="43">
        <v>200</v>
      </c>
      <c r="AG116" s="43">
        <v>30</v>
      </c>
      <c r="AH116" s="43">
        <v>6</v>
      </c>
      <c r="AI116" s="43">
        <v>300</v>
      </c>
      <c r="AJ116" s="41">
        <f t="shared" si="11"/>
        <v>2340</v>
      </c>
      <c r="AK116" s="41">
        <f t="shared" si="14"/>
        <v>750</v>
      </c>
      <c r="AL116" s="41">
        <f t="shared" si="14"/>
        <v>0</v>
      </c>
      <c r="AM116" s="41">
        <f t="shared" si="14"/>
        <v>0</v>
      </c>
      <c r="AN116" s="41">
        <f t="shared" si="14"/>
        <v>0</v>
      </c>
      <c r="AO116" s="41">
        <f t="shared" si="14"/>
        <v>0</v>
      </c>
      <c r="AP116" s="41">
        <f t="shared" si="13"/>
        <v>0</v>
      </c>
      <c r="AQ116" s="41">
        <f t="shared" si="13"/>
        <v>0</v>
      </c>
      <c r="AR116" s="41">
        <f t="shared" si="13"/>
        <v>0</v>
      </c>
      <c r="AS116" s="41">
        <f t="shared" si="13"/>
        <v>0</v>
      </c>
      <c r="AT116" s="41">
        <f t="shared" si="13"/>
        <v>0</v>
      </c>
      <c r="AU116" s="43">
        <f t="shared" si="15"/>
        <v>360</v>
      </c>
      <c r="AV116" s="43">
        <f t="shared" si="15"/>
        <v>200</v>
      </c>
      <c r="AW116" s="43">
        <f t="shared" si="15"/>
        <v>0</v>
      </c>
      <c r="AX116" s="43">
        <f t="shared" si="15"/>
        <v>0</v>
      </c>
      <c r="AY116" s="43">
        <f t="shared" si="15"/>
        <v>0</v>
      </c>
      <c r="AZ116" s="43">
        <f t="shared" si="15"/>
        <v>0</v>
      </c>
      <c r="BA116" s="43">
        <f t="shared" si="15"/>
        <v>0</v>
      </c>
      <c r="BB116" s="43">
        <f t="shared" si="15"/>
        <v>0</v>
      </c>
      <c r="BC116" s="43">
        <f t="shared" si="16"/>
        <v>0</v>
      </c>
      <c r="BD116" s="43">
        <f t="shared" si="16"/>
        <v>0</v>
      </c>
      <c r="BE116" s="43">
        <f t="shared" si="16"/>
        <v>0</v>
      </c>
      <c r="BF116" s="41">
        <f t="shared" si="12"/>
        <v>560</v>
      </c>
      <c r="BG116" s="41" t="str">
        <f t="array" ref="BG116">_xlfn.IFS(
OR(MONTH(A116)=11,MONTH(A116)=12,MONTH(A116)=1,MONTH(A116)=2),"Winter",
OR(MONTH(A116)=3,MONTH(A116)=4),"Spring",
OR(MONTH(A116)=5,MONTH(A116)=6),"Summer",
OR(MONTH(A116)=7,MONTH(A116)=8,MONTH(A116)=9),"Monsoon",
MONTH(A116)=10,"Autumn/Festive",
TRUE,""
)</f>
        <v>Summer</v>
      </c>
    </row>
    <row r="117" spans="1:59" x14ac:dyDescent="0.3">
      <c r="A117" s="39">
        <v>45442</v>
      </c>
      <c r="B117" s="40" t="str">
        <f t="shared" si="10"/>
        <v>May</v>
      </c>
      <c r="C117" s="41">
        <v>11</v>
      </c>
      <c r="D117" s="41">
        <v>0</v>
      </c>
      <c r="E117" s="41">
        <v>0</v>
      </c>
      <c r="F117" s="41">
        <v>2</v>
      </c>
      <c r="G117" s="41">
        <v>0</v>
      </c>
      <c r="H117" s="41">
        <v>0</v>
      </c>
      <c r="I117" s="41">
        <v>0</v>
      </c>
      <c r="J117" s="41">
        <v>0</v>
      </c>
      <c r="K117" s="41">
        <v>0</v>
      </c>
      <c r="L117" s="41">
        <v>0</v>
      </c>
      <c r="M117" s="41">
        <v>0</v>
      </c>
      <c r="N117" s="42">
        <v>110</v>
      </c>
      <c r="O117" s="42">
        <v>110</v>
      </c>
      <c r="P117" s="42">
        <v>26</v>
      </c>
      <c r="Q117" s="42">
        <v>65</v>
      </c>
      <c r="R117" s="42">
        <v>200</v>
      </c>
      <c r="S117" s="42">
        <v>230</v>
      </c>
      <c r="T117" s="42">
        <v>250</v>
      </c>
      <c r="U117" s="42">
        <v>170</v>
      </c>
      <c r="V117" s="42">
        <v>25</v>
      </c>
      <c r="W117" s="42">
        <v>4</v>
      </c>
      <c r="X117" s="42">
        <v>265</v>
      </c>
      <c r="Y117" s="43">
        <v>130</v>
      </c>
      <c r="Z117" s="43">
        <v>150</v>
      </c>
      <c r="AA117" s="43">
        <v>30</v>
      </c>
      <c r="AB117" s="43">
        <v>95</v>
      </c>
      <c r="AC117" s="43">
        <v>250</v>
      </c>
      <c r="AD117" s="43">
        <v>260</v>
      </c>
      <c r="AE117" s="43">
        <v>280</v>
      </c>
      <c r="AF117" s="43">
        <v>200</v>
      </c>
      <c r="AG117" s="43">
        <v>30</v>
      </c>
      <c r="AH117" s="43">
        <v>6</v>
      </c>
      <c r="AI117" s="43">
        <v>300</v>
      </c>
      <c r="AJ117" s="41">
        <f t="shared" si="11"/>
        <v>1430</v>
      </c>
      <c r="AK117" s="41">
        <f t="shared" si="14"/>
        <v>0</v>
      </c>
      <c r="AL117" s="41">
        <f t="shared" si="14"/>
        <v>0</v>
      </c>
      <c r="AM117" s="41">
        <f t="shared" si="14"/>
        <v>190</v>
      </c>
      <c r="AN117" s="41">
        <f t="shared" si="14"/>
        <v>0</v>
      </c>
      <c r="AO117" s="41">
        <f t="shared" si="14"/>
        <v>0</v>
      </c>
      <c r="AP117" s="41">
        <f t="shared" si="13"/>
        <v>0</v>
      </c>
      <c r="AQ117" s="41">
        <f t="shared" si="13"/>
        <v>0</v>
      </c>
      <c r="AR117" s="41">
        <f t="shared" si="13"/>
        <v>0</v>
      </c>
      <c r="AS117" s="41">
        <f t="shared" si="13"/>
        <v>0</v>
      </c>
      <c r="AT117" s="41">
        <f t="shared" si="13"/>
        <v>0</v>
      </c>
      <c r="AU117" s="43">
        <f t="shared" si="15"/>
        <v>220</v>
      </c>
      <c r="AV117" s="43">
        <f t="shared" si="15"/>
        <v>0</v>
      </c>
      <c r="AW117" s="43">
        <f t="shared" si="15"/>
        <v>0</v>
      </c>
      <c r="AX117" s="43">
        <f t="shared" si="15"/>
        <v>60</v>
      </c>
      <c r="AY117" s="43">
        <f t="shared" si="15"/>
        <v>0</v>
      </c>
      <c r="AZ117" s="43">
        <f t="shared" si="15"/>
        <v>0</v>
      </c>
      <c r="BA117" s="43">
        <f t="shared" si="15"/>
        <v>0</v>
      </c>
      <c r="BB117" s="43">
        <f t="shared" si="15"/>
        <v>0</v>
      </c>
      <c r="BC117" s="43">
        <f t="shared" si="16"/>
        <v>0</v>
      </c>
      <c r="BD117" s="43">
        <f t="shared" si="16"/>
        <v>0</v>
      </c>
      <c r="BE117" s="43">
        <f t="shared" si="16"/>
        <v>0</v>
      </c>
      <c r="BF117" s="41">
        <f t="shared" si="12"/>
        <v>280</v>
      </c>
      <c r="BG117" s="41" t="str">
        <f t="array" ref="BG117">_xlfn.IFS(
OR(MONTH(A117)=11,MONTH(A117)=12,MONTH(A117)=1,MONTH(A117)=2),"Winter",
OR(MONTH(A117)=3,MONTH(A117)=4),"Spring",
OR(MONTH(A117)=5,MONTH(A117)=6),"Summer",
OR(MONTH(A117)=7,MONTH(A117)=8,MONTH(A117)=9),"Monsoon",
MONTH(A117)=10,"Autumn/Festive",
TRUE,""
)</f>
        <v>Summer</v>
      </c>
    </row>
    <row r="118" spans="1:59" x14ac:dyDescent="0.3">
      <c r="A118" s="39">
        <v>45443</v>
      </c>
      <c r="B118" s="40" t="str">
        <f t="shared" si="10"/>
        <v>May</v>
      </c>
      <c r="C118" s="41">
        <v>4</v>
      </c>
      <c r="D118" s="41">
        <v>2</v>
      </c>
      <c r="E118" s="41">
        <v>0</v>
      </c>
      <c r="F118" s="41">
        <v>0</v>
      </c>
      <c r="G118" s="41">
        <v>6</v>
      </c>
      <c r="H118" s="41">
        <v>0</v>
      </c>
      <c r="I118" s="41">
        <v>0</v>
      </c>
      <c r="J118" s="41">
        <v>0</v>
      </c>
      <c r="K118" s="41">
        <v>0</v>
      </c>
      <c r="L118" s="41">
        <v>0</v>
      </c>
      <c r="M118" s="41">
        <v>0</v>
      </c>
      <c r="N118" s="42">
        <v>110</v>
      </c>
      <c r="O118" s="42">
        <v>110</v>
      </c>
      <c r="P118" s="42">
        <v>26</v>
      </c>
      <c r="Q118" s="42">
        <v>65</v>
      </c>
      <c r="R118" s="42">
        <v>200</v>
      </c>
      <c r="S118" s="42">
        <v>230</v>
      </c>
      <c r="T118" s="42">
        <v>250</v>
      </c>
      <c r="U118" s="42">
        <v>170</v>
      </c>
      <c r="V118" s="42">
        <v>25</v>
      </c>
      <c r="W118" s="42">
        <v>4</v>
      </c>
      <c r="X118" s="42">
        <v>265</v>
      </c>
      <c r="Y118" s="43">
        <v>130</v>
      </c>
      <c r="Z118" s="43">
        <v>150</v>
      </c>
      <c r="AA118" s="43">
        <v>30</v>
      </c>
      <c r="AB118" s="43">
        <v>95</v>
      </c>
      <c r="AC118" s="43">
        <v>250</v>
      </c>
      <c r="AD118" s="43">
        <v>260</v>
      </c>
      <c r="AE118" s="43">
        <v>280</v>
      </c>
      <c r="AF118" s="43">
        <v>200</v>
      </c>
      <c r="AG118" s="43">
        <v>30</v>
      </c>
      <c r="AH118" s="43">
        <v>6</v>
      </c>
      <c r="AI118" s="43">
        <v>300</v>
      </c>
      <c r="AJ118" s="41">
        <f t="shared" si="11"/>
        <v>520</v>
      </c>
      <c r="AK118" s="41">
        <f t="shared" si="14"/>
        <v>300</v>
      </c>
      <c r="AL118" s="41">
        <f t="shared" si="14"/>
        <v>0</v>
      </c>
      <c r="AM118" s="41">
        <f t="shared" si="14"/>
        <v>0</v>
      </c>
      <c r="AN118" s="41">
        <f t="shared" si="14"/>
        <v>1500</v>
      </c>
      <c r="AO118" s="41">
        <f t="shared" si="14"/>
        <v>0</v>
      </c>
      <c r="AP118" s="41">
        <f t="shared" si="13"/>
        <v>0</v>
      </c>
      <c r="AQ118" s="41">
        <f t="shared" si="13"/>
        <v>0</v>
      </c>
      <c r="AR118" s="41">
        <f t="shared" si="13"/>
        <v>0</v>
      </c>
      <c r="AS118" s="41">
        <f t="shared" si="13"/>
        <v>0</v>
      </c>
      <c r="AT118" s="41">
        <f t="shared" si="13"/>
        <v>0</v>
      </c>
      <c r="AU118" s="43">
        <f t="shared" si="15"/>
        <v>80</v>
      </c>
      <c r="AV118" s="43">
        <f t="shared" si="15"/>
        <v>80</v>
      </c>
      <c r="AW118" s="43">
        <f t="shared" si="15"/>
        <v>0</v>
      </c>
      <c r="AX118" s="43">
        <f t="shared" si="15"/>
        <v>0</v>
      </c>
      <c r="AY118" s="43">
        <f t="shared" si="15"/>
        <v>300</v>
      </c>
      <c r="AZ118" s="43">
        <f t="shared" si="15"/>
        <v>0</v>
      </c>
      <c r="BA118" s="43">
        <f t="shared" si="15"/>
        <v>0</v>
      </c>
      <c r="BB118" s="43">
        <f t="shared" si="15"/>
        <v>0</v>
      </c>
      <c r="BC118" s="43">
        <f t="shared" si="16"/>
        <v>0</v>
      </c>
      <c r="BD118" s="43">
        <f t="shared" si="16"/>
        <v>0</v>
      </c>
      <c r="BE118" s="43">
        <f t="shared" si="16"/>
        <v>0</v>
      </c>
      <c r="BF118" s="41">
        <f t="shared" si="12"/>
        <v>460</v>
      </c>
      <c r="BG118" s="41" t="str">
        <f t="array" ref="BG118">_xlfn.IFS(
OR(MONTH(A118)=11,MONTH(A118)=12,MONTH(A118)=1,MONTH(A118)=2),"Winter",
OR(MONTH(A118)=3,MONTH(A118)=4),"Spring",
OR(MONTH(A118)=5,MONTH(A118)=6),"Summer",
OR(MONTH(A118)=7,MONTH(A118)=8,MONTH(A118)=9),"Monsoon",
MONTH(A118)=10,"Autumn/Festive",
TRUE,""
)</f>
        <v>Summer</v>
      </c>
    </row>
    <row r="119" spans="1:59" x14ac:dyDescent="0.3">
      <c r="A119" s="39">
        <v>45444</v>
      </c>
      <c r="B119" s="40" t="str">
        <f t="shared" si="10"/>
        <v>June</v>
      </c>
      <c r="C119" s="41">
        <v>15</v>
      </c>
      <c r="D119" s="41">
        <v>0</v>
      </c>
      <c r="E119" s="41">
        <v>0</v>
      </c>
      <c r="F119" s="41">
        <v>2</v>
      </c>
      <c r="G119" s="41">
        <v>0</v>
      </c>
      <c r="H119" s="41">
        <v>0</v>
      </c>
      <c r="I119" s="41">
        <v>0</v>
      </c>
      <c r="J119" s="41">
        <v>0</v>
      </c>
      <c r="K119" s="41">
        <v>0</v>
      </c>
      <c r="L119" s="41">
        <v>0</v>
      </c>
      <c r="M119" s="41">
        <v>0</v>
      </c>
      <c r="N119" s="42">
        <v>110</v>
      </c>
      <c r="O119" s="42">
        <v>110</v>
      </c>
      <c r="P119" s="42">
        <v>26</v>
      </c>
      <c r="Q119" s="42">
        <v>65</v>
      </c>
      <c r="R119" s="42">
        <v>200</v>
      </c>
      <c r="S119" s="42">
        <v>230</v>
      </c>
      <c r="T119" s="42">
        <v>250</v>
      </c>
      <c r="U119" s="42">
        <v>170</v>
      </c>
      <c r="V119" s="42">
        <v>25</v>
      </c>
      <c r="W119" s="42">
        <v>4</v>
      </c>
      <c r="X119" s="42">
        <v>265</v>
      </c>
      <c r="Y119" s="43">
        <v>130</v>
      </c>
      <c r="Z119" s="43">
        <v>150</v>
      </c>
      <c r="AA119" s="43">
        <v>30</v>
      </c>
      <c r="AB119" s="43">
        <v>95</v>
      </c>
      <c r="AC119" s="43">
        <v>250</v>
      </c>
      <c r="AD119" s="43">
        <v>260</v>
      </c>
      <c r="AE119" s="43">
        <v>280</v>
      </c>
      <c r="AF119" s="43">
        <v>200</v>
      </c>
      <c r="AG119" s="43">
        <v>30</v>
      </c>
      <c r="AH119" s="43">
        <v>6</v>
      </c>
      <c r="AI119" s="43">
        <v>300</v>
      </c>
      <c r="AJ119" s="41">
        <f t="shared" si="11"/>
        <v>1950</v>
      </c>
      <c r="AK119" s="41">
        <f t="shared" si="14"/>
        <v>0</v>
      </c>
      <c r="AL119" s="41">
        <f t="shared" si="14"/>
        <v>0</v>
      </c>
      <c r="AM119" s="41">
        <f t="shared" si="14"/>
        <v>190</v>
      </c>
      <c r="AN119" s="41">
        <f t="shared" si="14"/>
        <v>0</v>
      </c>
      <c r="AO119" s="41">
        <f t="shared" si="14"/>
        <v>0</v>
      </c>
      <c r="AP119" s="41">
        <f t="shared" si="13"/>
        <v>0</v>
      </c>
      <c r="AQ119" s="41">
        <f t="shared" si="13"/>
        <v>0</v>
      </c>
      <c r="AR119" s="41">
        <f t="shared" si="13"/>
        <v>0</v>
      </c>
      <c r="AS119" s="41">
        <f t="shared" si="13"/>
        <v>0</v>
      </c>
      <c r="AT119" s="41">
        <f t="shared" si="13"/>
        <v>0</v>
      </c>
      <c r="AU119" s="43">
        <f t="shared" si="15"/>
        <v>300</v>
      </c>
      <c r="AV119" s="43">
        <f t="shared" si="15"/>
        <v>0</v>
      </c>
      <c r="AW119" s="43">
        <f t="shared" si="15"/>
        <v>0</v>
      </c>
      <c r="AX119" s="43">
        <f t="shared" si="15"/>
        <v>60</v>
      </c>
      <c r="AY119" s="43">
        <f t="shared" si="15"/>
        <v>0</v>
      </c>
      <c r="AZ119" s="43">
        <f t="shared" si="15"/>
        <v>0</v>
      </c>
      <c r="BA119" s="43">
        <f t="shared" si="15"/>
        <v>0</v>
      </c>
      <c r="BB119" s="43">
        <f t="shared" si="15"/>
        <v>0</v>
      </c>
      <c r="BC119" s="43">
        <f t="shared" si="16"/>
        <v>0</v>
      </c>
      <c r="BD119" s="43">
        <f t="shared" si="16"/>
        <v>0</v>
      </c>
      <c r="BE119" s="43">
        <f t="shared" si="16"/>
        <v>0</v>
      </c>
      <c r="BF119" s="41">
        <f t="shared" si="12"/>
        <v>360</v>
      </c>
      <c r="BG119" s="41" t="str">
        <f t="array" ref="BG119">_xlfn.IFS(
OR(MONTH(A119)=11,MONTH(A119)=12,MONTH(A119)=1,MONTH(A119)=2),"Winter",
OR(MONTH(A119)=3,MONTH(A119)=4),"Spring",
OR(MONTH(A119)=5,MONTH(A119)=6),"Summer",
OR(MONTH(A119)=7,MONTH(A119)=8,MONTH(A119)=9),"Monsoon",
MONTH(A119)=10,"Autumn/Festive",
TRUE,""
)</f>
        <v>Summer</v>
      </c>
    </row>
    <row r="120" spans="1:59" x14ac:dyDescent="0.3">
      <c r="A120" s="39">
        <v>45445</v>
      </c>
      <c r="B120" s="40" t="str">
        <f t="shared" si="10"/>
        <v>June</v>
      </c>
      <c r="C120" s="41">
        <v>8</v>
      </c>
      <c r="D120" s="41">
        <v>2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>
        <v>0</v>
      </c>
      <c r="K120" s="41">
        <v>0</v>
      </c>
      <c r="L120" s="41">
        <v>0</v>
      </c>
      <c r="M120" s="41">
        <v>0</v>
      </c>
      <c r="N120" s="42">
        <v>110</v>
      </c>
      <c r="O120" s="42">
        <v>110</v>
      </c>
      <c r="P120" s="42">
        <v>26</v>
      </c>
      <c r="Q120" s="42">
        <v>65</v>
      </c>
      <c r="R120" s="42">
        <v>200</v>
      </c>
      <c r="S120" s="42">
        <v>230</v>
      </c>
      <c r="T120" s="42">
        <v>250</v>
      </c>
      <c r="U120" s="42">
        <v>170</v>
      </c>
      <c r="V120" s="42">
        <v>25</v>
      </c>
      <c r="W120" s="42">
        <v>4</v>
      </c>
      <c r="X120" s="42">
        <v>265</v>
      </c>
      <c r="Y120" s="43">
        <v>130</v>
      </c>
      <c r="Z120" s="43">
        <v>150</v>
      </c>
      <c r="AA120" s="43">
        <v>30</v>
      </c>
      <c r="AB120" s="43">
        <v>95</v>
      </c>
      <c r="AC120" s="43">
        <v>250</v>
      </c>
      <c r="AD120" s="43">
        <v>260</v>
      </c>
      <c r="AE120" s="43">
        <v>280</v>
      </c>
      <c r="AF120" s="43">
        <v>200</v>
      </c>
      <c r="AG120" s="43">
        <v>30</v>
      </c>
      <c r="AH120" s="43">
        <v>6</v>
      </c>
      <c r="AI120" s="43">
        <v>300</v>
      </c>
      <c r="AJ120" s="41">
        <f t="shared" si="11"/>
        <v>1040</v>
      </c>
      <c r="AK120" s="41">
        <f t="shared" si="14"/>
        <v>300</v>
      </c>
      <c r="AL120" s="41">
        <f t="shared" si="14"/>
        <v>0</v>
      </c>
      <c r="AM120" s="41">
        <f t="shared" si="14"/>
        <v>0</v>
      </c>
      <c r="AN120" s="41">
        <f t="shared" si="14"/>
        <v>0</v>
      </c>
      <c r="AO120" s="41">
        <f t="shared" si="14"/>
        <v>0</v>
      </c>
      <c r="AP120" s="41">
        <f t="shared" si="13"/>
        <v>0</v>
      </c>
      <c r="AQ120" s="41">
        <f t="shared" si="13"/>
        <v>0</v>
      </c>
      <c r="AR120" s="41">
        <f t="shared" si="13"/>
        <v>0</v>
      </c>
      <c r="AS120" s="41">
        <f t="shared" si="13"/>
        <v>0</v>
      </c>
      <c r="AT120" s="41">
        <f t="shared" si="13"/>
        <v>0</v>
      </c>
      <c r="AU120" s="43">
        <f t="shared" si="15"/>
        <v>160</v>
      </c>
      <c r="AV120" s="43">
        <f t="shared" si="15"/>
        <v>80</v>
      </c>
      <c r="AW120" s="43">
        <f t="shared" si="15"/>
        <v>0</v>
      </c>
      <c r="AX120" s="43">
        <f t="shared" si="15"/>
        <v>0</v>
      </c>
      <c r="AY120" s="43">
        <f t="shared" si="15"/>
        <v>0</v>
      </c>
      <c r="AZ120" s="43">
        <f t="shared" si="15"/>
        <v>0</v>
      </c>
      <c r="BA120" s="43">
        <f t="shared" si="15"/>
        <v>0</v>
      </c>
      <c r="BB120" s="43">
        <f t="shared" si="15"/>
        <v>0</v>
      </c>
      <c r="BC120" s="43">
        <f t="shared" si="16"/>
        <v>0</v>
      </c>
      <c r="BD120" s="43">
        <f t="shared" si="16"/>
        <v>0</v>
      </c>
      <c r="BE120" s="43">
        <f t="shared" si="16"/>
        <v>0</v>
      </c>
      <c r="BF120" s="41">
        <f t="shared" si="12"/>
        <v>240</v>
      </c>
      <c r="BG120" s="41" t="str">
        <f t="array" ref="BG120">_xlfn.IFS(
OR(MONTH(A120)=11,MONTH(A120)=12,MONTH(A120)=1,MONTH(A120)=2),"Winter",
OR(MONTH(A120)=3,MONTH(A120)=4),"Spring",
OR(MONTH(A120)=5,MONTH(A120)=6),"Summer",
OR(MONTH(A120)=7,MONTH(A120)=8,MONTH(A120)=9),"Monsoon",
MONTH(A120)=10,"Autumn/Festive",
TRUE,""
)</f>
        <v>Summer</v>
      </c>
    </row>
    <row r="121" spans="1:59" x14ac:dyDescent="0.3">
      <c r="A121" s="39">
        <v>45446</v>
      </c>
      <c r="B121" s="40" t="str">
        <f t="shared" si="10"/>
        <v>June</v>
      </c>
      <c r="C121" s="41">
        <v>22</v>
      </c>
      <c r="D121" s="41">
        <v>0</v>
      </c>
      <c r="E121" s="41">
        <v>0</v>
      </c>
      <c r="F121" s="41">
        <v>0</v>
      </c>
      <c r="G121" s="41">
        <v>0</v>
      </c>
      <c r="H121" s="41">
        <v>0</v>
      </c>
      <c r="I121" s="41">
        <v>0</v>
      </c>
      <c r="J121" s="41">
        <v>0</v>
      </c>
      <c r="K121" s="41">
        <v>0</v>
      </c>
      <c r="L121" s="41">
        <v>0</v>
      </c>
      <c r="M121" s="41">
        <v>0</v>
      </c>
      <c r="N121" s="42">
        <v>110</v>
      </c>
      <c r="O121" s="42">
        <v>110</v>
      </c>
      <c r="P121" s="42">
        <v>26</v>
      </c>
      <c r="Q121" s="42">
        <v>65</v>
      </c>
      <c r="R121" s="42">
        <v>200</v>
      </c>
      <c r="S121" s="42">
        <v>230</v>
      </c>
      <c r="T121" s="42">
        <v>250</v>
      </c>
      <c r="U121" s="42">
        <v>170</v>
      </c>
      <c r="V121" s="42">
        <v>25</v>
      </c>
      <c r="W121" s="42">
        <v>4</v>
      </c>
      <c r="X121" s="42">
        <v>265</v>
      </c>
      <c r="Y121" s="43">
        <v>130</v>
      </c>
      <c r="Z121" s="43">
        <v>150</v>
      </c>
      <c r="AA121" s="43">
        <v>30</v>
      </c>
      <c r="AB121" s="43">
        <v>95</v>
      </c>
      <c r="AC121" s="43">
        <v>250</v>
      </c>
      <c r="AD121" s="43">
        <v>260</v>
      </c>
      <c r="AE121" s="43">
        <v>280</v>
      </c>
      <c r="AF121" s="43">
        <v>200</v>
      </c>
      <c r="AG121" s="43">
        <v>30</v>
      </c>
      <c r="AH121" s="43">
        <v>6</v>
      </c>
      <c r="AI121" s="43">
        <v>300</v>
      </c>
      <c r="AJ121" s="41">
        <f t="shared" si="11"/>
        <v>2860</v>
      </c>
      <c r="AK121" s="41">
        <f t="shared" si="14"/>
        <v>0</v>
      </c>
      <c r="AL121" s="41">
        <f t="shared" si="14"/>
        <v>0</v>
      </c>
      <c r="AM121" s="41">
        <f t="shared" si="14"/>
        <v>0</v>
      </c>
      <c r="AN121" s="41">
        <f t="shared" si="14"/>
        <v>0</v>
      </c>
      <c r="AO121" s="41">
        <f t="shared" si="14"/>
        <v>0</v>
      </c>
      <c r="AP121" s="41">
        <f t="shared" si="13"/>
        <v>0</v>
      </c>
      <c r="AQ121" s="41">
        <f t="shared" si="13"/>
        <v>0</v>
      </c>
      <c r="AR121" s="41">
        <f t="shared" si="13"/>
        <v>0</v>
      </c>
      <c r="AS121" s="41">
        <f t="shared" si="13"/>
        <v>0</v>
      </c>
      <c r="AT121" s="41">
        <f t="shared" si="13"/>
        <v>0</v>
      </c>
      <c r="AU121" s="43">
        <f t="shared" si="15"/>
        <v>440</v>
      </c>
      <c r="AV121" s="43">
        <f t="shared" si="15"/>
        <v>0</v>
      </c>
      <c r="AW121" s="43">
        <f t="shared" si="15"/>
        <v>0</v>
      </c>
      <c r="AX121" s="43">
        <f t="shared" si="15"/>
        <v>0</v>
      </c>
      <c r="AY121" s="43">
        <f t="shared" si="15"/>
        <v>0</v>
      </c>
      <c r="AZ121" s="43">
        <f t="shared" si="15"/>
        <v>0</v>
      </c>
      <c r="BA121" s="43">
        <f t="shared" si="15"/>
        <v>0</v>
      </c>
      <c r="BB121" s="43">
        <f t="shared" si="15"/>
        <v>0</v>
      </c>
      <c r="BC121" s="43">
        <f t="shared" si="16"/>
        <v>0</v>
      </c>
      <c r="BD121" s="43">
        <f t="shared" si="16"/>
        <v>0</v>
      </c>
      <c r="BE121" s="43">
        <f t="shared" si="16"/>
        <v>0</v>
      </c>
      <c r="BF121" s="41">
        <f t="shared" si="12"/>
        <v>440</v>
      </c>
      <c r="BG121" s="41" t="str">
        <f t="array" ref="BG121">_xlfn.IFS(
OR(MONTH(A121)=11,MONTH(A121)=12,MONTH(A121)=1,MONTH(A121)=2),"Winter",
OR(MONTH(A121)=3,MONTH(A121)=4),"Spring",
OR(MONTH(A121)=5,MONTH(A121)=6),"Summer",
OR(MONTH(A121)=7,MONTH(A121)=8,MONTH(A121)=9),"Monsoon",
MONTH(A121)=10,"Autumn/Festive",
TRUE,""
)</f>
        <v>Summer</v>
      </c>
    </row>
    <row r="122" spans="1:59" x14ac:dyDescent="0.3">
      <c r="A122" s="39">
        <v>45447</v>
      </c>
      <c r="B122" s="40" t="str">
        <f t="shared" si="10"/>
        <v>June</v>
      </c>
      <c r="C122" s="41">
        <v>6</v>
      </c>
      <c r="D122" s="41">
        <v>0</v>
      </c>
      <c r="E122" s="41">
        <v>0</v>
      </c>
      <c r="F122" s="41">
        <v>0</v>
      </c>
      <c r="G122" s="41">
        <v>0</v>
      </c>
      <c r="H122" s="41">
        <v>0</v>
      </c>
      <c r="I122" s="41">
        <v>0</v>
      </c>
      <c r="J122" s="41">
        <v>0</v>
      </c>
      <c r="K122" s="41">
        <v>0</v>
      </c>
      <c r="L122" s="41">
        <v>0</v>
      </c>
      <c r="M122" s="41">
        <v>0</v>
      </c>
      <c r="N122" s="42">
        <v>110</v>
      </c>
      <c r="O122" s="42">
        <v>110</v>
      </c>
      <c r="P122" s="42">
        <v>26</v>
      </c>
      <c r="Q122" s="42">
        <v>65</v>
      </c>
      <c r="R122" s="42">
        <v>200</v>
      </c>
      <c r="S122" s="42">
        <v>230</v>
      </c>
      <c r="T122" s="42">
        <v>250</v>
      </c>
      <c r="U122" s="42">
        <v>170</v>
      </c>
      <c r="V122" s="42">
        <v>25</v>
      </c>
      <c r="W122" s="42">
        <v>4</v>
      </c>
      <c r="X122" s="42">
        <v>265</v>
      </c>
      <c r="Y122" s="43">
        <v>130</v>
      </c>
      <c r="Z122" s="43">
        <v>150</v>
      </c>
      <c r="AA122" s="43">
        <v>30</v>
      </c>
      <c r="AB122" s="43">
        <v>95</v>
      </c>
      <c r="AC122" s="43">
        <v>250</v>
      </c>
      <c r="AD122" s="43">
        <v>260</v>
      </c>
      <c r="AE122" s="43">
        <v>280</v>
      </c>
      <c r="AF122" s="43">
        <v>200</v>
      </c>
      <c r="AG122" s="43">
        <v>30</v>
      </c>
      <c r="AH122" s="43">
        <v>6</v>
      </c>
      <c r="AI122" s="43">
        <v>300</v>
      </c>
      <c r="AJ122" s="41">
        <f t="shared" si="11"/>
        <v>780</v>
      </c>
      <c r="AK122" s="41">
        <f t="shared" si="14"/>
        <v>0</v>
      </c>
      <c r="AL122" s="41">
        <f t="shared" si="14"/>
        <v>0</v>
      </c>
      <c r="AM122" s="41">
        <f t="shared" si="14"/>
        <v>0</v>
      </c>
      <c r="AN122" s="41">
        <f t="shared" si="14"/>
        <v>0</v>
      </c>
      <c r="AO122" s="41">
        <f t="shared" si="14"/>
        <v>0</v>
      </c>
      <c r="AP122" s="41">
        <f t="shared" si="13"/>
        <v>0</v>
      </c>
      <c r="AQ122" s="41">
        <f t="shared" si="13"/>
        <v>0</v>
      </c>
      <c r="AR122" s="41">
        <f t="shared" si="13"/>
        <v>0</v>
      </c>
      <c r="AS122" s="41">
        <f t="shared" si="13"/>
        <v>0</v>
      </c>
      <c r="AT122" s="41">
        <f t="shared" si="13"/>
        <v>0</v>
      </c>
      <c r="AU122" s="43">
        <f t="shared" si="15"/>
        <v>120</v>
      </c>
      <c r="AV122" s="43">
        <f t="shared" si="15"/>
        <v>0</v>
      </c>
      <c r="AW122" s="43">
        <f t="shared" si="15"/>
        <v>0</v>
      </c>
      <c r="AX122" s="43">
        <f t="shared" si="15"/>
        <v>0</v>
      </c>
      <c r="AY122" s="43">
        <f t="shared" si="15"/>
        <v>0</v>
      </c>
      <c r="AZ122" s="43">
        <f t="shared" si="15"/>
        <v>0</v>
      </c>
      <c r="BA122" s="43">
        <f t="shared" si="15"/>
        <v>0</v>
      </c>
      <c r="BB122" s="43">
        <f t="shared" si="15"/>
        <v>0</v>
      </c>
      <c r="BC122" s="43">
        <f t="shared" si="16"/>
        <v>0</v>
      </c>
      <c r="BD122" s="43">
        <f t="shared" si="16"/>
        <v>0</v>
      </c>
      <c r="BE122" s="43">
        <f t="shared" si="16"/>
        <v>0</v>
      </c>
      <c r="BF122" s="41">
        <f t="shared" si="12"/>
        <v>120</v>
      </c>
      <c r="BG122" s="41" t="str">
        <f t="array" ref="BG122">_xlfn.IFS(
OR(MONTH(A122)=11,MONTH(A122)=12,MONTH(A122)=1,MONTH(A122)=2),"Winter",
OR(MONTH(A122)=3,MONTH(A122)=4),"Spring",
OR(MONTH(A122)=5,MONTH(A122)=6),"Summer",
OR(MONTH(A122)=7,MONTH(A122)=8,MONTH(A122)=9),"Monsoon",
MONTH(A122)=10,"Autumn/Festive",
TRUE,""
)</f>
        <v>Summer</v>
      </c>
    </row>
    <row r="123" spans="1:59" x14ac:dyDescent="0.3">
      <c r="A123" s="39">
        <v>45448</v>
      </c>
      <c r="B123" s="40" t="str">
        <f t="shared" si="10"/>
        <v>June</v>
      </c>
      <c r="C123" s="41">
        <v>8</v>
      </c>
      <c r="D123" s="41">
        <v>0</v>
      </c>
      <c r="E123" s="41">
        <v>0</v>
      </c>
      <c r="F123" s="41">
        <v>2</v>
      </c>
      <c r="G123" s="41">
        <v>0</v>
      </c>
      <c r="H123" s="41">
        <v>0</v>
      </c>
      <c r="I123" s="41">
        <v>0</v>
      </c>
      <c r="J123" s="41">
        <v>0</v>
      </c>
      <c r="K123" s="41">
        <v>0</v>
      </c>
      <c r="L123" s="41">
        <v>0</v>
      </c>
      <c r="M123" s="41">
        <v>0</v>
      </c>
      <c r="N123" s="42">
        <v>110</v>
      </c>
      <c r="O123" s="42">
        <v>110</v>
      </c>
      <c r="P123" s="42">
        <v>26</v>
      </c>
      <c r="Q123" s="42">
        <v>65</v>
      </c>
      <c r="R123" s="42">
        <v>200</v>
      </c>
      <c r="S123" s="42">
        <v>230</v>
      </c>
      <c r="T123" s="42">
        <v>250</v>
      </c>
      <c r="U123" s="42">
        <v>170</v>
      </c>
      <c r="V123" s="42">
        <v>25</v>
      </c>
      <c r="W123" s="42">
        <v>4</v>
      </c>
      <c r="X123" s="42">
        <v>265</v>
      </c>
      <c r="Y123" s="43">
        <v>130</v>
      </c>
      <c r="Z123" s="43">
        <v>150</v>
      </c>
      <c r="AA123" s="43">
        <v>30</v>
      </c>
      <c r="AB123" s="43">
        <v>95</v>
      </c>
      <c r="AC123" s="43">
        <v>250</v>
      </c>
      <c r="AD123" s="43">
        <v>260</v>
      </c>
      <c r="AE123" s="43">
        <v>280</v>
      </c>
      <c r="AF123" s="43">
        <v>200</v>
      </c>
      <c r="AG123" s="43">
        <v>30</v>
      </c>
      <c r="AH123" s="43">
        <v>6</v>
      </c>
      <c r="AI123" s="43">
        <v>300</v>
      </c>
      <c r="AJ123" s="41">
        <f t="shared" si="11"/>
        <v>1040</v>
      </c>
      <c r="AK123" s="41">
        <f t="shared" si="14"/>
        <v>0</v>
      </c>
      <c r="AL123" s="41">
        <f t="shared" si="14"/>
        <v>0</v>
      </c>
      <c r="AM123" s="41">
        <f t="shared" si="14"/>
        <v>190</v>
      </c>
      <c r="AN123" s="41">
        <f t="shared" si="14"/>
        <v>0</v>
      </c>
      <c r="AO123" s="41">
        <f t="shared" si="14"/>
        <v>0</v>
      </c>
      <c r="AP123" s="41">
        <f t="shared" si="13"/>
        <v>0</v>
      </c>
      <c r="AQ123" s="41">
        <f t="shared" si="13"/>
        <v>0</v>
      </c>
      <c r="AR123" s="41">
        <f t="shared" si="13"/>
        <v>0</v>
      </c>
      <c r="AS123" s="41">
        <f t="shared" si="13"/>
        <v>0</v>
      </c>
      <c r="AT123" s="41">
        <f t="shared" si="13"/>
        <v>0</v>
      </c>
      <c r="AU123" s="43">
        <f t="shared" si="15"/>
        <v>160</v>
      </c>
      <c r="AV123" s="43">
        <f t="shared" si="15"/>
        <v>0</v>
      </c>
      <c r="AW123" s="43">
        <f t="shared" si="15"/>
        <v>0</v>
      </c>
      <c r="AX123" s="43">
        <f t="shared" si="15"/>
        <v>60</v>
      </c>
      <c r="AY123" s="43">
        <f t="shared" si="15"/>
        <v>0</v>
      </c>
      <c r="AZ123" s="43">
        <f t="shared" si="15"/>
        <v>0</v>
      </c>
      <c r="BA123" s="43">
        <f t="shared" si="15"/>
        <v>0</v>
      </c>
      <c r="BB123" s="43">
        <f t="shared" si="15"/>
        <v>0</v>
      </c>
      <c r="BC123" s="43">
        <f t="shared" si="16"/>
        <v>0</v>
      </c>
      <c r="BD123" s="43">
        <f t="shared" si="16"/>
        <v>0</v>
      </c>
      <c r="BE123" s="43">
        <f t="shared" si="16"/>
        <v>0</v>
      </c>
      <c r="BF123" s="41">
        <f t="shared" si="12"/>
        <v>220</v>
      </c>
      <c r="BG123" s="41" t="str">
        <f t="array" ref="BG123">_xlfn.IFS(
OR(MONTH(A123)=11,MONTH(A123)=12,MONTH(A123)=1,MONTH(A123)=2),"Winter",
OR(MONTH(A123)=3,MONTH(A123)=4),"Spring",
OR(MONTH(A123)=5,MONTH(A123)=6),"Summer",
OR(MONTH(A123)=7,MONTH(A123)=8,MONTH(A123)=9),"Monsoon",
MONTH(A123)=10,"Autumn/Festive",
TRUE,""
)</f>
        <v>Summer</v>
      </c>
    </row>
    <row r="124" spans="1:59" x14ac:dyDescent="0.3">
      <c r="A124" s="39">
        <v>45449</v>
      </c>
      <c r="B124" s="40" t="str">
        <f t="shared" si="10"/>
        <v>June</v>
      </c>
      <c r="C124" s="41">
        <v>4</v>
      </c>
      <c r="D124" s="41">
        <v>2</v>
      </c>
      <c r="E124" s="41">
        <v>0</v>
      </c>
      <c r="F124" s="41">
        <v>0</v>
      </c>
      <c r="G124" s="41">
        <v>2</v>
      </c>
      <c r="H124" s="41">
        <v>0</v>
      </c>
      <c r="I124" s="41">
        <v>0</v>
      </c>
      <c r="J124" s="41">
        <v>0</v>
      </c>
      <c r="K124" s="41">
        <v>0</v>
      </c>
      <c r="L124" s="41">
        <v>0</v>
      </c>
      <c r="M124" s="41">
        <v>0</v>
      </c>
      <c r="N124" s="42">
        <v>110</v>
      </c>
      <c r="O124" s="42">
        <v>110</v>
      </c>
      <c r="P124" s="42">
        <v>26</v>
      </c>
      <c r="Q124" s="42">
        <v>65</v>
      </c>
      <c r="R124" s="42">
        <v>200</v>
      </c>
      <c r="S124" s="42">
        <v>230</v>
      </c>
      <c r="T124" s="42">
        <v>250</v>
      </c>
      <c r="U124" s="42">
        <v>170</v>
      </c>
      <c r="V124" s="42">
        <v>25</v>
      </c>
      <c r="W124" s="42">
        <v>4</v>
      </c>
      <c r="X124" s="42">
        <v>265</v>
      </c>
      <c r="Y124" s="43">
        <v>130</v>
      </c>
      <c r="Z124" s="43">
        <v>150</v>
      </c>
      <c r="AA124" s="43">
        <v>30</v>
      </c>
      <c r="AB124" s="43">
        <v>95</v>
      </c>
      <c r="AC124" s="43">
        <v>250</v>
      </c>
      <c r="AD124" s="43">
        <v>260</v>
      </c>
      <c r="AE124" s="43">
        <v>280</v>
      </c>
      <c r="AF124" s="43">
        <v>200</v>
      </c>
      <c r="AG124" s="43">
        <v>30</v>
      </c>
      <c r="AH124" s="43">
        <v>6</v>
      </c>
      <c r="AI124" s="43">
        <v>300</v>
      </c>
      <c r="AJ124" s="41">
        <f t="shared" si="11"/>
        <v>520</v>
      </c>
      <c r="AK124" s="41">
        <f t="shared" si="14"/>
        <v>300</v>
      </c>
      <c r="AL124" s="41">
        <f t="shared" si="14"/>
        <v>0</v>
      </c>
      <c r="AM124" s="41">
        <f t="shared" si="14"/>
        <v>0</v>
      </c>
      <c r="AN124" s="41">
        <f t="shared" si="14"/>
        <v>500</v>
      </c>
      <c r="AO124" s="41">
        <f t="shared" si="14"/>
        <v>0</v>
      </c>
      <c r="AP124" s="41">
        <f t="shared" si="13"/>
        <v>0</v>
      </c>
      <c r="AQ124" s="41">
        <f t="shared" si="13"/>
        <v>0</v>
      </c>
      <c r="AR124" s="41">
        <f t="shared" si="13"/>
        <v>0</v>
      </c>
      <c r="AS124" s="41">
        <f t="shared" si="13"/>
        <v>0</v>
      </c>
      <c r="AT124" s="41">
        <f t="shared" si="13"/>
        <v>0</v>
      </c>
      <c r="AU124" s="43">
        <f t="shared" si="15"/>
        <v>80</v>
      </c>
      <c r="AV124" s="43">
        <f t="shared" si="15"/>
        <v>80</v>
      </c>
      <c r="AW124" s="43">
        <f t="shared" si="15"/>
        <v>0</v>
      </c>
      <c r="AX124" s="43">
        <f t="shared" si="15"/>
        <v>0</v>
      </c>
      <c r="AY124" s="43">
        <f t="shared" si="15"/>
        <v>100</v>
      </c>
      <c r="AZ124" s="43">
        <f t="shared" si="15"/>
        <v>0</v>
      </c>
      <c r="BA124" s="43">
        <f t="shared" si="15"/>
        <v>0</v>
      </c>
      <c r="BB124" s="43">
        <f t="shared" si="15"/>
        <v>0</v>
      </c>
      <c r="BC124" s="43">
        <f t="shared" si="16"/>
        <v>0</v>
      </c>
      <c r="BD124" s="43">
        <f t="shared" si="16"/>
        <v>0</v>
      </c>
      <c r="BE124" s="43">
        <f t="shared" si="16"/>
        <v>0</v>
      </c>
      <c r="BF124" s="41">
        <f t="shared" si="12"/>
        <v>260</v>
      </c>
      <c r="BG124" s="41" t="str">
        <f t="array" ref="BG124">_xlfn.IFS(
OR(MONTH(A124)=11,MONTH(A124)=12,MONTH(A124)=1,MONTH(A124)=2),"Winter",
OR(MONTH(A124)=3,MONTH(A124)=4),"Spring",
OR(MONTH(A124)=5,MONTH(A124)=6),"Summer",
OR(MONTH(A124)=7,MONTH(A124)=8,MONTH(A124)=9),"Monsoon",
MONTH(A124)=10,"Autumn/Festive",
TRUE,""
)</f>
        <v>Summer</v>
      </c>
    </row>
    <row r="125" spans="1:59" x14ac:dyDescent="0.3">
      <c r="A125" s="39">
        <v>45450</v>
      </c>
      <c r="B125" s="40" t="str">
        <f t="shared" si="10"/>
        <v>June</v>
      </c>
      <c r="C125" s="41">
        <v>17</v>
      </c>
      <c r="D125" s="41">
        <v>0</v>
      </c>
      <c r="E125" s="41">
        <v>0</v>
      </c>
      <c r="F125" s="41">
        <v>0</v>
      </c>
      <c r="G125" s="41">
        <v>0</v>
      </c>
      <c r="H125" s="41">
        <v>0</v>
      </c>
      <c r="I125" s="41">
        <v>0</v>
      </c>
      <c r="J125" s="41">
        <v>0</v>
      </c>
      <c r="K125" s="41">
        <v>0</v>
      </c>
      <c r="L125" s="41">
        <v>0</v>
      </c>
      <c r="M125" s="41">
        <v>0</v>
      </c>
      <c r="N125" s="42">
        <v>110</v>
      </c>
      <c r="O125" s="42">
        <v>110</v>
      </c>
      <c r="P125" s="42">
        <v>26</v>
      </c>
      <c r="Q125" s="42">
        <v>65</v>
      </c>
      <c r="R125" s="42">
        <v>200</v>
      </c>
      <c r="S125" s="42">
        <v>230</v>
      </c>
      <c r="T125" s="42">
        <v>250</v>
      </c>
      <c r="U125" s="42">
        <v>170</v>
      </c>
      <c r="V125" s="42">
        <v>25</v>
      </c>
      <c r="W125" s="42">
        <v>4</v>
      </c>
      <c r="X125" s="42">
        <v>265</v>
      </c>
      <c r="Y125" s="43">
        <v>130</v>
      </c>
      <c r="Z125" s="43">
        <v>150</v>
      </c>
      <c r="AA125" s="43">
        <v>30</v>
      </c>
      <c r="AB125" s="43">
        <v>95</v>
      </c>
      <c r="AC125" s="43">
        <v>250</v>
      </c>
      <c r="AD125" s="43">
        <v>260</v>
      </c>
      <c r="AE125" s="43">
        <v>280</v>
      </c>
      <c r="AF125" s="43">
        <v>200</v>
      </c>
      <c r="AG125" s="43">
        <v>30</v>
      </c>
      <c r="AH125" s="43">
        <v>6</v>
      </c>
      <c r="AI125" s="43">
        <v>300</v>
      </c>
      <c r="AJ125" s="41">
        <f t="shared" si="11"/>
        <v>2210</v>
      </c>
      <c r="AK125" s="41">
        <f t="shared" si="14"/>
        <v>0</v>
      </c>
      <c r="AL125" s="41">
        <f t="shared" si="14"/>
        <v>0</v>
      </c>
      <c r="AM125" s="41">
        <f t="shared" si="14"/>
        <v>0</v>
      </c>
      <c r="AN125" s="41">
        <f t="shared" si="14"/>
        <v>0</v>
      </c>
      <c r="AO125" s="41">
        <f t="shared" si="14"/>
        <v>0</v>
      </c>
      <c r="AP125" s="41">
        <f t="shared" si="13"/>
        <v>0</v>
      </c>
      <c r="AQ125" s="41">
        <f t="shared" si="13"/>
        <v>0</v>
      </c>
      <c r="AR125" s="41">
        <f t="shared" si="13"/>
        <v>0</v>
      </c>
      <c r="AS125" s="41">
        <f t="shared" si="13"/>
        <v>0</v>
      </c>
      <c r="AT125" s="41">
        <f t="shared" si="13"/>
        <v>0</v>
      </c>
      <c r="AU125" s="43">
        <f t="shared" si="15"/>
        <v>340</v>
      </c>
      <c r="AV125" s="43">
        <f t="shared" si="15"/>
        <v>0</v>
      </c>
      <c r="AW125" s="43">
        <f t="shared" si="15"/>
        <v>0</v>
      </c>
      <c r="AX125" s="43">
        <f t="shared" si="15"/>
        <v>0</v>
      </c>
      <c r="AY125" s="43">
        <f t="shared" si="15"/>
        <v>0</v>
      </c>
      <c r="AZ125" s="43">
        <f t="shared" si="15"/>
        <v>0</v>
      </c>
      <c r="BA125" s="43">
        <f t="shared" si="15"/>
        <v>0</v>
      </c>
      <c r="BB125" s="43">
        <f t="shared" si="15"/>
        <v>0</v>
      </c>
      <c r="BC125" s="43">
        <f t="shared" si="16"/>
        <v>0</v>
      </c>
      <c r="BD125" s="43">
        <f t="shared" si="16"/>
        <v>0</v>
      </c>
      <c r="BE125" s="43">
        <f t="shared" si="16"/>
        <v>0</v>
      </c>
      <c r="BF125" s="41">
        <f t="shared" si="12"/>
        <v>340</v>
      </c>
      <c r="BG125" s="41" t="str">
        <f t="array" ref="BG125">_xlfn.IFS(
OR(MONTH(A125)=11,MONTH(A125)=12,MONTH(A125)=1,MONTH(A125)=2),"Winter",
OR(MONTH(A125)=3,MONTH(A125)=4),"Spring",
OR(MONTH(A125)=5,MONTH(A125)=6),"Summer",
OR(MONTH(A125)=7,MONTH(A125)=8,MONTH(A125)=9),"Monsoon",
MONTH(A125)=10,"Autumn/Festive",
TRUE,""
)</f>
        <v>Summer</v>
      </c>
    </row>
    <row r="126" spans="1:59" x14ac:dyDescent="0.3">
      <c r="A126" s="39">
        <v>45451</v>
      </c>
      <c r="B126" s="40" t="str">
        <f t="shared" si="10"/>
        <v>June</v>
      </c>
      <c r="C126" s="41">
        <v>4</v>
      </c>
      <c r="D126" s="41">
        <v>3</v>
      </c>
      <c r="E126" s="41">
        <v>0</v>
      </c>
      <c r="F126" s="41">
        <v>2</v>
      </c>
      <c r="G126" s="41">
        <v>0</v>
      </c>
      <c r="H126" s="41">
        <v>0</v>
      </c>
      <c r="I126" s="41">
        <v>0</v>
      </c>
      <c r="J126" s="41">
        <v>0</v>
      </c>
      <c r="K126" s="41">
        <v>0</v>
      </c>
      <c r="L126" s="41">
        <v>0</v>
      </c>
      <c r="M126" s="41">
        <v>0</v>
      </c>
      <c r="N126" s="42">
        <v>110</v>
      </c>
      <c r="O126" s="42">
        <v>110</v>
      </c>
      <c r="P126" s="42">
        <v>26</v>
      </c>
      <c r="Q126" s="42">
        <v>65</v>
      </c>
      <c r="R126" s="42">
        <v>200</v>
      </c>
      <c r="S126" s="42">
        <v>230</v>
      </c>
      <c r="T126" s="42">
        <v>250</v>
      </c>
      <c r="U126" s="42">
        <v>170</v>
      </c>
      <c r="V126" s="42">
        <v>25</v>
      </c>
      <c r="W126" s="42">
        <v>4</v>
      </c>
      <c r="X126" s="42">
        <v>265</v>
      </c>
      <c r="Y126" s="43">
        <v>130</v>
      </c>
      <c r="Z126" s="43">
        <v>150</v>
      </c>
      <c r="AA126" s="43">
        <v>30</v>
      </c>
      <c r="AB126" s="43">
        <v>95</v>
      </c>
      <c r="AC126" s="43">
        <v>250</v>
      </c>
      <c r="AD126" s="43">
        <v>260</v>
      </c>
      <c r="AE126" s="43">
        <v>280</v>
      </c>
      <c r="AF126" s="43">
        <v>200</v>
      </c>
      <c r="AG126" s="43">
        <v>30</v>
      </c>
      <c r="AH126" s="43">
        <v>6</v>
      </c>
      <c r="AI126" s="43">
        <v>300</v>
      </c>
      <c r="AJ126" s="41">
        <f t="shared" si="11"/>
        <v>520</v>
      </c>
      <c r="AK126" s="41">
        <f t="shared" si="14"/>
        <v>450</v>
      </c>
      <c r="AL126" s="41">
        <f t="shared" si="14"/>
        <v>0</v>
      </c>
      <c r="AM126" s="41">
        <f t="shared" si="14"/>
        <v>190</v>
      </c>
      <c r="AN126" s="41">
        <f t="shared" si="14"/>
        <v>0</v>
      </c>
      <c r="AO126" s="41">
        <f t="shared" si="14"/>
        <v>0</v>
      </c>
      <c r="AP126" s="41">
        <f t="shared" si="13"/>
        <v>0</v>
      </c>
      <c r="AQ126" s="41">
        <f t="shared" si="13"/>
        <v>0</v>
      </c>
      <c r="AR126" s="41">
        <f t="shared" si="13"/>
        <v>0</v>
      </c>
      <c r="AS126" s="41">
        <f t="shared" si="13"/>
        <v>0</v>
      </c>
      <c r="AT126" s="41">
        <f t="shared" si="13"/>
        <v>0</v>
      </c>
      <c r="AU126" s="43">
        <f t="shared" si="15"/>
        <v>80</v>
      </c>
      <c r="AV126" s="43">
        <f t="shared" ref="AV126:BE189" si="17">AK126-(D126*O126)</f>
        <v>120</v>
      </c>
      <c r="AW126" s="43">
        <f t="shared" si="17"/>
        <v>0</v>
      </c>
      <c r="AX126" s="43">
        <f t="shared" si="17"/>
        <v>60</v>
      </c>
      <c r="AY126" s="43">
        <f t="shared" si="17"/>
        <v>0</v>
      </c>
      <c r="AZ126" s="43">
        <f t="shared" si="17"/>
        <v>0</v>
      </c>
      <c r="BA126" s="43">
        <f t="shared" si="17"/>
        <v>0</v>
      </c>
      <c r="BB126" s="43">
        <f t="shared" si="17"/>
        <v>0</v>
      </c>
      <c r="BC126" s="43">
        <f t="shared" si="16"/>
        <v>0</v>
      </c>
      <c r="BD126" s="43">
        <f t="shared" si="16"/>
        <v>0</v>
      </c>
      <c r="BE126" s="43">
        <f t="shared" si="16"/>
        <v>0</v>
      </c>
      <c r="BF126" s="41">
        <f t="shared" si="12"/>
        <v>260</v>
      </c>
      <c r="BG126" s="41" t="str">
        <f t="array" ref="BG126">_xlfn.IFS(
OR(MONTH(A126)=11,MONTH(A126)=12,MONTH(A126)=1,MONTH(A126)=2),"Winter",
OR(MONTH(A126)=3,MONTH(A126)=4),"Spring",
OR(MONTH(A126)=5,MONTH(A126)=6),"Summer",
OR(MONTH(A126)=7,MONTH(A126)=8,MONTH(A126)=9),"Monsoon",
MONTH(A126)=10,"Autumn/Festive",
TRUE,""
)</f>
        <v>Summer</v>
      </c>
    </row>
    <row r="127" spans="1:59" x14ac:dyDescent="0.3">
      <c r="A127" s="39">
        <v>45452</v>
      </c>
      <c r="B127" s="40" t="str">
        <f t="shared" si="10"/>
        <v>June</v>
      </c>
      <c r="C127" s="41">
        <v>0</v>
      </c>
      <c r="D127" s="41">
        <v>0</v>
      </c>
      <c r="E127" s="41">
        <v>0</v>
      </c>
      <c r="F127" s="41">
        <v>0</v>
      </c>
      <c r="G127" s="41">
        <v>0</v>
      </c>
      <c r="H127" s="41">
        <v>0</v>
      </c>
      <c r="I127" s="41">
        <v>0</v>
      </c>
      <c r="J127" s="41">
        <v>0</v>
      </c>
      <c r="K127" s="41">
        <v>0</v>
      </c>
      <c r="L127" s="41">
        <v>0</v>
      </c>
      <c r="M127" s="41">
        <v>0</v>
      </c>
      <c r="N127" s="42">
        <v>110</v>
      </c>
      <c r="O127" s="42">
        <v>110</v>
      </c>
      <c r="P127" s="42">
        <v>26</v>
      </c>
      <c r="Q127" s="42">
        <v>65</v>
      </c>
      <c r="R127" s="42">
        <v>200</v>
      </c>
      <c r="S127" s="42">
        <v>230</v>
      </c>
      <c r="T127" s="42">
        <v>250</v>
      </c>
      <c r="U127" s="42">
        <v>170</v>
      </c>
      <c r="V127" s="42">
        <v>25</v>
      </c>
      <c r="W127" s="42">
        <v>4</v>
      </c>
      <c r="X127" s="42">
        <v>265</v>
      </c>
      <c r="Y127" s="43">
        <v>130</v>
      </c>
      <c r="Z127" s="43">
        <v>150</v>
      </c>
      <c r="AA127" s="43">
        <v>30</v>
      </c>
      <c r="AB127" s="43">
        <v>95</v>
      </c>
      <c r="AC127" s="43">
        <v>250</v>
      </c>
      <c r="AD127" s="43">
        <v>260</v>
      </c>
      <c r="AE127" s="43">
        <v>280</v>
      </c>
      <c r="AF127" s="43">
        <v>200</v>
      </c>
      <c r="AG127" s="43">
        <v>30</v>
      </c>
      <c r="AH127" s="43">
        <v>6</v>
      </c>
      <c r="AI127" s="43">
        <v>300</v>
      </c>
      <c r="AJ127" s="41">
        <f t="shared" si="11"/>
        <v>0</v>
      </c>
      <c r="AK127" s="41">
        <f t="shared" si="14"/>
        <v>0</v>
      </c>
      <c r="AL127" s="41">
        <f t="shared" si="14"/>
        <v>0</v>
      </c>
      <c r="AM127" s="41">
        <f t="shared" si="14"/>
        <v>0</v>
      </c>
      <c r="AN127" s="41">
        <f t="shared" si="14"/>
        <v>0</v>
      </c>
      <c r="AO127" s="41">
        <f t="shared" si="14"/>
        <v>0</v>
      </c>
      <c r="AP127" s="41">
        <f t="shared" si="13"/>
        <v>0</v>
      </c>
      <c r="AQ127" s="41">
        <f t="shared" si="13"/>
        <v>0</v>
      </c>
      <c r="AR127" s="41">
        <f t="shared" si="13"/>
        <v>0</v>
      </c>
      <c r="AS127" s="41">
        <f t="shared" si="13"/>
        <v>0</v>
      </c>
      <c r="AT127" s="41">
        <f t="shared" si="13"/>
        <v>0</v>
      </c>
      <c r="AU127" s="43">
        <f t="shared" ref="AU127:BE190" si="18">AJ127-(C127*N127)</f>
        <v>0</v>
      </c>
      <c r="AV127" s="43">
        <f t="shared" si="17"/>
        <v>0</v>
      </c>
      <c r="AW127" s="43">
        <f t="shared" si="17"/>
        <v>0</v>
      </c>
      <c r="AX127" s="43">
        <f t="shared" si="17"/>
        <v>0</v>
      </c>
      <c r="AY127" s="43">
        <f t="shared" si="17"/>
        <v>0</v>
      </c>
      <c r="AZ127" s="43">
        <f t="shared" si="17"/>
        <v>0</v>
      </c>
      <c r="BA127" s="43">
        <f t="shared" si="17"/>
        <v>0</v>
      </c>
      <c r="BB127" s="43">
        <f t="shared" si="17"/>
        <v>0</v>
      </c>
      <c r="BC127" s="43">
        <f t="shared" si="16"/>
        <v>0</v>
      </c>
      <c r="BD127" s="43">
        <f t="shared" si="16"/>
        <v>0</v>
      </c>
      <c r="BE127" s="43">
        <f t="shared" si="16"/>
        <v>0</v>
      </c>
      <c r="BF127" s="41">
        <f t="shared" si="12"/>
        <v>0</v>
      </c>
      <c r="BG127" s="41" t="str">
        <f t="array" ref="BG127">_xlfn.IFS(
OR(MONTH(A127)=11,MONTH(A127)=12,MONTH(A127)=1,MONTH(A127)=2),"Winter",
OR(MONTH(A127)=3,MONTH(A127)=4),"Spring",
OR(MONTH(A127)=5,MONTH(A127)=6),"Summer",
OR(MONTH(A127)=7,MONTH(A127)=8,MONTH(A127)=9),"Monsoon",
MONTH(A127)=10,"Autumn/Festive",
TRUE,""
)</f>
        <v>Summer</v>
      </c>
    </row>
    <row r="128" spans="1:59" x14ac:dyDescent="0.3">
      <c r="A128" s="39">
        <v>45453</v>
      </c>
      <c r="B128" s="40" t="str">
        <f t="shared" si="10"/>
        <v>June</v>
      </c>
      <c r="C128" s="41">
        <v>11</v>
      </c>
      <c r="D128" s="41">
        <v>3</v>
      </c>
      <c r="E128" s="41">
        <v>0</v>
      </c>
      <c r="F128" s="41">
        <v>3</v>
      </c>
      <c r="G128" s="41">
        <v>0</v>
      </c>
      <c r="H128" s="41">
        <v>0</v>
      </c>
      <c r="I128" s="41">
        <v>0</v>
      </c>
      <c r="J128" s="41">
        <v>0</v>
      </c>
      <c r="K128" s="41">
        <v>0</v>
      </c>
      <c r="L128" s="41">
        <v>0</v>
      </c>
      <c r="M128" s="41">
        <v>0</v>
      </c>
      <c r="N128" s="42">
        <v>110</v>
      </c>
      <c r="O128" s="42">
        <v>110</v>
      </c>
      <c r="P128" s="42">
        <v>26</v>
      </c>
      <c r="Q128" s="42">
        <v>65</v>
      </c>
      <c r="R128" s="42">
        <v>200</v>
      </c>
      <c r="S128" s="42">
        <v>230</v>
      </c>
      <c r="T128" s="42">
        <v>250</v>
      </c>
      <c r="U128" s="42">
        <v>170</v>
      </c>
      <c r="V128" s="42">
        <v>25</v>
      </c>
      <c r="W128" s="42">
        <v>4</v>
      </c>
      <c r="X128" s="42">
        <v>265</v>
      </c>
      <c r="Y128" s="43">
        <v>130</v>
      </c>
      <c r="Z128" s="43">
        <v>150</v>
      </c>
      <c r="AA128" s="43">
        <v>30</v>
      </c>
      <c r="AB128" s="43">
        <v>95</v>
      </c>
      <c r="AC128" s="43">
        <v>250</v>
      </c>
      <c r="AD128" s="43">
        <v>260</v>
      </c>
      <c r="AE128" s="43">
        <v>280</v>
      </c>
      <c r="AF128" s="43">
        <v>200</v>
      </c>
      <c r="AG128" s="43">
        <v>30</v>
      </c>
      <c r="AH128" s="43">
        <v>6</v>
      </c>
      <c r="AI128" s="43">
        <v>300</v>
      </c>
      <c r="AJ128" s="41">
        <f t="shared" si="11"/>
        <v>1430</v>
      </c>
      <c r="AK128" s="41">
        <f t="shared" si="14"/>
        <v>450</v>
      </c>
      <c r="AL128" s="41">
        <f t="shared" si="14"/>
        <v>0</v>
      </c>
      <c r="AM128" s="41">
        <f t="shared" si="14"/>
        <v>285</v>
      </c>
      <c r="AN128" s="41">
        <f t="shared" si="14"/>
        <v>0</v>
      </c>
      <c r="AO128" s="41">
        <f t="shared" si="14"/>
        <v>0</v>
      </c>
      <c r="AP128" s="41">
        <f t="shared" si="13"/>
        <v>0</v>
      </c>
      <c r="AQ128" s="41">
        <f t="shared" si="13"/>
        <v>0</v>
      </c>
      <c r="AR128" s="41">
        <f t="shared" si="13"/>
        <v>0</v>
      </c>
      <c r="AS128" s="41">
        <f t="shared" si="13"/>
        <v>0</v>
      </c>
      <c r="AT128" s="41">
        <f t="shared" si="13"/>
        <v>0</v>
      </c>
      <c r="AU128" s="43">
        <f t="shared" si="18"/>
        <v>220</v>
      </c>
      <c r="AV128" s="43">
        <f t="shared" si="17"/>
        <v>120</v>
      </c>
      <c r="AW128" s="43">
        <f t="shared" si="17"/>
        <v>0</v>
      </c>
      <c r="AX128" s="43">
        <f t="shared" si="17"/>
        <v>90</v>
      </c>
      <c r="AY128" s="43">
        <f t="shared" si="17"/>
        <v>0</v>
      </c>
      <c r="AZ128" s="43">
        <f t="shared" si="17"/>
        <v>0</v>
      </c>
      <c r="BA128" s="43">
        <f t="shared" si="17"/>
        <v>0</v>
      </c>
      <c r="BB128" s="43">
        <f t="shared" si="17"/>
        <v>0</v>
      </c>
      <c r="BC128" s="43">
        <f t="shared" si="16"/>
        <v>0</v>
      </c>
      <c r="BD128" s="43">
        <f t="shared" si="16"/>
        <v>0</v>
      </c>
      <c r="BE128" s="43">
        <f t="shared" si="16"/>
        <v>0</v>
      </c>
      <c r="BF128" s="41">
        <f t="shared" si="12"/>
        <v>430</v>
      </c>
      <c r="BG128" s="41" t="str">
        <f t="array" ref="BG128">_xlfn.IFS(
OR(MONTH(A128)=11,MONTH(A128)=12,MONTH(A128)=1,MONTH(A128)=2),"Winter",
OR(MONTH(A128)=3,MONTH(A128)=4),"Spring",
OR(MONTH(A128)=5,MONTH(A128)=6),"Summer",
OR(MONTH(A128)=7,MONTH(A128)=8,MONTH(A128)=9),"Monsoon",
MONTH(A128)=10,"Autumn/Festive",
TRUE,""
)</f>
        <v>Summer</v>
      </c>
    </row>
    <row r="129" spans="1:59" x14ac:dyDescent="0.3">
      <c r="A129" s="39">
        <v>45454</v>
      </c>
      <c r="B129" s="40" t="str">
        <f t="shared" si="10"/>
        <v>June</v>
      </c>
      <c r="C129" s="41">
        <v>7</v>
      </c>
      <c r="D129" s="41">
        <v>0</v>
      </c>
      <c r="E129" s="41">
        <v>0</v>
      </c>
      <c r="F129" s="41">
        <v>0</v>
      </c>
      <c r="G129" s="41">
        <v>9</v>
      </c>
      <c r="H129" s="41">
        <v>0</v>
      </c>
      <c r="I129" s="41">
        <v>0</v>
      </c>
      <c r="J129" s="41">
        <v>0</v>
      </c>
      <c r="K129" s="41">
        <v>0</v>
      </c>
      <c r="L129" s="41">
        <v>0</v>
      </c>
      <c r="M129" s="41">
        <v>0</v>
      </c>
      <c r="N129" s="42">
        <v>110</v>
      </c>
      <c r="O129" s="42">
        <v>110</v>
      </c>
      <c r="P129" s="42">
        <v>26</v>
      </c>
      <c r="Q129" s="42">
        <v>65</v>
      </c>
      <c r="R129" s="42">
        <v>200</v>
      </c>
      <c r="S129" s="42">
        <v>230</v>
      </c>
      <c r="T129" s="42">
        <v>250</v>
      </c>
      <c r="U129" s="42">
        <v>170</v>
      </c>
      <c r="V129" s="42">
        <v>25</v>
      </c>
      <c r="W129" s="42">
        <v>4</v>
      </c>
      <c r="X129" s="42">
        <v>265</v>
      </c>
      <c r="Y129" s="43">
        <v>130</v>
      </c>
      <c r="Z129" s="43">
        <v>150</v>
      </c>
      <c r="AA129" s="43">
        <v>30</v>
      </c>
      <c r="AB129" s="43">
        <v>95</v>
      </c>
      <c r="AC129" s="43">
        <v>250</v>
      </c>
      <c r="AD129" s="43">
        <v>260</v>
      </c>
      <c r="AE129" s="43">
        <v>280</v>
      </c>
      <c r="AF129" s="43">
        <v>200</v>
      </c>
      <c r="AG129" s="43">
        <v>30</v>
      </c>
      <c r="AH129" s="43">
        <v>6</v>
      </c>
      <c r="AI129" s="43">
        <v>300</v>
      </c>
      <c r="AJ129" s="41">
        <f t="shared" si="11"/>
        <v>910</v>
      </c>
      <c r="AK129" s="41">
        <f t="shared" si="14"/>
        <v>0</v>
      </c>
      <c r="AL129" s="41">
        <f t="shared" si="14"/>
        <v>0</v>
      </c>
      <c r="AM129" s="41">
        <f t="shared" si="14"/>
        <v>0</v>
      </c>
      <c r="AN129" s="41">
        <f t="shared" si="14"/>
        <v>2250</v>
      </c>
      <c r="AO129" s="41">
        <f t="shared" si="14"/>
        <v>0</v>
      </c>
      <c r="AP129" s="41">
        <f t="shared" si="13"/>
        <v>0</v>
      </c>
      <c r="AQ129" s="41">
        <f t="shared" si="13"/>
        <v>0</v>
      </c>
      <c r="AR129" s="41">
        <f t="shared" si="13"/>
        <v>0</v>
      </c>
      <c r="AS129" s="41">
        <f t="shared" si="13"/>
        <v>0</v>
      </c>
      <c r="AT129" s="41">
        <f t="shared" si="13"/>
        <v>0</v>
      </c>
      <c r="AU129" s="43">
        <f t="shared" si="18"/>
        <v>140</v>
      </c>
      <c r="AV129" s="43">
        <f t="shared" si="17"/>
        <v>0</v>
      </c>
      <c r="AW129" s="43">
        <f t="shared" si="17"/>
        <v>0</v>
      </c>
      <c r="AX129" s="43">
        <f t="shared" si="17"/>
        <v>0</v>
      </c>
      <c r="AY129" s="43">
        <f t="shared" si="17"/>
        <v>450</v>
      </c>
      <c r="AZ129" s="43">
        <f t="shared" si="17"/>
        <v>0</v>
      </c>
      <c r="BA129" s="43">
        <f t="shared" si="17"/>
        <v>0</v>
      </c>
      <c r="BB129" s="43">
        <f t="shared" si="17"/>
        <v>0</v>
      </c>
      <c r="BC129" s="43">
        <f t="shared" si="16"/>
        <v>0</v>
      </c>
      <c r="BD129" s="43">
        <f t="shared" si="16"/>
        <v>0</v>
      </c>
      <c r="BE129" s="43">
        <f t="shared" si="16"/>
        <v>0</v>
      </c>
      <c r="BF129" s="41">
        <f t="shared" si="12"/>
        <v>590</v>
      </c>
      <c r="BG129" s="41" t="str">
        <f t="array" ref="BG129">_xlfn.IFS(
OR(MONTH(A129)=11,MONTH(A129)=12,MONTH(A129)=1,MONTH(A129)=2),"Winter",
OR(MONTH(A129)=3,MONTH(A129)=4),"Spring",
OR(MONTH(A129)=5,MONTH(A129)=6),"Summer",
OR(MONTH(A129)=7,MONTH(A129)=8,MONTH(A129)=9),"Monsoon",
MONTH(A129)=10,"Autumn/Festive",
TRUE,""
)</f>
        <v>Summer</v>
      </c>
    </row>
    <row r="130" spans="1:59" x14ac:dyDescent="0.3">
      <c r="A130" s="39">
        <v>45455</v>
      </c>
      <c r="B130" s="40" t="str">
        <f t="shared" si="10"/>
        <v>June</v>
      </c>
      <c r="C130" s="41">
        <v>18</v>
      </c>
      <c r="D130" s="41">
        <v>4</v>
      </c>
      <c r="E130" s="41">
        <v>0</v>
      </c>
      <c r="F130" s="41">
        <v>0</v>
      </c>
      <c r="G130" s="41">
        <v>0</v>
      </c>
      <c r="H130" s="41">
        <v>0</v>
      </c>
      <c r="I130" s="41">
        <v>0</v>
      </c>
      <c r="J130" s="41">
        <v>0</v>
      </c>
      <c r="K130" s="41">
        <v>0</v>
      </c>
      <c r="L130" s="41">
        <v>0</v>
      </c>
      <c r="M130" s="41">
        <v>0</v>
      </c>
      <c r="N130" s="42">
        <v>110</v>
      </c>
      <c r="O130" s="42">
        <v>110</v>
      </c>
      <c r="P130" s="42">
        <v>26</v>
      </c>
      <c r="Q130" s="42">
        <v>65</v>
      </c>
      <c r="R130" s="42">
        <v>200</v>
      </c>
      <c r="S130" s="42">
        <v>230</v>
      </c>
      <c r="T130" s="42">
        <v>250</v>
      </c>
      <c r="U130" s="42">
        <v>170</v>
      </c>
      <c r="V130" s="42">
        <v>25</v>
      </c>
      <c r="W130" s="42">
        <v>4</v>
      </c>
      <c r="X130" s="42">
        <v>265</v>
      </c>
      <c r="Y130" s="43">
        <v>130</v>
      </c>
      <c r="Z130" s="43">
        <v>150</v>
      </c>
      <c r="AA130" s="43">
        <v>30</v>
      </c>
      <c r="AB130" s="43">
        <v>95</v>
      </c>
      <c r="AC130" s="43">
        <v>250</v>
      </c>
      <c r="AD130" s="43">
        <v>260</v>
      </c>
      <c r="AE130" s="43">
        <v>280</v>
      </c>
      <c r="AF130" s="43">
        <v>200</v>
      </c>
      <c r="AG130" s="43">
        <v>30</v>
      </c>
      <c r="AH130" s="43">
        <v>6</v>
      </c>
      <c r="AI130" s="43">
        <v>300</v>
      </c>
      <c r="AJ130" s="41">
        <f t="shared" si="11"/>
        <v>2340</v>
      </c>
      <c r="AK130" s="41">
        <f t="shared" si="14"/>
        <v>600</v>
      </c>
      <c r="AL130" s="41">
        <f t="shared" si="14"/>
        <v>0</v>
      </c>
      <c r="AM130" s="41">
        <f t="shared" si="14"/>
        <v>0</v>
      </c>
      <c r="AN130" s="41">
        <f t="shared" si="14"/>
        <v>0</v>
      </c>
      <c r="AO130" s="41">
        <f t="shared" si="14"/>
        <v>0</v>
      </c>
      <c r="AP130" s="41">
        <f t="shared" si="13"/>
        <v>0</v>
      </c>
      <c r="AQ130" s="41">
        <f t="shared" si="13"/>
        <v>0</v>
      </c>
      <c r="AR130" s="41">
        <f t="shared" si="13"/>
        <v>0</v>
      </c>
      <c r="AS130" s="41">
        <f t="shared" si="13"/>
        <v>0</v>
      </c>
      <c r="AT130" s="41">
        <f t="shared" si="13"/>
        <v>0</v>
      </c>
      <c r="AU130" s="43">
        <f t="shared" si="18"/>
        <v>360</v>
      </c>
      <c r="AV130" s="43">
        <f t="shared" si="17"/>
        <v>160</v>
      </c>
      <c r="AW130" s="43">
        <f t="shared" si="17"/>
        <v>0</v>
      </c>
      <c r="AX130" s="43">
        <f t="shared" si="17"/>
        <v>0</v>
      </c>
      <c r="AY130" s="43">
        <f t="shared" si="17"/>
        <v>0</v>
      </c>
      <c r="AZ130" s="43">
        <f t="shared" si="17"/>
        <v>0</v>
      </c>
      <c r="BA130" s="43">
        <f t="shared" si="17"/>
        <v>0</v>
      </c>
      <c r="BB130" s="43">
        <f t="shared" si="17"/>
        <v>0</v>
      </c>
      <c r="BC130" s="43">
        <f t="shared" si="16"/>
        <v>0</v>
      </c>
      <c r="BD130" s="43">
        <f t="shared" si="16"/>
        <v>0</v>
      </c>
      <c r="BE130" s="43">
        <f t="shared" si="16"/>
        <v>0</v>
      </c>
      <c r="BF130" s="41">
        <f t="shared" si="12"/>
        <v>520</v>
      </c>
      <c r="BG130" s="41" t="str">
        <f t="array" ref="BG130">_xlfn.IFS(
OR(MONTH(A130)=11,MONTH(A130)=12,MONTH(A130)=1,MONTH(A130)=2),"Winter",
OR(MONTH(A130)=3,MONTH(A130)=4),"Spring",
OR(MONTH(A130)=5,MONTH(A130)=6),"Summer",
OR(MONTH(A130)=7,MONTH(A130)=8,MONTH(A130)=9),"Monsoon",
MONTH(A130)=10,"Autumn/Festive",
TRUE,""
)</f>
        <v>Summer</v>
      </c>
    </row>
    <row r="131" spans="1:59" x14ac:dyDescent="0.3">
      <c r="A131" s="39">
        <v>45456</v>
      </c>
      <c r="B131" s="40" t="str">
        <f t="shared" si="10"/>
        <v>June</v>
      </c>
      <c r="C131" s="41">
        <v>20</v>
      </c>
      <c r="D131" s="41">
        <v>0</v>
      </c>
      <c r="E131" s="41">
        <v>0</v>
      </c>
      <c r="F131" s="41">
        <v>0</v>
      </c>
      <c r="G131" s="41">
        <v>0</v>
      </c>
      <c r="H131" s="41">
        <v>0</v>
      </c>
      <c r="I131" s="41">
        <v>0</v>
      </c>
      <c r="J131" s="41">
        <v>0</v>
      </c>
      <c r="K131" s="41">
        <v>0</v>
      </c>
      <c r="L131" s="41">
        <v>0</v>
      </c>
      <c r="M131" s="41">
        <v>0</v>
      </c>
      <c r="N131" s="42">
        <v>110</v>
      </c>
      <c r="O131" s="42">
        <v>110</v>
      </c>
      <c r="P131" s="42">
        <v>26</v>
      </c>
      <c r="Q131" s="42">
        <v>65</v>
      </c>
      <c r="R131" s="42">
        <v>200</v>
      </c>
      <c r="S131" s="42">
        <v>230</v>
      </c>
      <c r="T131" s="42">
        <v>250</v>
      </c>
      <c r="U131" s="42">
        <v>170</v>
      </c>
      <c r="V131" s="42">
        <v>25</v>
      </c>
      <c r="W131" s="42">
        <v>4</v>
      </c>
      <c r="X131" s="42">
        <v>265</v>
      </c>
      <c r="Y131" s="43">
        <v>130</v>
      </c>
      <c r="Z131" s="43">
        <v>150</v>
      </c>
      <c r="AA131" s="43">
        <v>30</v>
      </c>
      <c r="AB131" s="43">
        <v>95</v>
      </c>
      <c r="AC131" s="43">
        <v>250</v>
      </c>
      <c r="AD131" s="43">
        <v>260</v>
      </c>
      <c r="AE131" s="43">
        <v>280</v>
      </c>
      <c r="AF131" s="43">
        <v>200</v>
      </c>
      <c r="AG131" s="43">
        <v>30</v>
      </c>
      <c r="AH131" s="43">
        <v>6</v>
      </c>
      <c r="AI131" s="43">
        <v>300</v>
      </c>
      <c r="AJ131" s="41">
        <f t="shared" si="11"/>
        <v>2600</v>
      </c>
      <c r="AK131" s="41">
        <f t="shared" si="14"/>
        <v>0</v>
      </c>
      <c r="AL131" s="41">
        <f t="shared" si="14"/>
        <v>0</v>
      </c>
      <c r="AM131" s="41">
        <f t="shared" si="14"/>
        <v>0</v>
      </c>
      <c r="AN131" s="41">
        <f t="shared" si="14"/>
        <v>0</v>
      </c>
      <c r="AO131" s="41">
        <f t="shared" si="14"/>
        <v>0</v>
      </c>
      <c r="AP131" s="41">
        <f t="shared" ref="AP131:AT194" si="19">I131*AE131</f>
        <v>0</v>
      </c>
      <c r="AQ131" s="41">
        <f t="shared" si="19"/>
        <v>0</v>
      </c>
      <c r="AR131" s="41">
        <f t="shared" si="19"/>
        <v>0</v>
      </c>
      <c r="AS131" s="41">
        <f t="shared" si="19"/>
        <v>0</v>
      </c>
      <c r="AT131" s="41">
        <f t="shared" si="19"/>
        <v>0</v>
      </c>
      <c r="AU131" s="43">
        <f t="shared" si="18"/>
        <v>400</v>
      </c>
      <c r="AV131" s="43">
        <f t="shared" si="17"/>
        <v>0</v>
      </c>
      <c r="AW131" s="43">
        <f t="shared" si="17"/>
        <v>0</v>
      </c>
      <c r="AX131" s="43">
        <f t="shared" si="17"/>
        <v>0</v>
      </c>
      <c r="AY131" s="43">
        <f t="shared" si="17"/>
        <v>0</v>
      </c>
      <c r="AZ131" s="43">
        <f t="shared" si="17"/>
        <v>0</v>
      </c>
      <c r="BA131" s="43">
        <f t="shared" si="17"/>
        <v>0</v>
      </c>
      <c r="BB131" s="43">
        <f t="shared" si="17"/>
        <v>0</v>
      </c>
      <c r="BC131" s="43">
        <f t="shared" si="16"/>
        <v>0</v>
      </c>
      <c r="BD131" s="43">
        <f t="shared" si="16"/>
        <v>0</v>
      </c>
      <c r="BE131" s="43">
        <f t="shared" si="16"/>
        <v>0</v>
      </c>
      <c r="BF131" s="41">
        <f t="shared" si="12"/>
        <v>400</v>
      </c>
      <c r="BG131" s="41" t="str">
        <f t="array" ref="BG131">_xlfn.IFS(
OR(MONTH(A131)=11,MONTH(A131)=12,MONTH(A131)=1,MONTH(A131)=2),"Winter",
OR(MONTH(A131)=3,MONTH(A131)=4),"Spring",
OR(MONTH(A131)=5,MONTH(A131)=6),"Summer",
OR(MONTH(A131)=7,MONTH(A131)=8,MONTH(A131)=9),"Monsoon",
MONTH(A131)=10,"Autumn/Festive",
TRUE,""
)</f>
        <v>Summer</v>
      </c>
    </row>
    <row r="132" spans="1:59" x14ac:dyDescent="0.3">
      <c r="A132" s="39">
        <v>45457</v>
      </c>
      <c r="B132" s="40" t="str">
        <f t="shared" ref="B132:B195" si="20">TEXT(A132,"mmmm")</f>
        <v>June</v>
      </c>
      <c r="C132" s="41">
        <v>35</v>
      </c>
      <c r="D132" s="41">
        <v>0</v>
      </c>
      <c r="E132" s="41">
        <v>0</v>
      </c>
      <c r="F132" s="41">
        <v>0</v>
      </c>
      <c r="G132" s="41">
        <v>0</v>
      </c>
      <c r="H132" s="41">
        <v>0</v>
      </c>
      <c r="I132" s="41">
        <v>0</v>
      </c>
      <c r="J132" s="41">
        <v>0</v>
      </c>
      <c r="K132" s="41">
        <v>0</v>
      </c>
      <c r="L132" s="41">
        <v>0</v>
      </c>
      <c r="M132" s="41">
        <v>0</v>
      </c>
      <c r="N132" s="42">
        <v>110</v>
      </c>
      <c r="O132" s="42">
        <v>110</v>
      </c>
      <c r="P132" s="42">
        <v>26</v>
      </c>
      <c r="Q132" s="42">
        <v>65</v>
      </c>
      <c r="R132" s="42">
        <v>200</v>
      </c>
      <c r="S132" s="42">
        <v>230</v>
      </c>
      <c r="T132" s="42">
        <v>250</v>
      </c>
      <c r="U132" s="42">
        <v>170</v>
      </c>
      <c r="V132" s="42">
        <v>25</v>
      </c>
      <c r="W132" s="42">
        <v>4</v>
      </c>
      <c r="X132" s="42">
        <v>265</v>
      </c>
      <c r="Y132" s="43">
        <v>130</v>
      </c>
      <c r="Z132" s="43">
        <v>150</v>
      </c>
      <c r="AA132" s="43">
        <v>30</v>
      </c>
      <c r="AB132" s="43">
        <v>95</v>
      </c>
      <c r="AC132" s="43">
        <v>250</v>
      </c>
      <c r="AD132" s="43">
        <v>260</v>
      </c>
      <c r="AE132" s="43">
        <v>280</v>
      </c>
      <c r="AF132" s="43">
        <v>200</v>
      </c>
      <c r="AG132" s="43">
        <v>30</v>
      </c>
      <c r="AH132" s="43">
        <v>6</v>
      </c>
      <c r="AI132" s="43">
        <v>300</v>
      </c>
      <c r="AJ132" s="41">
        <f t="shared" ref="AJ132:AJ195" si="21" xml:space="preserve"> Y132*C132</f>
        <v>4550</v>
      </c>
      <c r="AK132" s="41">
        <f t="shared" ref="AK132:AO195" si="22">D132*Z132</f>
        <v>0</v>
      </c>
      <c r="AL132" s="41">
        <f t="shared" si="22"/>
        <v>0</v>
      </c>
      <c r="AM132" s="41">
        <f t="shared" si="22"/>
        <v>0</v>
      </c>
      <c r="AN132" s="41">
        <f t="shared" si="22"/>
        <v>0</v>
      </c>
      <c r="AO132" s="41">
        <f t="shared" si="22"/>
        <v>0</v>
      </c>
      <c r="AP132" s="41">
        <f t="shared" si="19"/>
        <v>0</v>
      </c>
      <c r="AQ132" s="41">
        <f t="shared" si="19"/>
        <v>0</v>
      </c>
      <c r="AR132" s="41">
        <f t="shared" si="19"/>
        <v>0</v>
      </c>
      <c r="AS132" s="41">
        <f t="shared" si="19"/>
        <v>0</v>
      </c>
      <c r="AT132" s="41">
        <f t="shared" si="19"/>
        <v>0</v>
      </c>
      <c r="AU132" s="43">
        <f t="shared" si="18"/>
        <v>700</v>
      </c>
      <c r="AV132" s="43">
        <f t="shared" si="17"/>
        <v>0</v>
      </c>
      <c r="AW132" s="43">
        <f t="shared" si="17"/>
        <v>0</v>
      </c>
      <c r="AX132" s="43">
        <f t="shared" si="17"/>
        <v>0</v>
      </c>
      <c r="AY132" s="43">
        <f t="shared" si="17"/>
        <v>0</v>
      </c>
      <c r="AZ132" s="43">
        <f t="shared" si="17"/>
        <v>0</v>
      </c>
      <c r="BA132" s="43">
        <f t="shared" si="17"/>
        <v>0</v>
      </c>
      <c r="BB132" s="43">
        <f t="shared" si="17"/>
        <v>0</v>
      </c>
      <c r="BC132" s="43">
        <f t="shared" si="16"/>
        <v>0</v>
      </c>
      <c r="BD132" s="43">
        <f t="shared" si="16"/>
        <v>0</v>
      </c>
      <c r="BE132" s="43">
        <f t="shared" si="16"/>
        <v>0</v>
      </c>
      <c r="BF132" s="41">
        <f t="shared" ref="BF132:BF195" si="23">SUM(AU132:BE132)</f>
        <v>700</v>
      </c>
      <c r="BG132" s="41" t="str">
        <f t="array" ref="BG132">_xlfn.IFS(
OR(MONTH(A132)=11,MONTH(A132)=12,MONTH(A132)=1,MONTH(A132)=2),"Winter",
OR(MONTH(A132)=3,MONTH(A132)=4),"Spring",
OR(MONTH(A132)=5,MONTH(A132)=6),"Summer",
OR(MONTH(A132)=7,MONTH(A132)=8,MONTH(A132)=9),"Monsoon",
MONTH(A132)=10,"Autumn/Festive",
TRUE,""
)</f>
        <v>Summer</v>
      </c>
    </row>
    <row r="133" spans="1:59" x14ac:dyDescent="0.3">
      <c r="A133" s="39">
        <v>45458</v>
      </c>
      <c r="B133" s="40" t="str">
        <f t="shared" si="20"/>
        <v>June</v>
      </c>
      <c r="C133" s="41">
        <v>9</v>
      </c>
      <c r="D133" s="41">
        <v>7</v>
      </c>
      <c r="E133" s="41">
        <v>0</v>
      </c>
      <c r="F133" s="41">
        <v>0</v>
      </c>
      <c r="G133" s="41">
        <v>0</v>
      </c>
      <c r="H133" s="41">
        <v>0</v>
      </c>
      <c r="I133" s="41">
        <v>0</v>
      </c>
      <c r="J133" s="41">
        <v>0</v>
      </c>
      <c r="K133" s="41">
        <v>0</v>
      </c>
      <c r="L133" s="41">
        <v>0</v>
      </c>
      <c r="M133" s="41">
        <v>0</v>
      </c>
      <c r="N133" s="42">
        <v>110</v>
      </c>
      <c r="O133" s="42">
        <v>110</v>
      </c>
      <c r="P133" s="42">
        <v>26</v>
      </c>
      <c r="Q133" s="42">
        <v>65</v>
      </c>
      <c r="R133" s="42">
        <v>200</v>
      </c>
      <c r="S133" s="42">
        <v>230</v>
      </c>
      <c r="T133" s="42">
        <v>250</v>
      </c>
      <c r="U133" s="42">
        <v>170</v>
      </c>
      <c r="V133" s="42">
        <v>25</v>
      </c>
      <c r="W133" s="42">
        <v>4</v>
      </c>
      <c r="X133" s="42">
        <v>265</v>
      </c>
      <c r="Y133" s="43">
        <v>130</v>
      </c>
      <c r="Z133" s="43">
        <v>150</v>
      </c>
      <c r="AA133" s="43">
        <v>30</v>
      </c>
      <c r="AB133" s="43">
        <v>95</v>
      </c>
      <c r="AC133" s="43">
        <v>250</v>
      </c>
      <c r="AD133" s="43">
        <v>260</v>
      </c>
      <c r="AE133" s="43">
        <v>280</v>
      </c>
      <c r="AF133" s="43">
        <v>200</v>
      </c>
      <c r="AG133" s="43">
        <v>30</v>
      </c>
      <c r="AH133" s="43">
        <v>6</v>
      </c>
      <c r="AI133" s="43">
        <v>300</v>
      </c>
      <c r="AJ133" s="41">
        <f t="shared" si="21"/>
        <v>1170</v>
      </c>
      <c r="AK133" s="41">
        <f t="shared" si="22"/>
        <v>1050</v>
      </c>
      <c r="AL133" s="41">
        <f t="shared" si="22"/>
        <v>0</v>
      </c>
      <c r="AM133" s="41">
        <f t="shared" si="22"/>
        <v>0</v>
      </c>
      <c r="AN133" s="41">
        <f t="shared" si="22"/>
        <v>0</v>
      </c>
      <c r="AO133" s="41">
        <f t="shared" si="22"/>
        <v>0</v>
      </c>
      <c r="AP133" s="41">
        <f t="shared" si="19"/>
        <v>0</v>
      </c>
      <c r="AQ133" s="41">
        <f t="shared" si="19"/>
        <v>0</v>
      </c>
      <c r="AR133" s="41">
        <f t="shared" si="19"/>
        <v>0</v>
      </c>
      <c r="AS133" s="41">
        <f t="shared" si="19"/>
        <v>0</v>
      </c>
      <c r="AT133" s="41">
        <f t="shared" si="19"/>
        <v>0</v>
      </c>
      <c r="AU133" s="43">
        <f t="shared" si="18"/>
        <v>180</v>
      </c>
      <c r="AV133" s="43">
        <f t="shared" si="17"/>
        <v>280</v>
      </c>
      <c r="AW133" s="43">
        <f t="shared" si="17"/>
        <v>0</v>
      </c>
      <c r="AX133" s="43">
        <f t="shared" si="17"/>
        <v>0</v>
      </c>
      <c r="AY133" s="43">
        <f t="shared" si="17"/>
        <v>0</v>
      </c>
      <c r="AZ133" s="43">
        <f t="shared" si="17"/>
        <v>0</v>
      </c>
      <c r="BA133" s="43">
        <f t="shared" si="17"/>
        <v>0</v>
      </c>
      <c r="BB133" s="43">
        <f t="shared" si="17"/>
        <v>0</v>
      </c>
      <c r="BC133" s="43">
        <f t="shared" si="16"/>
        <v>0</v>
      </c>
      <c r="BD133" s="43">
        <f t="shared" si="16"/>
        <v>0</v>
      </c>
      <c r="BE133" s="43">
        <f t="shared" si="16"/>
        <v>0</v>
      </c>
      <c r="BF133" s="41">
        <f t="shared" si="23"/>
        <v>460</v>
      </c>
      <c r="BG133" s="41" t="str">
        <f t="array" ref="BG133">_xlfn.IFS(
OR(MONTH(A133)=11,MONTH(A133)=12,MONTH(A133)=1,MONTH(A133)=2),"Winter",
OR(MONTH(A133)=3,MONTH(A133)=4),"Spring",
OR(MONTH(A133)=5,MONTH(A133)=6),"Summer",
OR(MONTH(A133)=7,MONTH(A133)=8,MONTH(A133)=9),"Monsoon",
MONTH(A133)=10,"Autumn/Festive",
TRUE,""
)</f>
        <v>Summer</v>
      </c>
    </row>
    <row r="134" spans="1:59" x14ac:dyDescent="0.3">
      <c r="A134" s="39">
        <v>45459</v>
      </c>
      <c r="B134" s="40" t="str">
        <f t="shared" si="20"/>
        <v>June</v>
      </c>
      <c r="C134" s="41">
        <v>26</v>
      </c>
      <c r="D134" s="41">
        <v>0</v>
      </c>
      <c r="E134" s="41">
        <v>0</v>
      </c>
      <c r="F134" s="41">
        <v>0</v>
      </c>
      <c r="G134" s="41">
        <v>0</v>
      </c>
      <c r="H134" s="41">
        <v>0</v>
      </c>
      <c r="I134" s="41">
        <v>0</v>
      </c>
      <c r="J134" s="41">
        <v>2</v>
      </c>
      <c r="K134" s="41">
        <v>0</v>
      </c>
      <c r="L134" s="41">
        <v>0</v>
      </c>
      <c r="M134" s="41">
        <v>2</v>
      </c>
      <c r="N134" s="42">
        <v>110</v>
      </c>
      <c r="O134" s="42">
        <v>110</v>
      </c>
      <c r="P134" s="42">
        <v>26</v>
      </c>
      <c r="Q134" s="42">
        <v>65</v>
      </c>
      <c r="R134" s="42">
        <v>200</v>
      </c>
      <c r="S134" s="42">
        <v>230</v>
      </c>
      <c r="T134" s="42">
        <v>250</v>
      </c>
      <c r="U134" s="42">
        <v>170</v>
      </c>
      <c r="V134" s="42">
        <v>25</v>
      </c>
      <c r="W134" s="42">
        <v>4</v>
      </c>
      <c r="X134" s="42">
        <v>265</v>
      </c>
      <c r="Y134" s="43">
        <v>130</v>
      </c>
      <c r="Z134" s="43">
        <v>150</v>
      </c>
      <c r="AA134" s="43">
        <v>30</v>
      </c>
      <c r="AB134" s="43">
        <v>95</v>
      </c>
      <c r="AC134" s="43">
        <v>250</v>
      </c>
      <c r="AD134" s="43">
        <v>260</v>
      </c>
      <c r="AE134" s="43">
        <v>280</v>
      </c>
      <c r="AF134" s="43">
        <v>200</v>
      </c>
      <c r="AG134" s="43">
        <v>30</v>
      </c>
      <c r="AH134" s="43">
        <v>6</v>
      </c>
      <c r="AI134" s="43">
        <v>300</v>
      </c>
      <c r="AJ134" s="41">
        <f t="shared" si="21"/>
        <v>3380</v>
      </c>
      <c r="AK134" s="41">
        <f t="shared" si="22"/>
        <v>0</v>
      </c>
      <c r="AL134" s="41">
        <f t="shared" si="22"/>
        <v>0</v>
      </c>
      <c r="AM134" s="41">
        <f t="shared" si="22"/>
        <v>0</v>
      </c>
      <c r="AN134" s="41">
        <f t="shared" si="22"/>
        <v>0</v>
      </c>
      <c r="AO134" s="41">
        <f t="shared" si="22"/>
        <v>0</v>
      </c>
      <c r="AP134" s="41">
        <f t="shared" si="19"/>
        <v>0</v>
      </c>
      <c r="AQ134" s="41">
        <f t="shared" si="19"/>
        <v>400</v>
      </c>
      <c r="AR134" s="41">
        <f t="shared" si="19"/>
        <v>0</v>
      </c>
      <c r="AS134" s="41">
        <f t="shared" si="19"/>
        <v>0</v>
      </c>
      <c r="AT134" s="41">
        <f t="shared" si="19"/>
        <v>600</v>
      </c>
      <c r="AU134" s="43">
        <f t="shared" si="18"/>
        <v>520</v>
      </c>
      <c r="AV134" s="43">
        <f t="shared" si="17"/>
        <v>0</v>
      </c>
      <c r="AW134" s="43">
        <f t="shared" si="17"/>
        <v>0</v>
      </c>
      <c r="AX134" s="43">
        <f t="shared" si="17"/>
        <v>0</v>
      </c>
      <c r="AY134" s="43">
        <f t="shared" si="17"/>
        <v>0</v>
      </c>
      <c r="AZ134" s="43">
        <f t="shared" si="17"/>
        <v>0</v>
      </c>
      <c r="BA134" s="43">
        <f t="shared" si="17"/>
        <v>0</v>
      </c>
      <c r="BB134" s="43">
        <f t="shared" si="17"/>
        <v>60</v>
      </c>
      <c r="BC134" s="43">
        <f t="shared" si="16"/>
        <v>0</v>
      </c>
      <c r="BD134" s="43">
        <f t="shared" si="16"/>
        <v>0</v>
      </c>
      <c r="BE134" s="43">
        <f t="shared" si="16"/>
        <v>70</v>
      </c>
      <c r="BF134" s="41">
        <f t="shared" si="23"/>
        <v>650</v>
      </c>
      <c r="BG134" s="41" t="str">
        <f t="array" ref="BG134">_xlfn.IFS(
OR(MONTH(A134)=11,MONTH(A134)=12,MONTH(A134)=1,MONTH(A134)=2),"Winter",
OR(MONTH(A134)=3,MONTH(A134)=4),"Spring",
OR(MONTH(A134)=5,MONTH(A134)=6),"Summer",
OR(MONTH(A134)=7,MONTH(A134)=8,MONTH(A134)=9),"Monsoon",
MONTH(A134)=10,"Autumn/Festive",
TRUE,""
)</f>
        <v>Summer</v>
      </c>
    </row>
    <row r="135" spans="1:59" x14ac:dyDescent="0.3">
      <c r="A135" s="39">
        <v>45460</v>
      </c>
      <c r="B135" s="40" t="str">
        <f t="shared" si="20"/>
        <v>June</v>
      </c>
      <c r="C135" s="41">
        <v>15</v>
      </c>
      <c r="D135" s="41">
        <v>0</v>
      </c>
      <c r="E135" s="41">
        <v>0</v>
      </c>
      <c r="F135" s="41">
        <v>5</v>
      </c>
      <c r="G135" s="41">
        <v>0</v>
      </c>
      <c r="H135" s="41">
        <v>0</v>
      </c>
      <c r="I135" s="41">
        <v>0</v>
      </c>
      <c r="J135" s="41">
        <v>0</v>
      </c>
      <c r="K135" s="41">
        <v>0</v>
      </c>
      <c r="L135" s="41">
        <v>0</v>
      </c>
      <c r="M135" s="41">
        <v>0</v>
      </c>
      <c r="N135" s="42">
        <v>110</v>
      </c>
      <c r="O135" s="42">
        <v>110</v>
      </c>
      <c r="P135" s="42">
        <v>26</v>
      </c>
      <c r="Q135" s="42">
        <v>65</v>
      </c>
      <c r="R135" s="42">
        <v>200</v>
      </c>
      <c r="S135" s="42">
        <v>230</v>
      </c>
      <c r="T135" s="42">
        <v>250</v>
      </c>
      <c r="U135" s="42">
        <v>170</v>
      </c>
      <c r="V135" s="42">
        <v>25</v>
      </c>
      <c r="W135" s="42">
        <v>4</v>
      </c>
      <c r="X135" s="42">
        <v>265</v>
      </c>
      <c r="Y135" s="43">
        <v>130</v>
      </c>
      <c r="Z135" s="43">
        <v>150</v>
      </c>
      <c r="AA135" s="43">
        <v>30</v>
      </c>
      <c r="AB135" s="43">
        <v>95</v>
      </c>
      <c r="AC135" s="43">
        <v>250</v>
      </c>
      <c r="AD135" s="43">
        <v>260</v>
      </c>
      <c r="AE135" s="43">
        <v>280</v>
      </c>
      <c r="AF135" s="43">
        <v>200</v>
      </c>
      <c r="AG135" s="43">
        <v>30</v>
      </c>
      <c r="AH135" s="43">
        <v>6</v>
      </c>
      <c r="AI135" s="43">
        <v>300</v>
      </c>
      <c r="AJ135" s="41">
        <f t="shared" si="21"/>
        <v>1950</v>
      </c>
      <c r="AK135" s="41">
        <f t="shared" si="22"/>
        <v>0</v>
      </c>
      <c r="AL135" s="41">
        <f t="shared" si="22"/>
        <v>0</v>
      </c>
      <c r="AM135" s="41">
        <f t="shared" si="22"/>
        <v>475</v>
      </c>
      <c r="AN135" s="41">
        <f t="shared" si="22"/>
        <v>0</v>
      </c>
      <c r="AO135" s="41">
        <f t="shared" si="22"/>
        <v>0</v>
      </c>
      <c r="AP135" s="41">
        <f t="shared" si="19"/>
        <v>0</v>
      </c>
      <c r="AQ135" s="41">
        <f t="shared" si="19"/>
        <v>0</v>
      </c>
      <c r="AR135" s="41">
        <f t="shared" si="19"/>
        <v>0</v>
      </c>
      <c r="AS135" s="41">
        <f t="shared" si="19"/>
        <v>0</v>
      </c>
      <c r="AT135" s="41">
        <f t="shared" si="19"/>
        <v>0</v>
      </c>
      <c r="AU135" s="43">
        <f t="shared" si="18"/>
        <v>300</v>
      </c>
      <c r="AV135" s="43">
        <f t="shared" si="17"/>
        <v>0</v>
      </c>
      <c r="AW135" s="43">
        <f t="shared" si="17"/>
        <v>0</v>
      </c>
      <c r="AX135" s="43">
        <f t="shared" si="17"/>
        <v>150</v>
      </c>
      <c r="AY135" s="43">
        <f t="shared" si="17"/>
        <v>0</v>
      </c>
      <c r="AZ135" s="43">
        <f t="shared" si="17"/>
        <v>0</v>
      </c>
      <c r="BA135" s="43">
        <f t="shared" si="17"/>
        <v>0</v>
      </c>
      <c r="BB135" s="43">
        <f t="shared" si="17"/>
        <v>0</v>
      </c>
      <c r="BC135" s="43">
        <f t="shared" si="16"/>
        <v>0</v>
      </c>
      <c r="BD135" s="43">
        <f t="shared" si="16"/>
        <v>0</v>
      </c>
      <c r="BE135" s="43">
        <f t="shared" si="16"/>
        <v>0</v>
      </c>
      <c r="BF135" s="41">
        <f t="shared" si="23"/>
        <v>450</v>
      </c>
      <c r="BG135" s="41" t="str">
        <f t="array" ref="BG135">_xlfn.IFS(
OR(MONTH(A135)=11,MONTH(A135)=12,MONTH(A135)=1,MONTH(A135)=2),"Winter",
OR(MONTH(A135)=3,MONTH(A135)=4),"Spring",
OR(MONTH(A135)=5,MONTH(A135)=6),"Summer",
OR(MONTH(A135)=7,MONTH(A135)=8,MONTH(A135)=9),"Monsoon",
MONTH(A135)=10,"Autumn/Festive",
TRUE,""
)</f>
        <v>Summer</v>
      </c>
    </row>
    <row r="136" spans="1:59" x14ac:dyDescent="0.3">
      <c r="A136" s="39">
        <v>45461</v>
      </c>
      <c r="B136" s="40" t="str">
        <f t="shared" si="20"/>
        <v>June</v>
      </c>
      <c r="C136" s="41">
        <v>15</v>
      </c>
      <c r="D136" s="41">
        <v>3</v>
      </c>
      <c r="E136" s="41">
        <v>0</v>
      </c>
      <c r="F136" s="41">
        <v>5</v>
      </c>
      <c r="G136" s="41">
        <v>0</v>
      </c>
      <c r="H136" s="41">
        <v>0</v>
      </c>
      <c r="I136" s="41">
        <v>0</v>
      </c>
      <c r="J136" s="41">
        <v>0</v>
      </c>
      <c r="K136" s="41">
        <v>0</v>
      </c>
      <c r="L136" s="41">
        <v>0</v>
      </c>
      <c r="M136" s="41">
        <v>0</v>
      </c>
      <c r="N136" s="42">
        <v>110</v>
      </c>
      <c r="O136" s="42">
        <v>110</v>
      </c>
      <c r="P136" s="42">
        <v>26</v>
      </c>
      <c r="Q136" s="42">
        <v>65</v>
      </c>
      <c r="R136" s="42">
        <v>200</v>
      </c>
      <c r="S136" s="42">
        <v>230</v>
      </c>
      <c r="T136" s="42">
        <v>250</v>
      </c>
      <c r="U136" s="42">
        <v>170</v>
      </c>
      <c r="V136" s="42">
        <v>25</v>
      </c>
      <c r="W136" s="42">
        <v>4</v>
      </c>
      <c r="X136" s="42">
        <v>265</v>
      </c>
      <c r="Y136" s="43">
        <v>130</v>
      </c>
      <c r="Z136" s="43">
        <v>150</v>
      </c>
      <c r="AA136" s="43">
        <v>30</v>
      </c>
      <c r="AB136" s="43">
        <v>95</v>
      </c>
      <c r="AC136" s="43">
        <v>250</v>
      </c>
      <c r="AD136" s="43">
        <v>260</v>
      </c>
      <c r="AE136" s="43">
        <v>280</v>
      </c>
      <c r="AF136" s="43">
        <v>200</v>
      </c>
      <c r="AG136" s="43">
        <v>30</v>
      </c>
      <c r="AH136" s="43">
        <v>6</v>
      </c>
      <c r="AI136" s="43">
        <v>300</v>
      </c>
      <c r="AJ136" s="41">
        <f t="shared" si="21"/>
        <v>1950</v>
      </c>
      <c r="AK136" s="41">
        <f t="shared" si="22"/>
        <v>450</v>
      </c>
      <c r="AL136" s="41">
        <f t="shared" si="22"/>
        <v>0</v>
      </c>
      <c r="AM136" s="41">
        <f t="shared" si="22"/>
        <v>475</v>
      </c>
      <c r="AN136" s="41">
        <f t="shared" si="22"/>
        <v>0</v>
      </c>
      <c r="AO136" s="41">
        <f t="shared" si="22"/>
        <v>0</v>
      </c>
      <c r="AP136" s="41">
        <f t="shared" si="19"/>
        <v>0</v>
      </c>
      <c r="AQ136" s="41">
        <f t="shared" si="19"/>
        <v>0</v>
      </c>
      <c r="AR136" s="41">
        <f t="shared" si="19"/>
        <v>0</v>
      </c>
      <c r="AS136" s="41">
        <f t="shared" si="19"/>
        <v>0</v>
      </c>
      <c r="AT136" s="41">
        <f t="shared" si="19"/>
        <v>0</v>
      </c>
      <c r="AU136" s="43">
        <f t="shared" si="18"/>
        <v>300</v>
      </c>
      <c r="AV136" s="43">
        <f t="shared" si="17"/>
        <v>120</v>
      </c>
      <c r="AW136" s="43">
        <f t="shared" si="17"/>
        <v>0</v>
      </c>
      <c r="AX136" s="43">
        <f t="shared" si="17"/>
        <v>150</v>
      </c>
      <c r="AY136" s="43">
        <f t="shared" si="17"/>
        <v>0</v>
      </c>
      <c r="AZ136" s="43">
        <f t="shared" si="17"/>
        <v>0</v>
      </c>
      <c r="BA136" s="43">
        <f t="shared" si="17"/>
        <v>0</v>
      </c>
      <c r="BB136" s="43">
        <f t="shared" si="17"/>
        <v>0</v>
      </c>
      <c r="BC136" s="43">
        <f t="shared" si="16"/>
        <v>0</v>
      </c>
      <c r="BD136" s="43">
        <f t="shared" si="16"/>
        <v>0</v>
      </c>
      <c r="BE136" s="43">
        <f t="shared" si="16"/>
        <v>0</v>
      </c>
      <c r="BF136" s="41">
        <f t="shared" si="23"/>
        <v>570</v>
      </c>
      <c r="BG136" s="41" t="str">
        <f t="array" ref="BG136">_xlfn.IFS(
OR(MONTH(A136)=11,MONTH(A136)=12,MONTH(A136)=1,MONTH(A136)=2),"Winter",
OR(MONTH(A136)=3,MONTH(A136)=4),"Spring",
OR(MONTH(A136)=5,MONTH(A136)=6),"Summer",
OR(MONTH(A136)=7,MONTH(A136)=8,MONTH(A136)=9),"Monsoon",
MONTH(A136)=10,"Autumn/Festive",
TRUE,""
)</f>
        <v>Summer</v>
      </c>
    </row>
    <row r="137" spans="1:59" x14ac:dyDescent="0.3">
      <c r="A137" s="39">
        <v>45462</v>
      </c>
      <c r="B137" s="40" t="str">
        <f t="shared" si="20"/>
        <v>June</v>
      </c>
      <c r="C137" s="41">
        <v>0</v>
      </c>
      <c r="D137" s="41">
        <v>0</v>
      </c>
      <c r="E137" s="41">
        <v>0</v>
      </c>
      <c r="F137" s="41">
        <v>0</v>
      </c>
      <c r="G137" s="41">
        <v>0</v>
      </c>
      <c r="H137" s="41">
        <v>0</v>
      </c>
      <c r="I137" s="41">
        <v>0</v>
      </c>
      <c r="J137" s="41">
        <v>0</v>
      </c>
      <c r="K137" s="41">
        <v>0</v>
      </c>
      <c r="L137" s="41">
        <v>0</v>
      </c>
      <c r="M137" s="41">
        <v>0</v>
      </c>
      <c r="N137" s="42">
        <v>110</v>
      </c>
      <c r="O137" s="42">
        <v>110</v>
      </c>
      <c r="P137" s="42">
        <v>26</v>
      </c>
      <c r="Q137" s="42">
        <v>65</v>
      </c>
      <c r="R137" s="42">
        <v>200</v>
      </c>
      <c r="S137" s="42">
        <v>230</v>
      </c>
      <c r="T137" s="42">
        <v>250</v>
      </c>
      <c r="U137" s="42">
        <v>170</v>
      </c>
      <c r="V137" s="42">
        <v>25</v>
      </c>
      <c r="W137" s="42">
        <v>4</v>
      </c>
      <c r="X137" s="42">
        <v>265</v>
      </c>
      <c r="Y137" s="43">
        <v>130</v>
      </c>
      <c r="Z137" s="43">
        <v>150</v>
      </c>
      <c r="AA137" s="43">
        <v>30</v>
      </c>
      <c r="AB137" s="43">
        <v>95</v>
      </c>
      <c r="AC137" s="43">
        <v>250</v>
      </c>
      <c r="AD137" s="43">
        <v>260</v>
      </c>
      <c r="AE137" s="43">
        <v>280</v>
      </c>
      <c r="AF137" s="43">
        <v>200</v>
      </c>
      <c r="AG137" s="43">
        <v>30</v>
      </c>
      <c r="AH137" s="43">
        <v>6</v>
      </c>
      <c r="AI137" s="43">
        <v>300</v>
      </c>
      <c r="AJ137" s="41">
        <f t="shared" si="21"/>
        <v>0</v>
      </c>
      <c r="AK137" s="41">
        <f t="shared" si="22"/>
        <v>0</v>
      </c>
      <c r="AL137" s="41">
        <f t="shared" si="22"/>
        <v>0</v>
      </c>
      <c r="AM137" s="41">
        <f t="shared" si="22"/>
        <v>0</v>
      </c>
      <c r="AN137" s="41">
        <f t="shared" si="22"/>
        <v>0</v>
      </c>
      <c r="AO137" s="41">
        <f t="shared" si="22"/>
        <v>0</v>
      </c>
      <c r="AP137" s="41">
        <f t="shared" si="19"/>
        <v>0</v>
      </c>
      <c r="AQ137" s="41">
        <f t="shared" si="19"/>
        <v>0</v>
      </c>
      <c r="AR137" s="41">
        <f t="shared" si="19"/>
        <v>0</v>
      </c>
      <c r="AS137" s="41">
        <f t="shared" si="19"/>
        <v>0</v>
      </c>
      <c r="AT137" s="41">
        <f t="shared" si="19"/>
        <v>0</v>
      </c>
      <c r="AU137" s="43">
        <f t="shared" si="18"/>
        <v>0</v>
      </c>
      <c r="AV137" s="43">
        <f t="shared" si="17"/>
        <v>0</v>
      </c>
      <c r="AW137" s="43">
        <f t="shared" si="17"/>
        <v>0</v>
      </c>
      <c r="AX137" s="43">
        <f t="shared" si="17"/>
        <v>0</v>
      </c>
      <c r="AY137" s="43">
        <f t="shared" si="17"/>
        <v>0</v>
      </c>
      <c r="AZ137" s="43">
        <f t="shared" si="17"/>
        <v>0</v>
      </c>
      <c r="BA137" s="43">
        <f t="shared" si="17"/>
        <v>0</v>
      </c>
      <c r="BB137" s="43">
        <f t="shared" si="17"/>
        <v>0</v>
      </c>
      <c r="BC137" s="43">
        <f t="shared" si="16"/>
        <v>0</v>
      </c>
      <c r="BD137" s="43">
        <f t="shared" si="16"/>
        <v>0</v>
      </c>
      <c r="BE137" s="43">
        <f t="shared" si="16"/>
        <v>0</v>
      </c>
      <c r="BF137" s="41">
        <f t="shared" si="23"/>
        <v>0</v>
      </c>
      <c r="BG137" s="41" t="str">
        <f t="array" ref="BG137">_xlfn.IFS(
OR(MONTH(A137)=11,MONTH(A137)=12,MONTH(A137)=1,MONTH(A137)=2),"Winter",
OR(MONTH(A137)=3,MONTH(A137)=4),"Spring",
OR(MONTH(A137)=5,MONTH(A137)=6),"Summer",
OR(MONTH(A137)=7,MONTH(A137)=8,MONTH(A137)=9),"Monsoon",
MONTH(A137)=10,"Autumn/Festive",
TRUE,""
)</f>
        <v>Summer</v>
      </c>
    </row>
    <row r="138" spans="1:59" x14ac:dyDescent="0.3">
      <c r="A138" s="39">
        <v>45463</v>
      </c>
      <c r="B138" s="40" t="str">
        <f t="shared" si="20"/>
        <v>June</v>
      </c>
      <c r="C138" s="41">
        <v>5</v>
      </c>
      <c r="D138" s="41">
        <v>3</v>
      </c>
      <c r="E138" s="41">
        <v>0</v>
      </c>
      <c r="F138" s="41">
        <v>0</v>
      </c>
      <c r="G138" s="41">
        <v>2</v>
      </c>
      <c r="H138" s="41">
        <v>0</v>
      </c>
      <c r="I138" s="41">
        <v>0</v>
      </c>
      <c r="J138" s="41">
        <v>0</v>
      </c>
      <c r="K138" s="41">
        <v>0</v>
      </c>
      <c r="L138" s="41">
        <v>0</v>
      </c>
      <c r="M138" s="41">
        <v>0</v>
      </c>
      <c r="N138" s="42">
        <v>110</v>
      </c>
      <c r="O138" s="42">
        <v>110</v>
      </c>
      <c r="P138" s="42">
        <v>26</v>
      </c>
      <c r="Q138" s="42">
        <v>65</v>
      </c>
      <c r="R138" s="42">
        <v>200</v>
      </c>
      <c r="S138" s="42">
        <v>230</v>
      </c>
      <c r="T138" s="42">
        <v>250</v>
      </c>
      <c r="U138" s="42">
        <v>170</v>
      </c>
      <c r="V138" s="42">
        <v>25</v>
      </c>
      <c r="W138" s="42">
        <v>4</v>
      </c>
      <c r="X138" s="42">
        <v>265</v>
      </c>
      <c r="Y138" s="43">
        <v>130</v>
      </c>
      <c r="Z138" s="43">
        <v>150</v>
      </c>
      <c r="AA138" s="43">
        <v>30</v>
      </c>
      <c r="AB138" s="43">
        <v>95</v>
      </c>
      <c r="AC138" s="43">
        <v>250</v>
      </c>
      <c r="AD138" s="43">
        <v>260</v>
      </c>
      <c r="AE138" s="43">
        <v>280</v>
      </c>
      <c r="AF138" s="43">
        <v>200</v>
      </c>
      <c r="AG138" s="43">
        <v>30</v>
      </c>
      <c r="AH138" s="43">
        <v>6</v>
      </c>
      <c r="AI138" s="43">
        <v>300</v>
      </c>
      <c r="AJ138" s="41">
        <f t="shared" si="21"/>
        <v>650</v>
      </c>
      <c r="AK138" s="41">
        <f t="shared" si="22"/>
        <v>450</v>
      </c>
      <c r="AL138" s="41">
        <f t="shared" si="22"/>
        <v>0</v>
      </c>
      <c r="AM138" s="41">
        <f t="shared" si="22"/>
        <v>0</v>
      </c>
      <c r="AN138" s="41">
        <f t="shared" si="22"/>
        <v>500</v>
      </c>
      <c r="AO138" s="41">
        <f t="shared" si="22"/>
        <v>0</v>
      </c>
      <c r="AP138" s="41">
        <f t="shared" si="19"/>
        <v>0</v>
      </c>
      <c r="AQ138" s="41">
        <f t="shared" si="19"/>
        <v>0</v>
      </c>
      <c r="AR138" s="41">
        <f t="shared" si="19"/>
        <v>0</v>
      </c>
      <c r="AS138" s="41">
        <f t="shared" si="19"/>
        <v>0</v>
      </c>
      <c r="AT138" s="41">
        <f t="shared" si="19"/>
        <v>0</v>
      </c>
      <c r="AU138" s="43">
        <f t="shared" si="18"/>
        <v>100</v>
      </c>
      <c r="AV138" s="43">
        <f t="shared" si="17"/>
        <v>120</v>
      </c>
      <c r="AW138" s="43">
        <f t="shared" si="17"/>
        <v>0</v>
      </c>
      <c r="AX138" s="43">
        <f t="shared" si="17"/>
        <v>0</v>
      </c>
      <c r="AY138" s="43">
        <f t="shared" si="17"/>
        <v>100</v>
      </c>
      <c r="AZ138" s="43">
        <f t="shared" si="17"/>
        <v>0</v>
      </c>
      <c r="BA138" s="43">
        <f t="shared" si="17"/>
        <v>0</v>
      </c>
      <c r="BB138" s="43">
        <f t="shared" si="17"/>
        <v>0</v>
      </c>
      <c r="BC138" s="43">
        <f t="shared" si="16"/>
        <v>0</v>
      </c>
      <c r="BD138" s="43">
        <f t="shared" si="16"/>
        <v>0</v>
      </c>
      <c r="BE138" s="43">
        <f t="shared" si="16"/>
        <v>0</v>
      </c>
      <c r="BF138" s="41">
        <f t="shared" si="23"/>
        <v>320</v>
      </c>
      <c r="BG138" s="41" t="str">
        <f t="array" ref="BG138">_xlfn.IFS(
OR(MONTH(A138)=11,MONTH(A138)=12,MONTH(A138)=1,MONTH(A138)=2),"Winter",
OR(MONTH(A138)=3,MONTH(A138)=4),"Spring",
OR(MONTH(A138)=5,MONTH(A138)=6),"Summer",
OR(MONTH(A138)=7,MONTH(A138)=8,MONTH(A138)=9),"Monsoon",
MONTH(A138)=10,"Autumn/Festive",
TRUE,""
)</f>
        <v>Summer</v>
      </c>
    </row>
    <row r="139" spans="1:59" x14ac:dyDescent="0.3">
      <c r="A139" s="39">
        <v>45464</v>
      </c>
      <c r="B139" s="40" t="str">
        <f t="shared" si="20"/>
        <v>June</v>
      </c>
      <c r="C139" s="41">
        <v>0</v>
      </c>
      <c r="D139" s="41">
        <v>0</v>
      </c>
      <c r="E139" s="41">
        <v>0</v>
      </c>
      <c r="F139" s="41">
        <v>0</v>
      </c>
      <c r="G139" s="41">
        <v>0</v>
      </c>
      <c r="H139" s="41">
        <v>0</v>
      </c>
      <c r="I139" s="41">
        <v>0</v>
      </c>
      <c r="J139" s="41">
        <v>0</v>
      </c>
      <c r="K139" s="41">
        <v>0</v>
      </c>
      <c r="L139" s="41">
        <v>0</v>
      </c>
      <c r="M139" s="41">
        <v>0</v>
      </c>
      <c r="N139" s="42">
        <v>110</v>
      </c>
      <c r="O139" s="42">
        <v>110</v>
      </c>
      <c r="P139" s="42">
        <v>26</v>
      </c>
      <c r="Q139" s="42">
        <v>65</v>
      </c>
      <c r="R139" s="42">
        <v>200</v>
      </c>
      <c r="S139" s="42">
        <v>230</v>
      </c>
      <c r="T139" s="42">
        <v>250</v>
      </c>
      <c r="U139" s="42">
        <v>170</v>
      </c>
      <c r="V139" s="42">
        <v>25</v>
      </c>
      <c r="W139" s="42">
        <v>4</v>
      </c>
      <c r="X139" s="42">
        <v>265</v>
      </c>
      <c r="Y139" s="43">
        <v>130</v>
      </c>
      <c r="Z139" s="43">
        <v>150</v>
      </c>
      <c r="AA139" s="43">
        <v>30</v>
      </c>
      <c r="AB139" s="43">
        <v>95</v>
      </c>
      <c r="AC139" s="43">
        <v>250</v>
      </c>
      <c r="AD139" s="43">
        <v>260</v>
      </c>
      <c r="AE139" s="43">
        <v>280</v>
      </c>
      <c r="AF139" s="43">
        <v>200</v>
      </c>
      <c r="AG139" s="43">
        <v>30</v>
      </c>
      <c r="AH139" s="43">
        <v>6</v>
      </c>
      <c r="AI139" s="43">
        <v>300</v>
      </c>
      <c r="AJ139" s="41">
        <f t="shared" si="21"/>
        <v>0</v>
      </c>
      <c r="AK139" s="41">
        <f t="shared" si="22"/>
        <v>0</v>
      </c>
      <c r="AL139" s="41">
        <f t="shared" si="22"/>
        <v>0</v>
      </c>
      <c r="AM139" s="41">
        <f t="shared" si="22"/>
        <v>0</v>
      </c>
      <c r="AN139" s="41">
        <f t="shared" si="22"/>
        <v>0</v>
      </c>
      <c r="AO139" s="41">
        <f t="shared" si="22"/>
        <v>0</v>
      </c>
      <c r="AP139" s="41">
        <f t="shared" si="19"/>
        <v>0</v>
      </c>
      <c r="AQ139" s="41">
        <f t="shared" si="19"/>
        <v>0</v>
      </c>
      <c r="AR139" s="41">
        <f t="shared" si="19"/>
        <v>0</v>
      </c>
      <c r="AS139" s="41">
        <f t="shared" si="19"/>
        <v>0</v>
      </c>
      <c r="AT139" s="41">
        <f t="shared" si="19"/>
        <v>0</v>
      </c>
      <c r="AU139" s="43">
        <f t="shared" si="18"/>
        <v>0</v>
      </c>
      <c r="AV139" s="43">
        <f t="shared" si="17"/>
        <v>0</v>
      </c>
      <c r="AW139" s="43">
        <f t="shared" si="17"/>
        <v>0</v>
      </c>
      <c r="AX139" s="43">
        <f t="shared" si="17"/>
        <v>0</v>
      </c>
      <c r="AY139" s="43">
        <f t="shared" si="17"/>
        <v>0</v>
      </c>
      <c r="AZ139" s="43">
        <f t="shared" si="17"/>
        <v>0</v>
      </c>
      <c r="BA139" s="43">
        <f t="shared" si="17"/>
        <v>0</v>
      </c>
      <c r="BB139" s="43">
        <f t="shared" si="17"/>
        <v>0</v>
      </c>
      <c r="BC139" s="43">
        <f t="shared" si="16"/>
        <v>0</v>
      </c>
      <c r="BD139" s="43">
        <f t="shared" si="16"/>
        <v>0</v>
      </c>
      <c r="BE139" s="43">
        <f t="shared" si="16"/>
        <v>0</v>
      </c>
      <c r="BF139" s="41">
        <f t="shared" si="23"/>
        <v>0</v>
      </c>
      <c r="BG139" s="41" t="str">
        <f t="array" ref="BG139">_xlfn.IFS(
OR(MONTH(A139)=11,MONTH(A139)=12,MONTH(A139)=1,MONTH(A139)=2),"Winter",
OR(MONTH(A139)=3,MONTH(A139)=4),"Spring",
OR(MONTH(A139)=5,MONTH(A139)=6),"Summer",
OR(MONTH(A139)=7,MONTH(A139)=8,MONTH(A139)=9),"Monsoon",
MONTH(A139)=10,"Autumn/Festive",
TRUE,""
)</f>
        <v>Summer</v>
      </c>
    </row>
    <row r="140" spans="1:59" x14ac:dyDescent="0.3">
      <c r="A140" s="39">
        <v>45465</v>
      </c>
      <c r="B140" s="40" t="str">
        <f t="shared" si="20"/>
        <v>June</v>
      </c>
      <c r="C140" s="41">
        <v>20</v>
      </c>
      <c r="D140" s="41">
        <v>0</v>
      </c>
      <c r="E140" s="41">
        <v>0</v>
      </c>
      <c r="F140" s="41">
        <v>2</v>
      </c>
      <c r="G140" s="41">
        <v>0</v>
      </c>
      <c r="H140" s="41">
        <v>0</v>
      </c>
      <c r="I140" s="41">
        <v>0</v>
      </c>
      <c r="J140" s="41">
        <v>0</v>
      </c>
      <c r="K140" s="41">
        <v>0</v>
      </c>
      <c r="L140" s="41">
        <v>0</v>
      </c>
      <c r="M140" s="41">
        <v>0</v>
      </c>
      <c r="N140" s="42">
        <v>110</v>
      </c>
      <c r="O140" s="42">
        <v>110</v>
      </c>
      <c r="P140" s="42">
        <v>26</v>
      </c>
      <c r="Q140" s="42">
        <v>65</v>
      </c>
      <c r="R140" s="42">
        <v>200</v>
      </c>
      <c r="S140" s="42">
        <v>230</v>
      </c>
      <c r="T140" s="42">
        <v>250</v>
      </c>
      <c r="U140" s="42">
        <v>170</v>
      </c>
      <c r="V140" s="42">
        <v>25</v>
      </c>
      <c r="W140" s="42">
        <v>4</v>
      </c>
      <c r="X140" s="42">
        <v>265</v>
      </c>
      <c r="Y140" s="43">
        <v>130</v>
      </c>
      <c r="Z140" s="43">
        <v>150</v>
      </c>
      <c r="AA140" s="43">
        <v>30</v>
      </c>
      <c r="AB140" s="43">
        <v>95</v>
      </c>
      <c r="AC140" s="43">
        <v>250</v>
      </c>
      <c r="AD140" s="43">
        <v>260</v>
      </c>
      <c r="AE140" s="43">
        <v>280</v>
      </c>
      <c r="AF140" s="43">
        <v>200</v>
      </c>
      <c r="AG140" s="43">
        <v>30</v>
      </c>
      <c r="AH140" s="43">
        <v>6</v>
      </c>
      <c r="AI140" s="43">
        <v>300</v>
      </c>
      <c r="AJ140" s="41">
        <f t="shared" si="21"/>
        <v>2600</v>
      </c>
      <c r="AK140" s="41">
        <f t="shared" si="22"/>
        <v>0</v>
      </c>
      <c r="AL140" s="41">
        <f t="shared" si="22"/>
        <v>0</v>
      </c>
      <c r="AM140" s="41">
        <f t="shared" si="22"/>
        <v>190</v>
      </c>
      <c r="AN140" s="41">
        <f t="shared" si="22"/>
        <v>0</v>
      </c>
      <c r="AO140" s="41">
        <f t="shared" si="22"/>
        <v>0</v>
      </c>
      <c r="AP140" s="41">
        <f t="shared" si="19"/>
        <v>0</v>
      </c>
      <c r="AQ140" s="41">
        <f t="shared" si="19"/>
        <v>0</v>
      </c>
      <c r="AR140" s="41">
        <f t="shared" si="19"/>
        <v>0</v>
      </c>
      <c r="AS140" s="41">
        <f t="shared" si="19"/>
        <v>0</v>
      </c>
      <c r="AT140" s="41">
        <f t="shared" si="19"/>
        <v>0</v>
      </c>
      <c r="AU140" s="43">
        <f t="shared" si="18"/>
        <v>400</v>
      </c>
      <c r="AV140" s="43">
        <f t="shared" si="17"/>
        <v>0</v>
      </c>
      <c r="AW140" s="43">
        <f t="shared" si="17"/>
        <v>0</v>
      </c>
      <c r="AX140" s="43">
        <f t="shared" si="17"/>
        <v>60</v>
      </c>
      <c r="AY140" s="43">
        <f t="shared" si="17"/>
        <v>0</v>
      </c>
      <c r="AZ140" s="43">
        <f t="shared" si="17"/>
        <v>0</v>
      </c>
      <c r="BA140" s="43">
        <f t="shared" si="17"/>
        <v>0</v>
      </c>
      <c r="BB140" s="43">
        <f t="shared" si="17"/>
        <v>0</v>
      </c>
      <c r="BC140" s="43">
        <f t="shared" si="16"/>
        <v>0</v>
      </c>
      <c r="BD140" s="43">
        <f t="shared" si="16"/>
        <v>0</v>
      </c>
      <c r="BE140" s="43">
        <f t="shared" si="16"/>
        <v>0</v>
      </c>
      <c r="BF140" s="41">
        <f t="shared" si="23"/>
        <v>460</v>
      </c>
      <c r="BG140" s="41" t="str">
        <f t="array" ref="BG140">_xlfn.IFS(
OR(MONTH(A140)=11,MONTH(A140)=12,MONTH(A140)=1,MONTH(A140)=2),"Winter",
OR(MONTH(A140)=3,MONTH(A140)=4),"Spring",
OR(MONTH(A140)=5,MONTH(A140)=6),"Summer",
OR(MONTH(A140)=7,MONTH(A140)=8,MONTH(A140)=9),"Monsoon",
MONTH(A140)=10,"Autumn/Festive",
TRUE,""
)</f>
        <v>Summer</v>
      </c>
    </row>
    <row r="141" spans="1:59" x14ac:dyDescent="0.3">
      <c r="A141" s="39">
        <v>45466</v>
      </c>
      <c r="B141" s="40" t="str">
        <f t="shared" si="20"/>
        <v>June</v>
      </c>
      <c r="C141" s="41">
        <v>12</v>
      </c>
      <c r="D141" s="41">
        <v>3</v>
      </c>
      <c r="E141" s="41">
        <v>0</v>
      </c>
      <c r="F141" s="41">
        <v>2</v>
      </c>
      <c r="G141" s="41">
        <v>0</v>
      </c>
      <c r="H141" s="41">
        <v>0</v>
      </c>
      <c r="I141" s="41">
        <v>0</v>
      </c>
      <c r="J141" s="41">
        <v>0</v>
      </c>
      <c r="K141" s="41">
        <v>0</v>
      </c>
      <c r="L141" s="41">
        <v>0</v>
      </c>
      <c r="M141" s="41">
        <v>0</v>
      </c>
      <c r="N141" s="42">
        <v>110</v>
      </c>
      <c r="O141" s="42">
        <v>110</v>
      </c>
      <c r="P141" s="42">
        <v>26</v>
      </c>
      <c r="Q141" s="42">
        <v>65</v>
      </c>
      <c r="R141" s="42">
        <v>200</v>
      </c>
      <c r="S141" s="42">
        <v>230</v>
      </c>
      <c r="T141" s="42">
        <v>250</v>
      </c>
      <c r="U141" s="42">
        <v>170</v>
      </c>
      <c r="V141" s="42">
        <v>25</v>
      </c>
      <c r="W141" s="42">
        <v>4</v>
      </c>
      <c r="X141" s="42">
        <v>265</v>
      </c>
      <c r="Y141" s="43">
        <v>130</v>
      </c>
      <c r="Z141" s="43">
        <v>150</v>
      </c>
      <c r="AA141" s="43">
        <v>30</v>
      </c>
      <c r="AB141" s="43">
        <v>95</v>
      </c>
      <c r="AC141" s="43">
        <v>250</v>
      </c>
      <c r="AD141" s="43">
        <v>260</v>
      </c>
      <c r="AE141" s="43">
        <v>280</v>
      </c>
      <c r="AF141" s="43">
        <v>200</v>
      </c>
      <c r="AG141" s="43">
        <v>30</v>
      </c>
      <c r="AH141" s="43">
        <v>6</v>
      </c>
      <c r="AI141" s="43">
        <v>300</v>
      </c>
      <c r="AJ141" s="41">
        <f t="shared" si="21"/>
        <v>1560</v>
      </c>
      <c r="AK141" s="41">
        <f t="shared" si="22"/>
        <v>450</v>
      </c>
      <c r="AL141" s="41">
        <f t="shared" si="22"/>
        <v>0</v>
      </c>
      <c r="AM141" s="41">
        <f t="shared" si="22"/>
        <v>190</v>
      </c>
      <c r="AN141" s="41">
        <f t="shared" si="22"/>
        <v>0</v>
      </c>
      <c r="AO141" s="41">
        <f t="shared" si="22"/>
        <v>0</v>
      </c>
      <c r="AP141" s="41">
        <f t="shared" si="19"/>
        <v>0</v>
      </c>
      <c r="AQ141" s="41">
        <f t="shared" si="19"/>
        <v>0</v>
      </c>
      <c r="AR141" s="41">
        <f t="shared" si="19"/>
        <v>0</v>
      </c>
      <c r="AS141" s="41">
        <f t="shared" si="19"/>
        <v>0</v>
      </c>
      <c r="AT141" s="41">
        <f t="shared" si="19"/>
        <v>0</v>
      </c>
      <c r="AU141" s="43">
        <f t="shared" si="18"/>
        <v>240</v>
      </c>
      <c r="AV141" s="43">
        <f t="shared" si="17"/>
        <v>120</v>
      </c>
      <c r="AW141" s="43">
        <f t="shared" si="17"/>
        <v>0</v>
      </c>
      <c r="AX141" s="43">
        <f t="shared" si="17"/>
        <v>60</v>
      </c>
      <c r="AY141" s="43">
        <f t="shared" si="17"/>
        <v>0</v>
      </c>
      <c r="AZ141" s="43">
        <f t="shared" si="17"/>
        <v>0</v>
      </c>
      <c r="BA141" s="43">
        <f t="shared" si="17"/>
        <v>0</v>
      </c>
      <c r="BB141" s="43">
        <f t="shared" si="17"/>
        <v>0</v>
      </c>
      <c r="BC141" s="43">
        <f t="shared" si="16"/>
        <v>0</v>
      </c>
      <c r="BD141" s="43">
        <f t="shared" si="16"/>
        <v>0</v>
      </c>
      <c r="BE141" s="43">
        <f t="shared" si="16"/>
        <v>0</v>
      </c>
      <c r="BF141" s="41">
        <f t="shared" si="23"/>
        <v>420</v>
      </c>
      <c r="BG141" s="41" t="str">
        <f t="array" ref="BG141">_xlfn.IFS(
OR(MONTH(A141)=11,MONTH(A141)=12,MONTH(A141)=1,MONTH(A141)=2),"Winter",
OR(MONTH(A141)=3,MONTH(A141)=4),"Spring",
OR(MONTH(A141)=5,MONTH(A141)=6),"Summer",
OR(MONTH(A141)=7,MONTH(A141)=8,MONTH(A141)=9),"Monsoon",
MONTH(A141)=10,"Autumn/Festive",
TRUE,""
)</f>
        <v>Summer</v>
      </c>
    </row>
    <row r="142" spans="1:59" x14ac:dyDescent="0.3">
      <c r="A142" s="39">
        <v>45467</v>
      </c>
      <c r="B142" s="40" t="str">
        <f t="shared" si="20"/>
        <v>June</v>
      </c>
      <c r="C142" s="41">
        <v>21</v>
      </c>
      <c r="D142" s="41">
        <v>0</v>
      </c>
      <c r="E142" s="41">
        <v>0</v>
      </c>
      <c r="F142" s="41">
        <v>0</v>
      </c>
      <c r="G142" s="41">
        <v>0</v>
      </c>
      <c r="H142" s="41">
        <v>0</v>
      </c>
      <c r="I142" s="41">
        <v>0</v>
      </c>
      <c r="J142" s="41">
        <v>0</v>
      </c>
      <c r="K142" s="41">
        <v>0</v>
      </c>
      <c r="L142" s="41">
        <v>0</v>
      </c>
      <c r="M142" s="41">
        <v>0</v>
      </c>
      <c r="N142" s="42">
        <v>110</v>
      </c>
      <c r="O142" s="42">
        <v>110</v>
      </c>
      <c r="P142" s="42">
        <v>26</v>
      </c>
      <c r="Q142" s="42">
        <v>65</v>
      </c>
      <c r="R142" s="42">
        <v>200</v>
      </c>
      <c r="S142" s="42">
        <v>230</v>
      </c>
      <c r="T142" s="42">
        <v>250</v>
      </c>
      <c r="U142" s="42">
        <v>170</v>
      </c>
      <c r="V142" s="42">
        <v>25</v>
      </c>
      <c r="W142" s="42">
        <v>4</v>
      </c>
      <c r="X142" s="42">
        <v>265</v>
      </c>
      <c r="Y142" s="43">
        <v>130</v>
      </c>
      <c r="Z142" s="43">
        <v>150</v>
      </c>
      <c r="AA142" s="43">
        <v>30</v>
      </c>
      <c r="AB142" s="43">
        <v>95</v>
      </c>
      <c r="AC142" s="43">
        <v>250</v>
      </c>
      <c r="AD142" s="43">
        <v>260</v>
      </c>
      <c r="AE142" s="43">
        <v>280</v>
      </c>
      <c r="AF142" s="43">
        <v>200</v>
      </c>
      <c r="AG142" s="43">
        <v>30</v>
      </c>
      <c r="AH142" s="43">
        <v>6</v>
      </c>
      <c r="AI142" s="43">
        <v>300</v>
      </c>
      <c r="AJ142" s="41">
        <f t="shared" si="21"/>
        <v>2730</v>
      </c>
      <c r="AK142" s="41">
        <f t="shared" si="22"/>
        <v>0</v>
      </c>
      <c r="AL142" s="41">
        <f t="shared" si="22"/>
        <v>0</v>
      </c>
      <c r="AM142" s="41">
        <f t="shared" si="22"/>
        <v>0</v>
      </c>
      <c r="AN142" s="41">
        <f t="shared" si="22"/>
        <v>0</v>
      </c>
      <c r="AO142" s="41">
        <f t="shared" si="22"/>
        <v>0</v>
      </c>
      <c r="AP142" s="41">
        <f t="shared" si="19"/>
        <v>0</v>
      </c>
      <c r="AQ142" s="41">
        <f t="shared" si="19"/>
        <v>0</v>
      </c>
      <c r="AR142" s="41">
        <f t="shared" si="19"/>
        <v>0</v>
      </c>
      <c r="AS142" s="41">
        <f t="shared" si="19"/>
        <v>0</v>
      </c>
      <c r="AT142" s="41">
        <f t="shared" si="19"/>
        <v>0</v>
      </c>
      <c r="AU142" s="43">
        <f t="shared" si="18"/>
        <v>420</v>
      </c>
      <c r="AV142" s="43">
        <f t="shared" si="17"/>
        <v>0</v>
      </c>
      <c r="AW142" s="43">
        <f t="shared" si="17"/>
        <v>0</v>
      </c>
      <c r="AX142" s="43">
        <f t="shared" si="17"/>
        <v>0</v>
      </c>
      <c r="AY142" s="43">
        <f t="shared" si="17"/>
        <v>0</v>
      </c>
      <c r="AZ142" s="43">
        <f t="shared" si="17"/>
        <v>0</v>
      </c>
      <c r="BA142" s="43">
        <f t="shared" si="17"/>
        <v>0</v>
      </c>
      <c r="BB142" s="43">
        <f t="shared" si="17"/>
        <v>0</v>
      </c>
      <c r="BC142" s="43">
        <f t="shared" si="16"/>
        <v>0</v>
      </c>
      <c r="BD142" s="43">
        <f t="shared" si="16"/>
        <v>0</v>
      </c>
      <c r="BE142" s="43">
        <f t="shared" si="16"/>
        <v>0</v>
      </c>
      <c r="BF142" s="41">
        <f t="shared" si="23"/>
        <v>420</v>
      </c>
      <c r="BG142" s="41" t="str">
        <f t="array" ref="BG142">_xlfn.IFS(
OR(MONTH(A142)=11,MONTH(A142)=12,MONTH(A142)=1,MONTH(A142)=2),"Winter",
OR(MONTH(A142)=3,MONTH(A142)=4),"Spring",
OR(MONTH(A142)=5,MONTH(A142)=6),"Summer",
OR(MONTH(A142)=7,MONTH(A142)=8,MONTH(A142)=9),"Monsoon",
MONTH(A142)=10,"Autumn/Festive",
TRUE,""
)</f>
        <v>Summer</v>
      </c>
    </row>
    <row r="143" spans="1:59" x14ac:dyDescent="0.3">
      <c r="A143" s="39">
        <v>45468</v>
      </c>
      <c r="B143" s="40" t="str">
        <f t="shared" si="20"/>
        <v>June</v>
      </c>
      <c r="C143" s="41">
        <v>22</v>
      </c>
      <c r="D143" s="41">
        <v>0</v>
      </c>
      <c r="E143" s="41">
        <v>0</v>
      </c>
      <c r="F143" s="41">
        <v>2</v>
      </c>
      <c r="G143" s="41">
        <v>0</v>
      </c>
      <c r="H143" s="41">
        <v>0</v>
      </c>
      <c r="I143" s="41">
        <v>0</v>
      </c>
      <c r="J143" s="41">
        <v>0</v>
      </c>
      <c r="K143" s="41">
        <v>0</v>
      </c>
      <c r="L143" s="41">
        <v>0</v>
      </c>
      <c r="M143" s="41">
        <v>0</v>
      </c>
      <c r="N143" s="42">
        <v>110</v>
      </c>
      <c r="O143" s="42">
        <v>110</v>
      </c>
      <c r="P143" s="42">
        <v>26</v>
      </c>
      <c r="Q143" s="42">
        <v>65</v>
      </c>
      <c r="R143" s="42">
        <v>200</v>
      </c>
      <c r="S143" s="42">
        <v>230</v>
      </c>
      <c r="T143" s="42">
        <v>250</v>
      </c>
      <c r="U143" s="42">
        <v>170</v>
      </c>
      <c r="V143" s="42">
        <v>25</v>
      </c>
      <c r="W143" s="42">
        <v>4</v>
      </c>
      <c r="X143" s="42">
        <v>265</v>
      </c>
      <c r="Y143" s="43">
        <v>130</v>
      </c>
      <c r="Z143" s="43">
        <v>150</v>
      </c>
      <c r="AA143" s="43">
        <v>30</v>
      </c>
      <c r="AB143" s="43">
        <v>95</v>
      </c>
      <c r="AC143" s="43">
        <v>250</v>
      </c>
      <c r="AD143" s="43">
        <v>260</v>
      </c>
      <c r="AE143" s="43">
        <v>280</v>
      </c>
      <c r="AF143" s="43">
        <v>200</v>
      </c>
      <c r="AG143" s="43">
        <v>30</v>
      </c>
      <c r="AH143" s="43">
        <v>6</v>
      </c>
      <c r="AI143" s="43">
        <v>300</v>
      </c>
      <c r="AJ143" s="41">
        <f t="shared" si="21"/>
        <v>2860</v>
      </c>
      <c r="AK143" s="41">
        <f t="shared" si="22"/>
        <v>0</v>
      </c>
      <c r="AL143" s="41">
        <f t="shared" si="22"/>
        <v>0</v>
      </c>
      <c r="AM143" s="41">
        <f t="shared" si="22"/>
        <v>190</v>
      </c>
      <c r="AN143" s="41">
        <f t="shared" si="22"/>
        <v>0</v>
      </c>
      <c r="AO143" s="41">
        <f t="shared" si="22"/>
        <v>0</v>
      </c>
      <c r="AP143" s="41">
        <f t="shared" si="19"/>
        <v>0</v>
      </c>
      <c r="AQ143" s="41">
        <f t="shared" si="19"/>
        <v>0</v>
      </c>
      <c r="AR143" s="41">
        <f t="shared" si="19"/>
        <v>0</v>
      </c>
      <c r="AS143" s="41">
        <f t="shared" si="19"/>
        <v>0</v>
      </c>
      <c r="AT143" s="41">
        <f t="shared" si="19"/>
        <v>0</v>
      </c>
      <c r="AU143" s="43">
        <f t="shared" si="18"/>
        <v>440</v>
      </c>
      <c r="AV143" s="43">
        <f t="shared" si="17"/>
        <v>0</v>
      </c>
      <c r="AW143" s="43">
        <f t="shared" si="17"/>
        <v>0</v>
      </c>
      <c r="AX143" s="43">
        <f t="shared" si="17"/>
        <v>60</v>
      </c>
      <c r="AY143" s="43">
        <f t="shared" si="17"/>
        <v>0</v>
      </c>
      <c r="AZ143" s="43">
        <f t="shared" si="17"/>
        <v>0</v>
      </c>
      <c r="BA143" s="43">
        <f t="shared" si="17"/>
        <v>0</v>
      </c>
      <c r="BB143" s="43">
        <f t="shared" si="17"/>
        <v>0</v>
      </c>
      <c r="BC143" s="43">
        <f t="shared" si="16"/>
        <v>0</v>
      </c>
      <c r="BD143" s="43">
        <f t="shared" si="16"/>
        <v>0</v>
      </c>
      <c r="BE143" s="43">
        <f t="shared" si="16"/>
        <v>0</v>
      </c>
      <c r="BF143" s="41">
        <f t="shared" si="23"/>
        <v>500</v>
      </c>
      <c r="BG143" s="41" t="str">
        <f t="array" ref="BG143">_xlfn.IFS(
OR(MONTH(A143)=11,MONTH(A143)=12,MONTH(A143)=1,MONTH(A143)=2),"Winter",
OR(MONTH(A143)=3,MONTH(A143)=4),"Spring",
OR(MONTH(A143)=5,MONTH(A143)=6),"Summer",
OR(MONTH(A143)=7,MONTH(A143)=8,MONTH(A143)=9),"Monsoon",
MONTH(A143)=10,"Autumn/Festive",
TRUE,""
)</f>
        <v>Summer</v>
      </c>
    </row>
    <row r="144" spans="1:59" x14ac:dyDescent="0.3">
      <c r="A144" s="39">
        <v>45469</v>
      </c>
      <c r="B144" s="40" t="str">
        <f t="shared" si="20"/>
        <v>June</v>
      </c>
      <c r="C144" s="41">
        <v>3</v>
      </c>
      <c r="D144" s="41">
        <v>4</v>
      </c>
      <c r="E144" s="41">
        <v>0</v>
      </c>
      <c r="F144" s="41">
        <v>3</v>
      </c>
      <c r="G144" s="41">
        <v>0</v>
      </c>
      <c r="H144" s="41">
        <v>0</v>
      </c>
      <c r="I144" s="41">
        <v>0</v>
      </c>
      <c r="J144" s="41">
        <v>0</v>
      </c>
      <c r="K144" s="41">
        <v>0</v>
      </c>
      <c r="L144" s="41">
        <v>0</v>
      </c>
      <c r="M144" s="41">
        <v>0</v>
      </c>
      <c r="N144" s="42">
        <v>110</v>
      </c>
      <c r="O144" s="42">
        <v>110</v>
      </c>
      <c r="P144" s="42">
        <v>26</v>
      </c>
      <c r="Q144" s="42">
        <v>65</v>
      </c>
      <c r="R144" s="42">
        <v>200</v>
      </c>
      <c r="S144" s="42">
        <v>230</v>
      </c>
      <c r="T144" s="42">
        <v>250</v>
      </c>
      <c r="U144" s="42">
        <v>170</v>
      </c>
      <c r="V144" s="42">
        <v>25</v>
      </c>
      <c r="W144" s="42">
        <v>4</v>
      </c>
      <c r="X144" s="42">
        <v>265</v>
      </c>
      <c r="Y144" s="43">
        <v>130</v>
      </c>
      <c r="Z144" s="43">
        <v>150</v>
      </c>
      <c r="AA144" s="43">
        <v>30</v>
      </c>
      <c r="AB144" s="43">
        <v>95</v>
      </c>
      <c r="AC144" s="43">
        <v>250</v>
      </c>
      <c r="AD144" s="43">
        <v>260</v>
      </c>
      <c r="AE144" s="43">
        <v>280</v>
      </c>
      <c r="AF144" s="43">
        <v>200</v>
      </c>
      <c r="AG144" s="43">
        <v>30</v>
      </c>
      <c r="AH144" s="43">
        <v>6</v>
      </c>
      <c r="AI144" s="43">
        <v>300</v>
      </c>
      <c r="AJ144" s="41">
        <f t="shared" si="21"/>
        <v>390</v>
      </c>
      <c r="AK144" s="41">
        <f t="shared" si="22"/>
        <v>600</v>
      </c>
      <c r="AL144" s="41">
        <f t="shared" si="22"/>
        <v>0</v>
      </c>
      <c r="AM144" s="41">
        <f t="shared" si="22"/>
        <v>285</v>
      </c>
      <c r="AN144" s="41">
        <f t="shared" si="22"/>
        <v>0</v>
      </c>
      <c r="AO144" s="41">
        <f t="shared" si="22"/>
        <v>0</v>
      </c>
      <c r="AP144" s="41">
        <f t="shared" si="19"/>
        <v>0</v>
      </c>
      <c r="AQ144" s="41">
        <f t="shared" si="19"/>
        <v>0</v>
      </c>
      <c r="AR144" s="41">
        <f t="shared" si="19"/>
        <v>0</v>
      </c>
      <c r="AS144" s="41">
        <f t="shared" si="19"/>
        <v>0</v>
      </c>
      <c r="AT144" s="41">
        <f t="shared" si="19"/>
        <v>0</v>
      </c>
      <c r="AU144" s="43">
        <f t="shared" si="18"/>
        <v>60</v>
      </c>
      <c r="AV144" s="43">
        <f t="shared" si="17"/>
        <v>160</v>
      </c>
      <c r="AW144" s="43">
        <f t="shared" si="17"/>
        <v>0</v>
      </c>
      <c r="AX144" s="43">
        <f t="shared" si="17"/>
        <v>90</v>
      </c>
      <c r="AY144" s="43">
        <f t="shared" si="17"/>
        <v>0</v>
      </c>
      <c r="AZ144" s="43">
        <f t="shared" si="17"/>
        <v>0</v>
      </c>
      <c r="BA144" s="43">
        <f t="shared" si="17"/>
        <v>0</v>
      </c>
      <c r="BB144" s="43">
        <f t="shared" si="17"/>
        <v>0</v>
      </c>
      <c r="BC144" s="43">
        <f t="shared" si="16"/>
        <v>0</v>
      </c>
      <c r="BD144" s="43">
        <f t="shared" si="16"/>
        <v>0</v>
      </c>
      <c r="BE144" s="43">
        <f t="shared" si="16"/>
        <v>0</v>
      </c>
      <c r="BF144" s="41">
        <f t="shared" si="23"/>
        <v>310</v>
      </c>
      <c r="BG144" s="41" t="str">
        <f t="array" ref="BG144">_xlfn.IFS(
OR(MONTH(A144)=11,MONTH(A144)=12,MONTH(A144)=1,MONTH(A144)=2),"Winter",
OR(MONTH(A144)=3,MONTH(A144)=4),"Spring",
OR(MONTH(A144)=5,MONTH(A144)=6),"Summer",
OR(MONTH(A144)=7,MONTH(A144)=8,MONTH(A144)=9),"Monsoon",
MONTH(A144)=10,"Autumn/Festive",
TRUE,""
)</f>
        <v>Summer</v>
      </c>
    </row>
    <row r="145" spans="1:59" x14ac:dyDescent="0.3">
      <c r="A145" s="39">
        <v>45470</v>
      </c>
      <c r="B145" s="40" t="str">
        <f t="shared" si="20"/>
        <v>June</v>
      </c>
      <c r="C145" s="41">
        <v>10</v>
      </c>
      <c r="D145" s="41">
        <v>0</v>
      </c>
      <c r="E145" s="41">
        <v>0</v>
      </c>
      <c r="F145" s="41">
        <v>0</v>
      </c>
      <c r="G145" s="41">
        <v>2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2">
        <v>110</v>
      </c>
      <c r="O145" s="42">
        <v>110</v>
      </c>
      <c r="P145" s="42">
        <v>26</v>
      </c>
      <c r="Q145" s="42">
        <v>65</v>
      </c>
      <c r="R145" s="42">
        <v>200</v>
      </c>
      <c r="S145" s="42">
        <v>230</v>
      </c>
      <c r="T145" s="42">
        <v>250</v>
      </c>
      <c r="U145" s="42">
        <v>170</v>
      </c>
      <c r="V145" s="42">
        <v>25</v>
      </c>
      <c r="W145" s="42">
        <v>4</v>
      </c>
      <c r="X145" s="42">
        <v>265</v>
      </c>
      <c r="Y145" s="43">
        <v>130</v>
      </c>
      <c r="Z145" s="43">
        <v>150</v>
      </c>
      <c r="AA145" s="43">
        <v>30</v>
      </c>
      <c r="AB145" s="43">
        <v>95</v>
      </c>
      <c r="AC145" s="43">
        <v>250</v>
      </c>
      <c r="AD145" s="43">
        <v>260</v>
      </c>
      <c r="AE145" s="43">
        <v>280</v>
      </c>
      <c r="AF145" s="43">
        <v>200</v>
      </c>
      <c r="AG145" s="43">
        <v>30</v>
      </c>
      <c r="AH145" s="43">
        <v>6</v>
      </c>
      <c r="AI145" s="43">
        <v>300</v>
      </c>
      <c r="AJ145" s="41">
        <f t="shared" si="21"/>
        <v>1300</v>
      </c>
      <c r="AK145" s="41">
        <f t="shared" si="22"/>
        <v>0</v>
      </c>
      <c r="AL145" s="41">
        <f t="shared" si="22"/>
        <v>0</v>
      </c>
      <c r="AM145" s="41">
        <f t="shared" si="22"/>
        <v>0</v>
      </c>
      <c r="AN145" s="41">
        <f t="shared" si="22"/>
        <v>500</v>
      </c>
      <c r="AO145" s="41">
        <f t="shared" si="22"/>
        <v>0</v>
      </c>
      <c r="AP145" s="41">
        <f t="shared" si="19"/>
        <v>0</v>
      </c>
      <c r="AQ145" s="41">
        <f t="shared" si="19"/>
        <v>0</v>
      </c>
      <c r="AR145" s="41">
        <f t="shared" si="19"/>
        <v>0</v>
      </c>
      <c r="AS145" s="41">
        <f t="shared" si="19"/>
        <v>0</v>
      </c>
      <c r="AT145" s="41">
        <f t="shared" si="19"/>
        <v>0</v>
      </c>
      <c r="AU145" s="43">
        <f t="shared" si="18"/>
        <v>200</v>
      </c>
      <c r="AV145" s="43">
        <f t="shared" si="17"/>
        <v>0</v>
      </c>
      <c r="AW145" s="43">
        <f t="shared" si="17"/>
        <v>0</v>
      </c>
      <c r="AX145" s="43">
        <f t="shared" si="17"/>
        <v>0</v>
      </c>
      <c r="AY145" s="43">
        <f t="shared" si="17"/>
        <v>100</v>
      </c>
      <c r="AZ145" s="43">
        <f t="shared" si="17"/>
        <v>0</v>
      </c>
      <c r="BA145" s="43">
        <f t="shared" si="17"/>
        <v>0</v>
      </c>
      <c r="BB145" s="43">
        <f t="shared" si="17"/>
        <v>0</v>
      </c>
      <c r="BC145" s="43">
        <f t="shared" si="16"/>
        <v>0</v>
      </c>
      <c r="BD145" s="43">
        <f t="shared" si="16"/>
        <v>0</v>
      </c>
      <c r="BE145" s="43">
        <f t="shared" si="16"/>
        <v>0</v>
      </c>
      <c r="BF145" s="41">
        <f t="shared" si="23"/>
        <v>300</v>
      </c>
      <c r="BG145" s="41" t="str">
        <f t="array" ref="BG145">_xlfn.IFS(
OR(MONTH(A145)=11,MONTH(A145)=12,MONTH(A145)=1,MONTH(A145)=2),"Winter",
OR(MONTH(A145)=3,MONTH(A145)=4),"Spring",
OR(MONTH(A145)=5,MONTH(A145)=6),"Summer",
OR(MONTH(A145)=7,MONTH(A145)=8,MONTH(A145)=9),"Monsoon",
MONTH(A145)=10,"Autumn/Festive",
TRUE,""
)</f>
        <v>Summer</v>
      </c>
    </row>
    <row r="146" spans="1:59" x14ac:dyDescent="0.3">
      <c r="A146" s="39">
        <v>45471</v>
      </c>
      <c r="B146" s="40" t="str">
        <f t="shared" si="20"/>
        <v>June</v>
      </c>
      <c r="C146" s="41">
        <v>12</v>
      </c>
      <c r="D146" s="41">
        <v>2</v>
      </c>
      <c r="E146" s="41">
        <v>0</v>
      </c>
      <c r="F146" s="41">
        <v>2</v>
      </c>
      <c r="G146" s="41">
        <v>0</v>
      </c>
      <c r="H146" s="41">
        <v>0</v>
      </c>
      <c r="I146" s="41">
        <v>0</v>
      </c>
      <c r="J146" s="41">
        <v>0</v>
      </c>
      <c r="K146" s="41">
        <v>0</v>
      </c>
      <c r="L146" s="41">
        <v>0</v>
      </c>
      <c r="M146" s="41">
        <v>0</v>
      </c>
      <c r="N146" s="42">
        <v>110</v>
      </c>
      <c r="O146" s="42">
        <v>110</v>
      </c>
      <c r="P146" s="42">
        <v>26</v>
      </c>
      <c r="Q146" s="42">
        <v>65</v>
      </c>
      <c r="R146" s="42">
        <v>200</v>
      </c>
      <c r="S146" s="42">
        <v>230</v>
      </c>
      <c r="T146" s="42">
        <v>250</v>
      </c>
      <c r="U146" s="42">
        <v>170</v>
      </c>
      <c r="V146" s="42">
        <v>25</v>
      </c>
      <c r="W146" s="42">
        <v>4</v>
      </c>
      <c r="X146" s="42">
        <v>265</v>
      </c>
      <c r="Y146" s="43">
        <v>130</v>
      </c>
      <c r="Z146" s="43">
        <v>150</v>
      </c>
      <c r="AA146" s="43">
        <v>30</v>
      </c>
      <c r="AB146" s="43">
        <v>95</v>
      </c>
      <c r="AC146" s="43">
        <v>250</v>
      </c>
      <c r="AD146" s="43">
        <v>260</v>
      </c>
      <c r="AE146" s="43">
        <v>280</v>
      </c>
      <c r="AF146" s="43">
        <v>200</v>
      </c>
      <c r="AG146" s="43">
        <v>30</v>
      </c>
      <c r="AH146" s="43">
        <v>6</v>
      </c>
      <c r="AI146" s="43">
        <v>300</v>
      </c>
      <c r="AJ146" s="41">
        <f t="shared" si="21"/>
        <v>1560</v>
      </c>
      <c r="AK146" s="41">
        <f t="shared" si="22"/>
        <v>300</v>
      </c>
      <c r="AL146" s="41">
        <f t="shared" si="22"/>
        <v>0</v>
      </c>
      <c r="AM146" s="41">
        <f t="shared" si="22"/>
        <v>190</v>
      </c>
      <c r="AN146" s="41">
        <f t="shared" si="22"/>
        <v>0</v>
      </c>
      <c r="AO146" s="41">
        <f t="shared" si="22"/>
        <v>0</v>
      </c>
      <c r="AP146" s="41">
        <f t="shared" si="19"/>
        <v>0</v>
      </c>
      <c r="AQ146" s="41">
        <f t="shared" si="19"/>
        <v>0</v>
      </c>
      <c r="AR146" s="41">
        <f t="shared" si="19"/>
        <v>0</v>
      </c>
      <c r="AS146" s="41">
        <f t="shared" si="19"/>
        <v>0</v>
      </c>
      <c r="AT146" s="41">
        <f t="shared" si="19"/>
        <v>0</v>
      </c>
      <c r="AU146" s="43">
        <f t="shared" si="18"/>
        <v>240</v>
      </c>
      <c r="AV146" s="43">
        <f t="shared" si="17"/>
        <v>80</v>
      </c>
      <c r="AW146" s="43">
        <f t="shared" si="17"/>
        <v>0</v>
      </c>
      <c r="AX146" s="43">
        <f t="shared" si="17"/>
        <v>60</v>
      </c>
      <c r="AY146" s="43">
        <f t="shared" si="17"/>
        <v>0</v>
      </c>
      <c r="AZ146" s="43">
        <f t="shared" si="17"/>
        <v>0</v>
      </c>
      <c r="BA146" s="43">
        <f t="shared" si="17"/>
        <v>0</v>
      </c>
      <c r="BB146" s="43">
        <f t="shared" si="17"/>
        <v>0</v>
      </c>
      <c r="BC146" s="43">
        <f t="shared" si="16"/>
        <v>0</v>
      </c>
      <c r="BD146" s="43">
        <f t="shared" si="16"/>
        <v>0</v>
      </c>
      <c r="BE146" s="43">
        <f t="shared" si="16"/>
        <v>0</v>
      </c>
      <c r="BF146" s="41">
        <f t="shared" si="23"/>
        <v>380</v>
      </c>
      <c r="BG146" s="41" t="str">
        <f t="array" ref="BG146">_xlfn.IFS(
OR(MONTH(A146)=11,MONTH(A146)=12,MONTH(A146)=1,MONTH(A146)=2),"Winter",
OR(MONTH(A146)=3,MONTH(A146)=4),"Spring",
OR(MONTH(A146)=5,MONTH(A146)=6),"Summer",
OR(MONTH(A146)=7,MONTH(A146)=8,MONTH(A146)=9),"Monsoon",
MONTH(A146)=10,"Autumn/Festive",
TRUE,""
)</f>
        <v>Summer</v>
      </c>
    </row>
    <row r="147" spans="1:59" x14ac:dyDescent="0.3">
      <c r="A147" s="39">
        <v>45472</v>
      </c>
      <c r="B147" s="40" t="str">
        <f t="shared" si="20"/>
        <v>June</v>
      </c>
      <c r="C147" s="41">
        <v>0</v>
      </c>
      <c r="D147" s="41">
        <v>0</v>
      </c>
      <c r="E147" s="41">
        <v>0</v>
      </c>
      <c r="F147" s="41">
        <v>0</v>
      </c>
      <c r="G147" s="41">
        <v>0</v>
      </c>
      <c r="H147" s="41">
        <v>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2">
        <v>110</v>
      </c>
      <c r="O147" s="42">
        <v>110</v>
      </c>
      <c r="P147" s="42">
        <v>26</v>
      </c>
      <c r="Q147" s="42">
        <v>65</v>
      </c>
      <c r="R147" s="42">
        <v>200</v>
      </c>
      <c r="S147" s="42">
        <v>230</v>
      </c>
      <c r="T147" s="42">
        <v>250</v>
      </c>
      <c r="U147" s="42">
        <v>170</v>
      </c>
      <c r="V147" s="42">
        <v>25</v>
      </c>
      <c r="W147" s="42">
        <v>4</v>
      </c>
      <c r="X147" s="42">
        <v>265</v>
      </c>
      <c r="Y147" s="43">
        <v>130</v>
      </c>
      <c r="Z147" s="43">
        <v>150</v>
      </c>
      <c r="AA147" s="43">
        <v>30</v>
      </c>
      <c r="AB147" s="43">
        <v>95</v>
      </c>
      <c r="AC147" s="43">
        <v>250</v>
      </c>
      <c r="AD147" s="43">
        <v>260</v>
      </c>
      <c r="AE147" s="43">
        <v>280</v>
      </c>
      <c r="AF147" s="43">
        <v>200</v>
      </c>
      <c r="AG147" s="43">
        <v>30</v>
      </c>
      <c r="AH147" s="43">
        <v>6</v>
      </c>
      <c r="AI147" s="43">
        <v>300</v>
      </c>
      <c r="AJ147" s="41">
        <f t="shared" si="21"/>
        <v>0</v>
      </c>
      <c r="AK147" s="41">
        <f t="shared" si="22"/>
        <v>0</v>
      </c>
      <c r="AL147" s="41">
        <f t="shared" si="22"/>
        <v>0</v>
      </c>
      <c r="AM147" s="41">
        <f t="shared" si="22"/>
        <v>0</v>
      </c>
      <c r="AN147" s="41">
        <f t="shared" si="22"/>
        <v>0</v>
      </c>
      <c r="AO147" s="41">
        <f t="shared" si="22"/>
        <v>0</v>
      </c>
      <c r="AP147" s="41">
        <f t="shared" si="19"/>
        <v>0</v>
      </c>
      <c r="AQ147" s="41">
        <f t="shared" si="19"/>
        <v>0</v>
      </c>
      <c r="AR147" s="41">
        <f t="shared" si="19"/>
        <v>0</v>
      </c>
      <c r="AS147" s="41">
        <f t="shared" si="19"/>
        <v>0</v>
      </c>
      <c r="AT147" s="41">
        <f t="shared" si="19"/>
        <v>0</v>
      </c>
      <c r="AU147" s="43">
        <f t="shared" si="18"/>
        <v>0</v>
      </c>
      <c r="AV147" s="43">
        <f t="shared" si="17"/>
        <v>0</v>
      </c>
      <c r="AW147" s="43">
        <f t="shared" si="17"/>
        <v>0</v>
      </c>
      <c r="AX147" s="43">
        <f t="shared" si="17"/>
        <v>0</v>
      </c>
      <c r="AY147" s="43">
        <f t="shared" si="17"/>
        <v>0</v>
      </c>
      <c r="AZ147" s="43">
        <f t="shared" si="17"/>
        <v>0</v>
      </c>
      <c r="BA147" s="43">
        <f t="shared" si="17"/>
        <v>0</v>
      </c>
      <c r="BB147" s="43">
        <f t="shared" si="17"/>
        <v>0</v>
      </c>
      <c r="BC147" s="43">
        <f t="shared" si="16"/>
        <v>0</v>
      </c>
      <c r="BD147" s="43">
        <f t="shared" si="16"/>
        <v>0</v>
      </c>
      <c r="BE147" s="43">
        <f t="shared" si="16"/>
        <v>0</v>
      </c>
      <c r="BF147" s="41">
        <f t="shared" si="23"/>
        <v>0</v>
      </c>
      <c r="BG147" s="41" t="str">
        <f t="array" ref="BG147">_xlfn.IFS(
OR(MONTH(A147)=11,MONTH(A147)=12,MONTH(A147)=1,MONTH(A147)=2),"Winter",
OR(MONTH(A147)=3,MONTH(A147)=4),"Spring",
OR(MONTH(A147)=5,MONTH(A147)=6),"Summer",
OR(MONTH(A147)=7,MONTH(A147)=8,MONTH(A147)=9),"Monsoon",
MONTH(A147)=10,"Autumn/Festive",
TRUE,""
)</f>
        <v>Summer</v>
      </c>
    </row>
    <row r="148" spans="1:59" x14ac:dyDescent="0.3">
      <c r="A148" s="39">
        <v>45473</v>
      </c>
      <c r="B148" s="40" t="str">
        <f t="shared" si="20"/>
        <v>June</v>
      </c>
      <c r="C148" s="41">
        <v>17</v>
      </c>
      <c r="D148" s="41">
        <v>0</v>
      </c>
      <c r="E148" s="41">
        <v>0</v>
      </c>
      <c r="F148" s="41">
        <v>0</v>
      </c>
      <c r="G148" s="41">
        <v>0</v>
      </c>
      <c r="H148" s="41">
        <v>0</v>
      </c>
      <c r="I148" s="41">
        <v>0</v>
      </c>
      <c r="J148" s="41">
        <v>0</v>
      </c>
      <c r="K148" s="41">
        <v>0</v>
      </c>
      <c r="L148" s="41">
        <v>0</v>
      </c>
      <c r="M148" s="41">
        <v>0</v>
      </c>
      <c r="N148" s="42">
        <v>110</v>
      </c>
      <c r="O148" s="42">
        <v>110</v>
      </c>
      <c r="P148" s="42">
        <v>26</v>
      </c>
      <c r="Q148" s="42">
        <v>65</v>
      </c>
      <c r="R148" s="42">
        <v>200</v>
      </c>
      <c r="S148" s="42">
        <v>230</v>
      </c>
      <c r="T148" s="42">
        <v>250</v>
      </c>
      <c r="U148" s="42">
        <v>170</v>
      </c>
      <c r="V148" s="42">
        <v>25</v>
      </c>
      <c r="W148" s="42">
        <v>4</v>
      </c>
      <c r="X148" s="42">
        <v>265</v>
      </c>
      <c r="Y148" s="43">
        <v>130</v>
      </c>
      <c r="Z148" s="43">
        <v>150</v>
      </c>
      <c r="AA148" s="43">
        <v>30</v>
      </c>
      <c r="AB148" s="43">
        <v>95</v>
      </c>
      <c r="AC148" s="43">
        <v>250</v>
      </c>
      <c r="AD148" s="43">
        <v>260</v>
      </c>
      <c r="AE148" s="43">
        <v>280</v>
      </c>
      <c r="AF148" s="43">
        <v>200</v>
      </c>
      <c r="AG148" s="43">
        <v>30</v>
      </c>
      <c r="AH148" s="43">
        <v>6</v>
      </c>
      <c r="AI148" s="43">
        <v>300</v>
      </c>
      <c r="AJ148" s="41">
        <f t="shared" si="21"/>
        <v>2210</v>
      </c>
      <c r="AK148" s="41">
        <f t="shared" si="22"/>
        <v>0</v>
      </c>
      <c r="AL148" s="41">
        <f t="shared" si="22"/>
        <v>0</v>
      </c>
      <c r="AM148" s="41">
        <f t="shared" si="22"/>
        <v>0</v>
      </c>
      <c r="AN148" s="41">
        <f t="shared" si="22"/>
        <v>0</v>
      </c>
      <c r="AO148" s="41">
        <f t="shared" si="22"/>
        <v>0</v>
      </c>
      <c r="AP148" s="41">
        <f t="shared" si="19"/>
        <v>0</v>
      </c>
      <c r="AQ148" s="41">
        <f t="shared" si="19"/>
        <v>0</v>
      </c>
      <c r="AR148" s="41">
        <f t="shared" si="19"/>
        <v>0</v>
      </c>
      <c r="AS148" s="41">
        <f t="shared" si="19"/>
        <v>0</v>
      </c>
      <c r="AT148" s="41">
        <f t="shared" si="19"/>
        <v>0</v>
      </c>
      <c r="AU148" s="43">
        <f t="shared" si="18"/>
        <v>340</v>
      </c>
      <c r="AV148" s="43">
        <f t="shared" si="17"/>
        <v>0</v>
      </c>
      <c r="AW148" s="43">
        <f t="shared" si="17"/>
        <v>0</v>
      </c>
      <c r="AX148" s="43">
        <f t="shared" si="17"/>
        <v>0</v>
      </c>
      <c r="AY148" s="43">
        <f t="shared" si="17"/>
        <v>0</v>
      </c>
      <c r="AZ148" s="43">
        <f t="shared" si="17"/>
        <v>0</v>
      </c>
      <c r="BA148" s="43">
        <f t="shared" si="17"/>
        <v>0</v>
      </c>
      <c r="BB148" s="43">
        <f t="shared" si="17"/>
        <v>0</v>
      </c>
      <c r="BC148" s="43">
        <f t="shared" si="16"/>
        <v>0</v>
      </c>
      <c r="BD148" s="43">
        <f t="shared" si="16"/>
        <v>0</v>
      </c>
      <c r="BE148" s="43">
        <f t="shared" si="16"/>
        <v>0</v>
      </c>
      <c r="BF148" s="41">
        <f t="shared" si="23"/>
        <v>340</v>
      </c>
      <c r="BG148" s="41" t="str">
        <f t="array" ref="BG148">_xlfn.IFS(
OR(MONTH(A148)=11,MONTH(A148)=12,MONTH(A148)=1,MONTH(A148)=2),"Winter",
OR(MONTH(A148)=3,MONTH(A148)=4),"Spring",
OR(MONTH(A148)=5,MONTH(A148)=6),"Summer",
OR(MONTH(A148)=7,MONTH(A148)=8,MONTH(A148)=9),"Monsoon",
MONTH(A148)=10,"Autumn/Festive",
TRUE,""
)</f>
        <v>Summer</v>
      </c>
    </row>
    <row r="149" spans="1:59" x14ac:dyDescent="0.3">
      <c r="A149" s="39">
        <v>45474</v>
      </c>
      <c r="B149" s="40" t="str">
        <f t="shared" si="20"/>
        <v>July</v>
      </c>
      <c r="C149" s="41">
        <v>0</v>
      </c>
      <c r="D149" s="41">
        <v>0</v>
      </c>
      <c r="E149" s="41">
        <v>0</v>
      </c>
      <c r="F149" s="41">
        <v>0</v>
      </c>
      <c r="G149" s="41">
        <v>0</v>
      </c>
      <c r="H149" s="41">
        <v>0</v>
      </c>
      <c r="I149" s="41">
        <v>0</v>
      </c>
      <c r="J149" s="41">
        <v>0</v>
      </c>
      <c r="K149" s="41">
        <v>0</v>
      </c>
      <c r="L149" s="41">
        <v>0</v>
      </c>
      <c r="M149" s="41">
        <v>0</v>
      </c>
      <c r="N149" s="42">
        <v>110</v>
      </c>
      <c r="O149" s="42">
        <v>110</v>
      </c>
      <c r="P149" s="42">
        <v>26</v>
      </c>
      <c r="Q149" s="42">
        <v>65</v>
      </c>
      <c r="R149" s="42">
        <v>200</v>
      </c>
      <c r="S149" s="42">
        <v>230</v>
      </c>
      <c r="T149" s="42">
        <v>250</v>
      </c>
      <c r="U149" s="42">
        <v>170</v>
      </c>
      <c r="V149" s="42">
        <v>25</v>
      </c>
      <c r="W149" s="42">
        <v>4</v>
      </c>
      <c r="X149" s="42">
        <v>265</v>
      </c>
      <c r="Y149" s="43">
        <v>130</v>
      </c>
      <c r="Z149" s="43">
        <v>150</v>
      </c>
      <c r="AA149" s="43">
        <v>30</v>
      </c>
      <c r="AB149" s="43">
        <v>95</v>
      </c>
      <c r="AC149" s="43">
        <v>250</v>
      </c>
      <c r="AD149" s="43">
        <v>260</v>
      </c>
      <c r="AE149" s="43">
        <v>280</v>
      </c>
      <c r="AF149" s="43">
        <v>200</v>
      </c>
      <c r="AG149" s="43">
        <v>30</v>
      </c>
      <c r="AH149" s="43">
        <v>6</v>
      </c>
      <c r="AI149" s="43">
        <v>300</v>
      </c>
      <c r="AJ149" s="41">
        <f t="shared" si="21"/>
        <v>0</v>
      </c>
      <c r="AK149" s="41">
        <f t="shared" si="22"/>
        <v>0</v>
      </c>
      <c r="AL149" s="41">
        <f t="shared" si="22"/>
        <v>0</v>
      </c>
      <c r="AM149" s="41">
        <f t="shared" si="22"/>
        <v>0</v>
      </c>
      <c r="AN149" s="41">
        <f t="shared" si="22"/>
        <v>0</v>
      </c>
      <c r="AO149" s="41">
        <f t="shared" si="22"/>
        <v>0</v>
      </c>
      <c r="AP149" s="41">
        <f t="shared" si="19"/>
        <v>0</v>
      </c>
      <c r="AQ149" s="41">
        <f t="shared" si="19"/>
        <v>0</v>
      </c>
      <c r="AR149" s="41">
        <f t="shared" si="19"/>
        <v>0</v>
      </c>
      <c r="AS149" s="41">
        <f t="shared" si="19"/>
        <v>0</v>
      </c>
      <c r="AT149" s="41">
        <f t="shared" si="19"/>
        <v>0</v>
      </c>
      <c r="AU149" s="43">
        <f t="shared" si="18"/>
        <v>0</v>
      </c>
      <c r="AV149" s="43">
        <f t="shared" si="17"/>
        <v>0</v>
      </c>
      <c r="AW149" s="43">
        <f t="shared" si="17"/>
        <v>0</v>
      </c>
      <c r="AX149" s="43">
        <f t="shared" si="17"/>
        <v>0</v>
      </c>
      <c r="AY149" s="43">
        <f t="shared" si="17"/>
        <v>0</v>
      </c>
      <c r="AZ149" s="43">
        <f t="shared" si="17"/>
        <v>0</v>
      </c>
      <c r="BA149" s="43">
        <f t="shared" si="17"/>
        <v>0</v>
      </c>
      <c r="BB149" s="43">
        <f t="shared" si="17"/>
        <v>0</v>
      </c>
      <c r="BC149" s="43">
        <f t="shared" si="16"/>
        <v>0</v>
      </c>
      <c r="BD149" s="43">
        <f t="shared" si="16"/>
        <v>0</v>
      </c>
      <c r="BE149" s="43">
        <f t="shared" si="16"/>
        <v>0</v>
      </c>
      <c r="BF149" s="41">
        <f t="shared" si="23"/>
        <v>0</v>
      </c>
      <c r="BG149" s="41" t="str">
        <f t="array" ref="BG149">_xlfn.IFS(
OR(MONTH(A149)=11,MONTH(A149)=12,MONTH(A149)=1,MONTH(A149)=2),"Winter",
OR(MONTH(A149)=3,MONTH(A149)=4),"Spring",
OR(MONTH(A149)=5,MONTH(A149)=6),"Summer",
OR(MONTH(A149)=7,MONTH(A149)=8,MONTH(A149)=9),"Monsoon",
MONTH(A149)=10,"Autumn/Festive",
TRUE,""
)</f>
        <v>Monsoon</v>
      </c>
    </row>
    <row r="150" spans="1:59" x14ac:dyDescent="0.3">
      <c r="A150" s="39">
        <v>45475</v>
      </c>
      <c r="B150" s="40" t="str">
        <f t="shared" si="20"/>
        <v>July</v>
      </c>
      <c r="C150" s="41">
        <v>0</v>
      </c>
      <c r="D150" s="41">
        <v>0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41">
        <v>0</v>
      </c>
      <c r="K150" s="41">
        <v>0</v>
      </c>
      <c r="L150" s="41">
        <v>0</v>
      </c>
      <c r="M150" s="41">
        <v>0</v>
      </c>
      <c r="N150" s="42">
        <v>110</v>
      </c>
      <c r="O150" s="42">
        <v>110</v>
      </c>
      <c r="P150" s="42">
        <v>26</v>
      </c>
      <c r="Q150" s="42">
        <v>65</v>
      </c>
      <c r="R150" s="42">
        <v>200</v>
      </c>
      <c r="S150" s="42">
        <v>230</v>
      </c>
      <c r="T150" s="42">
        <v>250</v>
      </c>
      <c r="U150" s="42">
        <v>170</v>
      </c>
      <c r="V150" s="42">
        <v>25</v>
      </c>
      <c r="W150" s="42">
        <v>4</v>
      </c>
      <c r="X150" s="42">
        <v>265</v>
      </c>
      <c r="Y150" s="43">
        <v>130</v>
      </c>
      <c r="Z150" s="43">
        <v>150</v>
      </c>
      <c r="AA150" s="43">
        <v>30</v>
      </c>
      <c r="AB150" s="43">
        <v>95</v>
      </c>
      <c r="AC150" s="43">
        <v>250</v>
      </c>
      <c r="AD150" s="43">
        <v>260</v>
      </c>
      <c r="AE150" s="43">
        <v>280</v>
      </c>
      <c r="AF150" s="43">
        <v>200</v>
      </c>
      <c r="AG150" s="43">
        <v>30</v>
      </c>
      <c r="AH150" s="43">
        <v>6</v>
      </c>
      <c r="AI150" s="43">
        <v>300</v>
      </c>
      <c r="AJ150" s="41">
        <f t="shared" si="21"/>
        <v>0</v>
      </c>
      <c r="AK150" s="41">
        <f t="shared" si="22"/>
        <v>0</v>
      </c>
      <c r="AL150" s="41">
        <f t="shared" si="22"/>
        <v>0</v>
      </c>
      <c r="AM150" s="41">
        <f t="shared" si="22"/>
        <v>0</v>
      </c>
      <c r="AN150" s="41">
        <f t="shared" si="22"/>
        <v>0</v>
      </c>
      <c r="AO150" s="41">
        <f t="shared" si="22"/>
        <v>0</v>
      </c>
      <c r="AP150" s="41">
        <f t="shared" si="19"/>
        <v>0</v>
      </c>
      <c r="AQ150" s="41">
        <f t="shared" si="19"/>
        <v>0</v>
      </c>
      <c r="AR150" s="41">
        <f t="shared" si="19"/>
        <v>0</v>
      </c>
      <c r="AS150" s="41">
        <f t="shared" si="19"/>
        <v>0</v>
      </c>
      <c r="AT150" s="41">
        <f t="shared" si="19"/>
        <v>0</v>
      </c>
      <c r="AU150" s="43">
        <f t="shared" si="18"/>
        <v>0</v>
      </c>
      <c r="AV150" s="43">
        <f t="shared" si="17"/>
        <v>0</v>
      </c>
      <c r="AW150" s="43">
        <f t="shared" si="17"/>
        <v>0</v>
      </c>
      <c r="AX150" s="43">
        <f t="shared" si="17"/>
        <v>0</v>
      </c>
      <c r="AY150" s="43">
        <f t="shared" si="17"/>
        <v>0</v>
      </c>
      <c r="AZ150" s="43">
        <f t="shared" si="17"/>
        <v>0</v>
      </c>
      <c r="BA150" s="43">
        <f t="shared" si="17"/>
        <v>0</v>
      </c>
      <c r="BB150" s="43">
        <f t="shared" si="17"/>
        <v>0</v>
      </c>
      <c r="BC150" s="43">
        <f t="shared" si="16"/>
        <v>0</v>
      </c>
      <c r="BD150" s="43">
        <f t="shared" si="16"/>
        <v>0</v>
      </c>
      <c r="BE150" s="43">
        <f t="shared" si="16"/>
        <v>0</v>
      </c>
      <c r="BF150" s="41">
        <f t="shared" si="23"/>
        <v>0</v>
      </c>
      <c r="BG150" s="41" t="str">
        <f t="array" ref="BG150">_xlfn.IFS(
OR(MONTH(A150)=11,MONTH(A150)=12,MONTH(A150)=1,MONTH(A150)=2),"Winter",
OR(MONTH(A150)=3,MONTH(A150)=4),"Spring",
OR(MONTH(A150)=5,MONTH(A150)=6),"Summer",
OR(MONTH(A150)=7,MONTH(A150)=8,MONTH(A150)=9),"Monsoon",
MONTH(A150)=10,"Autumn/Festive",
TRUE,""
)</f>
        <v>Monsoon</v>
      </c>
    </row>
    <row r="151" spans="1:59" x14ac:dyDescent="0.3">
      <c r="A151" s="39">
        <v>45476</v>
      </c>
      <c r="B151" s="40" t="str">
        <f t="shared" si="20"/>
        <v>July</v>
      </c>
      <c r="C151" s="41">
        <v>0</v>
      </c>
      <c r="D151" s="41">
        <v>0</v>
      </c>
      <c r="E151" s="41">
        <v>0</v>
      </c>
      <c r="F151" s="41">
        <v>0</v>
      </c>
      <c r="G151" s="41">
        <v>0</v>
      </c>
      <c r="H151" s="41">
        <v>0</v>
      </c>
      <c r="I151" s="41">
        <v>0</v>
      </c>
      <c r="J151" s="41">
        <v>0</v>
      </c>
      <c r="K151" s="41">
        <v>0</v>
      </c>
      <c r="L151" s="41">
        <v>0</v>
      </c>
      <c r="M151" s="41">
        <v>0</v>
      </c>
      <c r="N151" s="42">
        <v>110</v>
      </c>
      <c r="O151" s="42">
        <v>110</v>
      </c>
      <c r="P151" s="42">
        <v>26</v>
      </c>
      <c r="Q151" s="42">
        <v>65</v>
      </c>
      <c r="R151" s="42">
        <v>200</v>
      </c>
      <c r="S151" s="42">
        <v>230</v>
      </c>
      <c r="T151" s="42">
        <v>250</v>
      </c>
      <c r="U151" s="42">
        <v>170</v>
      </c>
      <c r="V151" s="42">
        <v>25</v>
      </c>
      <c r="W151" s="42">
        <v>4</v>
      </c>
      <c r="X151" s="42">
        <v>265</v>
      </c>
      <c r="Y151" s="43">
        <v>130</v>
      </c>
      <c r="Z151" s="43">
        <v>150</v>
      </c>
      <c r="AA151" s="43">
        <v>30</v>
      </c>
      <c r="AB151" s="43">
        <v>95</v>
      </c>
      <c r="AC151" s="43">
        <v>250</v>
      </c>
      <c r="AD151" s="43">
        <v>260</v>
      </c>
      <c r="AE151" s="43">
        <v>280</v>
      </c>
      <c r="AF151" s="43">
        <v>200</v>
      </c>
      <c r="AG151" s="43">
        <v>30</v>
      </c>
      <c r="AH151" s="43">
        <v>6</v>
      </c>
      <c r="AI151" s="43">
        <v>300</v>
      </c>
      <c r="AJ151" s="41">
        <f t="shared" si="21"/>
        <v>0</v>
      </c>
      <c r="AK151" s="41">
        <f t="shared" si="22"/>
        <v>0</v>
      </c>
      <c r="AL151" s="41">
        <f t="shared" si="22"/>
        <v>0</v>
      </c>
      <c r="AM151" s="41">
        <f t="shared" si="22"/>
        <v>0</v>
      </c>
      <c r="AN151" s="41">
        <f t="shared" si="22"/>
        <v>0</v>
      </c>
      <c r="AO151" s="41">
        <f t="shared" si="22"/>
        <v>0</v>
      </c>
      <c r="AP151" s="41">
        <f t="shared" si="19"/>
        <v>0</v>
      </c>
      <c r="AQ151" s="41">
        <f t="shared" si="19"/>
        <v>0</v>
      </c>
      <c r="AR151" s="41">
        <f t="shared" si="19"/>
        <v>0</v>
      </c>
      <c r="AS151" s="41">
        <f t="shared" si="19"/>
        <v>0</v>
      </c>
      <c r="AT151" s="41">
        <f t="shared" si="19"/>
        <v>0</v>
      </c>
      <c r="AU151" s="43">
        <f t="shared" si="18"/>
        <v>0</v>
      </c>
      <c r="AV151" s="43">
        <f t="shared" si="17"/>
        <v>0</v>
      </c>
      <c r="AW151" s="43">
        <f t="shared" si="17"/>
        <v>0</v>
      </c>
      <c r="AX151" s="43">
        <f t="shared" si="17"/>
        <v>0</v>
      </c>
      <c r="AY151" s="43">
        <f t="shared" si="17"/>
        <v>0</v>
      </c>
      <c r="AZ151" s="43">
        <f t="shared" si="17"/>
        <v>0</v>
      </c>
      <c r="BA151" s="43">
        <f t="shared" si="17"/>
        <v>0</v>
      </c>
      <c r="BB151" s="43">
        <f t="shared" si="17"/>
        <v>0</v>
      </c>
      <c r="BC151" s="43">
        <f t="shared" si="16"/>
        <v>0</v>
      </c>
      <c r="BD151" s="43">
        <f t="shared" si="16"/>
        <v>0</v>
      </c>
      <c r="BE151" s="43">
        <f t="shared" si="16"/>
        <v>0</v>
      </c>
      <c r="BF151" s="41">
        <f t="shared" si="23"/>
        <v>0</v>
      </c>
      <c r="BG151" s="41" t="str">
        <f t="array" ref="BG151">_xlfn.IFS(
OR(MONTH(A151)=11,MONTH(A151)=12,MONTH(A151)=1,MONTH(A151)=2),"Winter",
OR(MONTH(A151)=3,MONTH(A151)=4),"Spring",
OR(MONTH(A151)=5,MONTH(A151)=6),"Summer",
OR(MONTH(A151)=7,MONTH(A151)=8,MONTH(A151)=9),"Monsoon",
MONTH(A151)=10,"Autumn/Festive",
TRUE,""
)</f>
        <v>Monsoon</v>
      </c>
    </row>
    <row r="152" spans="1:59" x14ac:dyDescent="0.3">
      <c r="A152" s="39">
        <v>45477</v>
      </c>
      <c r="B152" s="40" t="str">
        <f t="shared" si="20"/>
        <v>July</v>
      </c>
      <c r="C152" s="41">
        <v>11</v>
      </c>
      <c r="D152" s="41">
        <v>0</v>
      </c>
      <c r="E152" s="41">
        <v>0</v>
      </c>
      <c r="F152" s="41">
        <v>0</v>
      </c>
      <c r="G152" s="41">
        <v>0</v>
      </c>
      <c r="H152" s="41">
        <v>0</v>
      </c>
      <c r="I152" s="41">
        <v>2</v>
      </c>
      <c r="J152" s="41">
        <v>0</v>
      </c>
      <c r="K152" s="41">
        <v>0</v>
      </c>
      <c r="L152" s="41">
        <v>0</v>
      </c>
      <c r="M152" s="41">
        <v>0</v>
      </c>
      <c r="N152" s="42">
        <v>110</v>
      </c>
      <c r="O152" s="42">
        <v>110</v>
      </c>
      <c r="P152" s="42">
        <v>26</v>
      </c>
      <c r="Q152" s="42">
        <v>65</v>
      </c>
      <c r="R152" s="42">
        <v>200</v>
      </c>
      <c r="S152" s="42">
        <v>230</v>
      </c>
      <c r="T152" s="42">
        <v>250</v>
      </c>
      <c r="U152" s="42">
        <v>170</v>
      </c>
      <c r="V152" s="42">
        <v>25</v>
      </c>
      <c r="W152" s="42">
        <v>4</v>
      </c>
      <c r="X152" s="42">
        <v>265</v>
      </c>
      <c r="Y152" s="43">
        <v>130</v>
      </c>
      <c r="Z152" s="43">
        <v>150</v>
      </c>
      <c r="AA152" s="43">
        <v>30</v>
      </c>
      <c r="AB152" s="43">
        <v>95</v>
      </c>
      <c r="AC152" s="43">
        <v>250</v>
      </c>
      <c r="AD152" s="43">
        <v>260</v>
      </c>
      <c r="AE152" s="43">
        <v>280</v>
      </c>
      <c r="AF152" s="43">
        <v>200</v>
      </c>
      <c r="AG152" s="43">
        <v>30</v>
      </c>
      <c r="AH152" s="43">
        <v>6</v>
      </c>
      <c r="AI152" s="43">
        <v>300</v>
      </c>
      <c r="AJ152" s="41">
        <f t="shared" si="21"/>
        <v>1430</v>
      </c>
      <c r="AK152" s="41">
        <f t="shared" si="22"/>
        <v>0</v>
      </c>
      <c r="AL152" s="41">
        <f t="shared" si="22"/>
        <v>0</v>
      </c>
      <c r="AM152" s="41">
        <f t="shared" si="22"/>
        <v>0</v>
      </c>
      <c r="AN152" s="41">
        <f t="shared" si="22"/>
        <v>0</v>
      </c>
      <c r="AO152" s="41">
        <f t="shared" si="22"/>
        <v>0</v>
      </c>
      <c r="AP152" s="41">
        <f t="shared" si="19"/>
        <v>560</v>
      </c>
      <c r="AQ152" s="41">
        <f t="shared" si="19"/>
        <v>0</v>
      </c>
      <c r="AR152" s="41">
        <f t="shared" si="19"/>
        <v>0</v>
      </c>
      <c r="AS152" s="41">
        <f t="shared" si="19"/>
        <v>0</v>
      </c>
      <c r="AT152" s="41">
        <f t="shared" si="19"/>
        <v>0</v>
      </c>
      <c r="AU152" s="43">
        <f t="shared" si="18"/>
        <v>220</v>
      </c>
      <c r="AV152" s="43">
        <f t="shared" si="17"/>
        <v>0</v>
      </c>
      <c r="AW152" s="43">
        <f t="shared" si="17"/>
        <v>0</v>
      </c>
      <c r="AX152" s="43">
        <f t="shared" si="17"/>
        <v>0</v>
      </c>
      <c r="AY152" s="43">
        <f t="shared" si="17"/>
        <v>0</v>
      </c>
      <c r="AZ152" s="43">
        <f t="shared" si="17"/>
        <v>0</v>
      </c>
      <c r="BA152" s="43">
        <f t="shared" si="17"/>
        <v>60</v>
      </c>
      <c r="BB152" s="43">
        <f t="shared" si="17"/>
        <v>0</v>
      </c>
      <c r="BC152" s="43">
        <f t="shared" si="16"/>
        <v>0</v>
      </c>
      <c r="BD152" s="43">
        <f t="shared" si="16"/>
        <v>0</v>
      </c>
      <c r="BE152" s="43">
        <f t="shared" si="16"/>
        <v>0</v>
      </c>
      <c r="BF152" s="41">
        <f t="shared" si="23"/>
        <v>280</v>
      </c>
      <c r="BG152" s="41" t="str">
        <f t="array" ref="BG152">_xlfn.IFS(
OR(MONTH(A152)=11,MONTH(A152)=12,MONTH(A152)=1,MONTH(A152)=2),"Winter",
OR(MONTH(A152)=3,MONTH(A152)=4),"Spring",
OR(MONTH(A152)=5,MONTH(A152)=6),"Summer",
OR(MONTH(A152)=7,MONTH(A152)=8,MONTH(A152)=9),"Monsoon",
MONTH(A152)=10,"Autumn/Festive",
TRUE,""
)</f>
        <v>Monsoon</v>
      </c>
    </row>
    <row r="153" spans="1:59" x14ac:dyDescent="0.3">
      <c r="A153" s="39">
        <v>45478</v>
      </c>
      <c r="B153" s="40" t="str">
        <f t="shared" si="20"/>
        <v>July</v>
      </c>
      <c r="C153" s="41">
        <v>4</v>
      </c>
      <c r="D153" s="41">
        <v>5</v>
      </c>
      <c r="E153" s="41">
        <v>0</v>
      </c>
      <c r="F153" s="41">
        <v>0</v>
      </c>
      <c r="G153" s="41">
        <v>4</v>
      </c>
      <c r="H153" s="41">
        <v>2.5</v>
      </c>
      <c r="I153" s="41">
        <v>0</v>
      </c>
      <c r="J153" s="41">
        <v>0</v>
      </c>
      <c r="K153" s="41">
        <v>0</v>
      </c>
      <c r="L153" s="41">
        <v>0</v>
      </c>
      <c r="M153" s="41">
        <v>0</v>
      </c>
      <c r="N153" s="42">
        <v>110</v>
      </c>
      <c r="O153" s="42">
        <v>110</v>
      </c>
      <c r="P153" s="42">
        <v>26</v>
      </c>
      <c r="Q153" s="42">
        <v>65</v>
      </c>
      <c r="R153" s="42">
        <v>200</v>
      </c>
      <c r="S153" s="42">
        <v>230</v>
      </c>
      <c r="T153" s="42">
        <v>250</v>
      </c>
      <c r="U153" s="42">
        <v>170</v>
      </c>
      <c r="V153" s="42">
        <v>25</v>
      </c>
      <c r="W153" s="42">
        <v>4</v>
      </c>
      <c r="X153" s="42">
        <v>265</v>
      </c>
      <c r="Y153" s="43">
        <v>130</v>
      </c>
      <c r="Z153" s="43">
        <v>150</v>
      </c>
      <c r="AA153" s="43">
        <v>30</v>
      </c>
      <c r="AB153" s="43">
        <v>95</v>
      </c>
      <c r="AC153" s="43">
        <v>250</v>
      </c>
      <c r="AD153" s="43">
        <v>260</v>
      </c>
      <c r="AE153" s="43">
        <v>280</v>
      </c>
      <c r="AF153" s="43">
        <v>200</v>
      </c>
      <c r="AG153" s="43">
        <v>30</v>
      </c>
      <c r="AH153" s="43">
        <v>6</v>
      </c>
      <c r="AI153" s="43">
        <v>300</v>
      </c>
      <c r="AJ153" s="41">
        <f t="shared" si="21"/>
        <v>520</v>
      </c>
      <c r="AK153" s="41">
        <f t="shared" si="22"/>
        <v>750</v>
      </c>
      <c r="AL153" s="41">
        <f t="shared" si="22"/>
        <v>0</v>
      </c>
      <c r="AM153" s="41">
        <f t="shared" si="22"/>
        <v>0</v>
      </c>
      <c r="AN153" s="41">
        <f t="shared" si="22"/>
        <v>1000</v>
      </c>
      <c r="AO153" s="41">
        <f t="shared" si="22"/>
        <v>650</v>
      </c>
      <c r="AP153" s="41">
        <f t="shared" si="19"/>
        <v>0</v>
      </c>
      <c r="AQ153" s="41">
        <f t="shared" si="19"/>
        <v>0</v>
      </c>
      <c r="AR153" s="41">
        <f t="shared" si="19"/>
        <v>0</v>
      </c>
      <c r="AS153" s="41">
        <f t="shared" si="19"/>
        <v>0</v>
      </c>
      <c r="AT153" s="41">
        <f t="shared" si="19"/>
        <v>0</v>
      </c>
      <c r="AU153" s="43">
        <f t="shared" si="18"/>
        <v>80</v>
      </c>
      <c r="AV153" s="43">
        <f t="shared" si="17"/>
        <v>200</v>
      </c>
      <c r="AW153" s="43">
        <f t="shared" si="17"/>
        <v>0</v>
      </c>
      <c r="AX153" s="43">
        <f t="shared" si="17"/>
        <v>0</v>
      </c>
      <c r="AY153" s="43">
        <f t="shared" si="17"/>
        <v>200</v>
      </c>
      <c r="AZ153" s="43">
        <f t="shared" si="17"/>
        <v>75</v>
      </c>
      <c r="BA153" s="43">
        <f t="shared" si="17"/>
        <v>0</v>
      </c>
      <c r="BB153" s="43">
        <f t="shared" si="17"/>
        <v>0</v>
      </c>
      <c r="BC153" s="43">
        <f t="shared" si="16"/>
        <v>0</v>
      </c>
      <c r="BD153" s="43">
        <f t="shared" si="16"/>
        <v>0</v>
      </c>
      <c r="BE153" s="43">
        <f t="shared" si="16"/>
        <v>0</v>
      </c>
      <c r="BF153" s="41">
        <f t="shared" si="23"/>
        <v>555</v>
      </c>
      <c r="BG153" s="41" t="str">
        <f t="array" ref="BG153">_xlfn.IFS(
OR(MONTH(A153)=11,MONTH(A153)=12,MONTH(A153)=1,MONTH(A153)=2),"Winter",
OR(MONTH(A153)=3,MONTH(A153)=4),"Spring",
OR(MONTH(A153)=5,MONTH(A153)=6),"Summer",
OR(MONTH(A153)=7,MONTH(A153)=8,MONTH(A153)=9),"Monsoon",
MONTH(A153)=10,"Autumn/Festive",
TRUE,""
)</f>
        <v>Monsoon</v>
      </c>
    </row>
    <row r="154" spans="1:59" x14ac:dyDescent="0.3">
      <c r="A154" s="39">
        <v>45479</v>
      </c>
      <c r="B154" s="40" t="str">
        <f t="shared" si="20"/>
        <v>July</v>
      </c>
      <c r="C154" s="41">
        <v>9</v>
      </c>
      <c r="D154" s="41">
        <v>0</v>
      </c>
      <c r="E154" s="41">
        <v>0</v>
      </c>
      <c r="F154" s="41">
        <v>0</v>
      </c>
      <c r="G154" s="41">
        <v>0</v>
      </c>
      <c r="H154" s="41">
        <v>0</v>
      </c>
      <c r="I154" s="41">
        <v>0</v>
      </c>
      <c r="J154" s="41">
        <v>0</v>
      </c>
      <c r="K154" s="41">
        <v>0</v>
      </c>
      <c r="L154" s="41">
        <v>0</v>
      </c>
      <c r="M154" s="41">
        <v>0</v>
      </c>
      <c r="N154" s="42">
        <v>110</v>
      </c>
      <c r="O154" s="42">
        <v>110</v>
      </c>
      <c r="P154" s="42">
        <v>26</v>
      </c>
      <c r="Q154" s="42">
        <v>65</v>
      </c>
      <c r="R154" s="42">
        <v>200</v>
      </c>
      <c r="S154" s="42">
        <v>230</v>
      </c>
      <c r="T154" s="42">
        <v>250</v>
      </c>
      <c r="U154" s="42">
        <v>170</v>
      </c>
      <c r="V154" s="42">
        <v>25</v>
      </c>
      <c r="W154" s="42">
        <v>4</v>
      </c>
      <c r="X154" s="42">
        <v>265</v>
      </c>
      <c r="Y154" s="43">
        <v>130</v>
      </c>
      <c r="Z154" s="43">
        <v>150</v>
      </c>
      <c r="AA154" s="43">
        <v>30</v>
      </c>
      <c r="AB154" s="43">
        <v>95</v>
      </c>
      <c r="AC154" s="43">
        <v>250</v>
      </c>
      <c r="AD154" s="43">
        <v>260</v>
      </c>
      <c r="AE154" s="43">
        <v>280</v>
      </c>
      <c r="AF154" s="43">
        <v>200</v>
      </c>
      <c r="AG154" s="43">
        <v>30</v>
      </c>
      <c r="AH154" s="43">
        <v>6</v>
      </c>
      <c r="AI154" s="43">
        <v>300</v>
      </c>
      <c r="AJ154" s="41">
        <f t="shared" si="21"/>
        <v>1170</v>
      </c>
      <c r="AK154" s="41">
        <f t="shared" si="22"/>
        <v>0</v>
      </c>
      <c r="AL154" s="41">
        <f t="shared" si="22"/>
        <v>0</v>
      </c>
      <c r="AM154" s="41">
        <f t="shared" si="22"/>
        <v>0</v>
      </c>
      <c r="AN154" s="41">
        <f t="shared" si="22"/>
        <v>0</v>
      </c>
      <c r="AO154" s="41">
        <f t="shared" si="22"/>
        <v>0</v>
      </c>
      <c r="AP154" s="41">
        <f t="shared" si="19"/>
        <v>0</v>
      </c>
      <c r="AQ154" s="41">
        <f t="shared" si="19"/>
        <v>0</v>
      </c>
      <c r="AR154" s="41">
        <f t="shared" si="19"/>
        <v>0</v>
      </c>
      <c r="AS154" s="41">
        <f t="shared" si="19"/>
        <v>0</v>
      </c>
      <c r="AT154" s="41">
        <f t="shared" si="19"/>
        <v>0</v>
      </c>
      <c r="AU154" s="43">
        <f t="shared" si="18"/>
        <v>180</v>
      </c>
      <c r="AV154" s="43">
        <f t="shared" si="17"/>
        <v>0</v>
      </c>
      <c r="AW154" s="43">
        <f t="shared" si="17"/>
        <v>0</v>
      </c>
      <c r="AX154" s="43">
        <f t="shared" si="17"/>
        <v>0</v>
      </c>
      <c r="AY154" s="43">
        <f t="shared" si="17"/>
        <v>0</v>
      </c>
      <c r="AZ154" s="43">
        <f t="shared" si="17"/>
        <v>0</v>
      </c>
      <c r="BA154" s="43">
        <f t="shared" si="17"/>
        <v>0</v>
      </c>
      <c r="BB154" s="43">
        <f t="shared" si="17"/>
        <v>0</v>
      </c>
      <c r="BC154" s="43">
        <f t="shared" si="16"/>
        <v>0</v>
      </c>
      <c r="BD154" s="43">
        <f t="shared" si="16"/>
        <v>0</v>
      </c>
      <c r="BE154" s="43">
        <f t="shared" si="16"/>
        <v>0</v>
      </c>
      <c r="BF154" s="41">
        <f t="shared" si="23"/>
        <v>180</v>
      </c>
      <c r="BG154" s="41" t="str">
        <f t="array" ref="BG154">_xlfn.IFS(
OR(MONTH(A154)=11,MONTH(A154)=12,MONTH(A154)=1,MONTH(A154)=2),"Winter",
OR(MONTH(A154)=3,MONTH(A154)=4),"Spring",
OR(MONTH(A154)=5,MONTH(A154)=6),"Summer",
OR(MONTH(A154)=7,MONTH(A154)=8,MONTH(A154)=9),"Monsoon",
MONTH(A154)=10,"Autumn/Festive",
TRUE,""
)</f>
        <v>Monsoon</v>
      </c>
    </row>
    <row r="155" spans="1:59" x14ac:dyDescent="0.3">
      <c r="A155" s="39">
        <v>45480</v>
      </c>
      <c r="B155" s="40" t="str">
        <f t="shared" si="20"/>
        <v>July</v>
      </c>
      <c r="C155" s="41">
        <v>4</v>
      </c>
      <c r="D155" s="41">
        <v>2</v>
      </c>
      <c r="E155" s="41">
        <v>0</v>
      </c>
      <c r="F155" s="41">
        <v>0</v>
      </c>
      <c r="G155" s="41">
        <v>0</v>
      </c>
      <c r="H155" s="41">
        <v>0</v>
      </c>
      <c r="I155" s="41">
        <v>0</v>
      </c>
      <c r="J155" s="41">
        <v>0</v>
      </c>
      <c r="K155" s="41">
        <v>0</v>
      </c>
      <c r="L155" s="41">
        <v>0</v>
      </c>
      <c r="M155" s="41">
        <v>0</v>
      </c>
      <c r="N155" s="42">
        <v>110</v>
      </c>
      <c r="O155" s="42">
        <v>110</v>
      </c>
      <c r="P155" s="42">
        <v>26</v>
      </c>
      <c r="Q155" s="42">
        <v>65</v>
      </c>
      <c r="R155" s="42">
        <v>200</v>
      </c>
      <c r="S155" s="42">
        <v>230</v>
      </c>
      <c r="T155" s="42">
        <v>250</v>
      </c>
      <c r="U155" s="42">
        <v>170</v>
      </c>
      <c r="V155" s="42">
        <v>25</v>
      </c>
      <c r="W155" s="42">
        <v>4</v>
      </c>
      <c r="X155" s="42">
        <v>265</v>
      </c>
      <c r="Y155" s="43">
        <v>130</v>
      </c>
      <c r="Z155" s="43">
        <v>150</v>
      </c>
      <c r="AA155" s="43">
        <v>30</v>
      </c>
      <c r="AB155" s="43">
        <v>95</v>
      </c>
      <c r="AC155" s="43">
        <v>250</v>
      </c>
      <c r="AD155" s="43">
        <v>260</v>
      </c>
      <c r="AE155" s="43">
        <v>280</v>
      </c>
      <c r="AF155" s="43">
        <v>200</v>
      </c>
      <c r="AG155" s="43">
        <v>30</v>
      </c>
      <c r="AH155" s="43">
        <v>6</v>
      </c>
      <c r="AI155" s="43">
        <v>300</v>
      </c>
      <c r="AJ155" s="41">
        <f t="shared" si="21"/>
        <v>520</v>
      </c>
      <c r="AK155" s="41">
        <f t="shared" si="22"/>
        <v>300</v>
      </c>
      <c r="AL155" s="41">
        <f t="shared" si="22"/>
        <v>0</v>
      </c>
      <c r="AM155" s="41">
        <f t="shared" si="22"/>
        <v>0</v>
      </c>
      <c r="AN155" s="41">
        <f t="shared" si="22"/>
        <v>0</v>
      </c>
      <c r="AO155" s="41">
        <f t="shared" si="22"/>
        <v>0</v>
      </c>
      <c r="AP155" s="41">
        <f t="shared" si="19"/>
        <v>0</v>
      </c>
      <c r="AQ155" s="41">
        <f t="shared" si="19"/>
        <v>0</v>
      </c>
      <c r="AR155" s="41">
        <f t="shared" si="19"/>
        <v>0</v>
      </c>
      <c r="AS155" s="41">
        <f t="shared" si="19"/>
        <v>0</v>
      </c>
      <c r="AT155" s="41">
        <f t="shared" si="19"/>
        <v>0</v>
      </c>
      <c r="AU155" s="43">
        <f t="shared" si="18"/>
        <v>80</v>
      </c>
      <c r="AV155" s="43">
        <f t="shared" si="17"/>
        <v>80</v>
      </c>
      <c r="AW155" s="43">
        <f t="shared" si="17"/>
        <v>0</v>
      </c>
      <c r="AX155" s="43">
        <f t="shared" si="17"/>
        <v>0</v>
      </c>
      <c r="AY155" s="43">
        <f t="shared" si="17"/>
        <v>0</v>
      </c>
      <c r="AZ155" s="43">
        <f t="shared" si="17"/>
        <v>0</v>
      </c>
      <c r="BA155" s="43">
        <f t="shared" si="17"/>
        <v>0</v>
      </c>
      <c r="BB155" s="43">
        <f t="shared" si="17"/>
        <v>0</v>
      </c>
      <c r="BC155" s="43">
        <f t="shared" si="16"/>
        <v>0</v>
      </c>
      <c r="BD155" s="43">
        <f t="shared" si="16"/>
        <v>0</v>
      </c>
      <c r="BE155" s="43">
        <f t="shared" si="16"/>
        <v>0</v>
      </c>
      <c r="BF155" s="41">
        <f t="shared" si="23"/>
        <v>160</v>
      </c>
      <c r="BG155" s="41" t="str">
        <f t="array" ref="BG155">_xlfn.IFS(
OR(MONTH(A155)=11,MONTH(A155)=12,MONTH(A155)=1,MONTH(A155)=2),"Winter",
OR(MONTH(A155)=3,MONTH(A155)=4),"Spring",
OR(MONTH(A155)=5,MONTH(A155)=6),"Summer",
OR(MONTH(A155)=7,MONTH(A155)=8,MONTH(A155)=9),"Monsoon",
MONTH(A155)=10,"Autumn/Festive",
TRUE,""
)</f>
        <v>Monsoon</v>
      </c>
    </row>
    <row r="156" spans="1:59" x14ac:dyDescent="0.3">
      <c r="A156" s="39">
        <v>45481</v>
      </c>
      <c r="B156" s="40" t="str">
        <f t="shared" si="20"/>
        <v>July</v>
      </c>
      <c r="C156" s="41">
        <v>9</v>
      </c>
      <c r="D156" s="41">
        <v>0</v>
      </c>
      <c r="E156" s="41">
        <v>0</v>
      </c>
      <c r="F156" s="41">
        <v>2</v>
      </c>
      <c r="G156" s="41">
        <v>0</v>
      </c>
      <c r="H156" s="41">
        <v>0</v>
      </c>
      <c r="I156" s="41">
        <v>0</v>
      </c>
      <c r="J156" s="41">
        <v>0</v>
      </c>
      <c r="K156" s="41">
        <v>0</v>
      </c>
      <c r="L156" s="41">
        <v>0</v>
      </c>
      <c r="M156" s="41">
        <v>0</v>
      </c>
      <c r="N156" s="42">
        <v>110</v>
      </c>
      <c r="O156" s="42">
        <v>110</v>
      </c>
      <c r="P156" s="42">
        <v>26</v>
      </c>
      <c r="Q156" s="42">
        <v>65</v>
      </c>
      <c r="R156" s="42">
        <v>200</v>
      </c>
      <c r="S156" s="42">
        <v>230</v>
      </c>
      <c r="T156" s="42">
        <v>250</v>
      </c>
      <c r="U156" s="42">
        <v>170</v>
      </c>
      <c r="V156" s="42">
        <v>25</v>
      </c>
      <c r="W156" s="42">
        <v>4</v>
      </c>
      <c r="X156" s="42">
        <v>265</v>
      </c>
      <c r="Y156" s="43">
        <v>130</v>
      </c>
      <c r="Z156" s="43">
        <v>150</v>
      </c>
      <c r="AA156" s="43">
        <v>30</v>
      </c>
      <c r="AB156" s="43">
        <v>95</v>
      </c>
      <c r="AC156" s="43">
        <v>250</v>
      </c>
      <c r="AD156" s="43">
        <v>260</v>
      </c>
      <c r="AE156" s="43">
        <v>280</v>
      </c>
      <c r="AF156" s="43">
        <v>200</v>
      </c>
      <c r="AG156" s="43">
        <v>30</v>
      </c>
      <c r="AH156" s="43">
        <v>6</v>
      </c>
      <c r="AI156" s="43">
        <v>300</v>
      </c>
      <c r="AJ156" s="41">
        <f t="shared" si="21"/>
        <v>1170</v>
      </c>
      <c r="AK156" s="41">
        <f t="shared" si="22"/>
        <v>0</v>
      </c>
      <c r="AL156" s="41">
        <f t="shared" si="22"/>
        <v>0</v>
      </c>
      <c r="AM156" s="41">
        <f t="shared" si="22"/>
        <v>190</v>
      </c>
      <c r="AN156" s="41">
        <f t="shared" si="22"/>
        <v>0</v>
      </c>
      <c r="AO156" s="41">
        <f t="shared" si="22"/>
        <v>0</v>
      </c>
      <c r="AP156" s="41">
        <f t="shared" si="19"/>
        <v>0</v>
      </c>
      <c r="AQ156" s="41">
        <f t="shared" si="19"/>
        <v>0</v>
      </c>
      <c r="AR156" s="41">
        <f t="shared" si="19"/>
        <v>0</v>
      </c>
      <c r="AS156" s="41">
        <f t="shared" si="19"/>
        <v>0</v>
      </c>
      <c r="AT156" s="41">
        <f t="shared" si="19"/>
        <v>0</v>
      </c>
      <c r="AU156" s="43">
        <f t="shared" si="18"/>
        <v>180</v>
      </c>
      <c r="AV156" s="43">
        <f t="shared" si="17"/>
        <v>0</v>
      </c>
      <c r="AW156" s="43">
        <f t="shared" si="17"/>
        <v>0</v>
      </c>
      <c r="AX156" s="43">
        <f t="shared" si="17"/>
        <v>60</v>
      </c>
      <c r="AY156" s="43">
        <f t="shared" si="17"/>
        <v>0</v>
      </c>
      <c r="AZ156" s="43">
        <f t="shared" si="17"/>
        <v>0</v>
      </c>
      <c r="BA156" s="43">
        <f t="shared" si="17"/>
        <v>0</v>
      </c>
      <c r="BB156" s="43">
        <f t="shared" si="17"/>
        <v>0</v>
      </c>
      <c r="BC156" s="43">
        <f t="shared" si="16"/>
        <v>0</v>
      </c>
      <c r="BD156" s="43">
        <f t="shared" si="16"/>
        <v>0</v>
      </c>
      <c r="BE156" s="43">
        <f t="shared" si="16"/>
        <v>0</v>
      </c>
      <c r="BF156" s="41">
        <f t="shared" si="23"/>
        <v>240</v>
      </c>
      <c r="BG156" s="41" t="str">
        <f t="array" ref="BG156">_xlfn.IFS(
OR(MONTH(A156)=11,MONTH(A156)=12,MONTH(A156)=1,MONTH(A156)=2),"Winter",
OR(MONTH(A156)=3,MONTH(A156)=4),"Spring",
OR(MONTH(A156)=5,MONTH(A156)=6),"Summer",
OR(MONTH(A156)=7,MONTH(A156)=8,MONTH(A156)=9),"Monsoon",
MONTH(A156)=10,"Autumn/Festive",
TRUE,""
)</f>
        <v>Monsoon</v>
      </c>
    </row>
    <row r="157" spans="1:59" x14ac:dyDescent="0.3">
      <c r="A157" s="39">
        <v>45482</v>
      </c>
      <c r="B157" s="40" t="str">
        <f t="shared" si="20"/>
        <v>July</v>
      </c>
      <c r="C157" s="41">
        <v>51</v>
      </c>
      <c r="D157" s="41">
        <v>2</v>
      </c>
      <c r="E157" s="41">
        <v>0</v>
      </c>
      <c r="F157" s="41">
        <v>0</v>
      </c>
      <c r="G157" s="41">
        <v>0</v>
      </c>
      <c r="H157" s="41">
        <v>0</v>
      </c>
      <c r="I157" s="41">
        <v>0</v>
      </c>
      <c r="J157" s="41">
        <v>0</v>
      </c>
      <c r="K157" s="41">
        <v>0</v>
      </c>
      <c r="L157" s="41">
        <v>0</v>
      </c>
      <c r="M157" s="41">
        <v>0</v>
      </c>
      <c r="N157" s="42">
        <v>110</v>
      </c>
      <c r="O157" s="42">
        <v>110</v>
      </c>
      <c r="P157" s="42">
        <v>26</v>
      </c>
      <c r="Q157" s="42">
        <v>65</v>
      </c>
      <c r="R157" s="42">
        <v>200</v>
      </c>
      <c r="S157" s="42">
        <v>230</v>
      </c>
      <c r="T157" s="42">
        <v>250</v>
      </c>
      <c r="U157" s="42">
        <v>170</v>
      </c>
      <c r="V157" s="42">
        <v>25</v>
      </c>
      <c r="W157" s="42">
        <v>4</v>
      </c>
      <c r="X157" s="42">
        <v>265</v>
      </c>
      <c r="Y157" s="43">
        <v>130</v>
      </c>
      <c r="Z157" s="43">
        <v>150</v>
      </c>
      <c r="AA157" s="43">
        <v>30</v>
      </c>
      <c r="AB157" s="43">
        <v>95</v>
      </c>
      <c r="AC157" s="43">
        <v>250</v>
      </c>
      <c r="AD157" s="43">
        <v>260</v>
      </c>
      <c r="AE157" s="43">
        <v>280</v>
      </c>
      <c r="AF157" s="43">
        <v>200</v>
      </c>
      <c r="AG157" s="43">
        <v>30</v>
      </c>
      <c r="AH157" s="43">
        <v>6</v>
      </c>
      <c r="AI157" s="43">
        <v>300</v>
      </c>
      <c r="AJ157" s="41">
        <f t="shared" si="21"/>
        <v>6630</v>
      </c>
      <c r="AK157" s="41">
        <f t="shared" si="22"/>
        <v>300</v>
      </c>
      <c r="AL157" s="41">
        <f t="shared" si="22"/>
        <v>0</v>
      </c>
      <c r="AM157" s="41">
        <f t="shared" si="22"/>
        <v>0</v>
      </c>
      <c r="AN157" s="41">
        <f t="shared" si="22"/>
        <v>0</v>
      </c>
      <c r="AO157" s="41">
        <f t="shared" si="22"/>
        <v>0</v>
      </c>
      <c r="AP157" s="41">
        <f t="shared" si="19"/>
        <v>0</v>
      </c>
      <c r="AQ157" s="41">
        <f t="shared" si="19"/>
        <v>0</v>
      </c>
      <c r="AR157" s="41">
        <f t="shared" si="19"/>
        <v>0</v>
      </c>
      <c r="AS157" s="41">
        <f t="shared" si="19"/>
        <v>0</v>
      </c>
      <c r="AT157" s="41">
        <f t="shared" si="19"/>
        <v>0</v>
      </c>
      <c r="AU157" s="43">
        <f t="shared" si="18"/>
        <v>1020</v>
      </c>
      <c r="AV157" s="43">
        <f t="shared" si="17"/>
        <v>80</v>
      </c>
      <c r="AW157" s="43">
        <f t="shared" si="17"/>
        <v>0</v>
      </c>
      <c r="AX157" s="43">
        <f t="shared" si="17"/>
        <v>0</v>
      </c>
      <c r="AY157" s="43">
        <f t="shared" si="17"/>
        <v>0</v>
      </c>
      <c r="AZ157" s="43">
        <f t="shared" si="17"/>
        <v>0</v>
      </c>
      <c r="BA157" s="43">
        <f t="shared" si="17"/>
        <v>0</v>
      </c>
      <c r="BB157" s="43">
        <f t="shared" si="17"/>
        <v>0</v>
      </c>
      <c r="BC157" s="43">
        <f t="shared" si="16"/>
        <v>0</v>
      </c>
      <c r="BD157" s="43">
        <f t="shared" si="16"/>
        <v>0</v>
      </c>
      <c r="BE157" s="43">
        <f t="shared" si="16"/>
        <v>0</v>
      </c>
      <c r="BF157" s="41">
        <f t="shared" si="23"/>
        <v>1100</v>
      </c>
      <c r="BG157" s="41" t="str">
        <f t="array" ref="BG157">_xlfn.IFS(
OR(MONTH(A157)=11,MONTH(A157)=12,MONTH(A157)=1,MONTH(A157)=2),"Winter",
OR(MONTH(A157)=3,MONTH(A157)=4),"Spring",
OR(MONTH(A157)=5,MONTH(A157)=6),"Summer",
OR(MONTH(A157)=7,MONTH(A157)=8,MONTH(A157)=9),"Monsoon",
MONTH(A157)=10,"Autumn/Festive",
TRUE,""
)</f>
        <v>Monsoon</v>
      </c>
    </row>
    <row r="158" spans="1:59" x14ac:dyDescent="0.3">
      <c r="A158" s="39">
        <v>45483</v>
      </c>
      <c r="B158" s="40" t="str">
        <f t="shared" si="20"/>
        <v>July</v>
      </c>
      <c r="C158" s="41">
        <v>50</v>
      </c>
      <c r="D158" s="41">
        <v>15</v>
      </c>
      <c r="E158" s="41">
        <v>0</v>
      </c>
      <c r="F158" s="41">
        <v>2</v>
      </c>
      <c r="G158" s="41">
        <v>3</v>
      </c>
      <c r="H158" s="41">
        <v>0</v>
      </c>
      <c r="I158" s="41">
        <v>0</v>
      </c>
      <c r="J158" s="41">
        <v>0</v>
      </c>
      <c r="K158" s="41">
        <v>0</v>
      </c>
      <c r="L158" s="41">
        <v>0</v>
      </c>
      <c r="M158" s="41">
        <v>0</v>
      </c>
      <c r="N158" s="42">
        <v>110</v>
      </c>
      <c r="O158" s="42">
        <v>110</v>
      </c>
      <c r="P158" s="42">
        <v>26</v>
      </c>
      <c r="Q158" s="42">
        <v>65</v>
      </c>
      <c r="R158" s="42">
        <v>200</v>
      </c>
      <c r="S158" s="42">
        <v>230</v>
      </c>
      <c r="T158" s="42">
        <v>250</v>
      </c>
      <c r="U158" s="42">
        <v>170</v>
      </c>
      <c r="V158" s="42">
        <v>25</v>
      </c>
      <c r="W158" s="42">
        <v>4</v>
      </c>
      <c r="X158" s="42">
        <v>265</v>
      </c>
      <c r="Y158" s="43">
        <v>130</v>
      </c>
      <c r="Z158" s="43">
        <v>150</v>
      </c>
      <c r="AA158" s="43">
        <v>30</v>
      </c>
      <c r="AB158" s="43">
        <v>95</v>
      </c>
      <c r="AC158" s="43">
        <v>250</v>
      </c>
      <c r="AD158" s="43">
        <v>260</v>
      </c>
      <c r="AE158" s="43">
        <v>280</v>
      </c>
      <c r="AF158" s="43">
        <v>200</v>
      </c>
      <c r="AG158" s="43">
        <v>30</v>
      </c>
      <c r="AH158" s="43">
        <v>6</v>
      </c>
      <c r="AI158" s="43">
        <v>300</v>
      </c>
      <c r="AJ158" s="41">
        <f t="shared" si="21"/>
        <v>6500</v>
      </c>
      <c r="AK158" s="41">
        <f t="shared" si="22"/>
        <v>2250</v>
      </c>
      <c r="AL158" s="41">
        <f t="shared" si="22"/>
        <v>0</v>
      </c>
      <c r="AM158" s="41">
        <f t="shared" si="22"/>
        <v>190</v>
      </c>
      <c r="AN158" s="41">
        <f t="shared" si="22"/>
        <v>750</v>
      </c>
      <c r="AO158" s="41">
        <f t="shared" si="22"/>
        <v>0</v>
      </c>
      <c r="AP158" s="41">
        <f t="shared" si="19"/>
        <v>0</v>
      </c>
      <c r="AQ158" s="41">
        <f t="shared" si="19"/>
        <v>0</v>
      </c>
      <c r="AR158" s="41">
        <f t="shared" si="19"/>
        <v>0</v>
      </c>
      <c r="AS158" s="41">
        <f t="shared" si="19"/>
        <v>0</v>
      </c>
      <c r="AT158" s="41">
        <f t="shared" si="19"/>
        <v>0</v>
      </c>
      <c r="AU158" s="43">
        <f t="shared" si="18"/>
        <v>1000</v>
      </c>
      <c r="AV158" s="43">
        <f t="shared" si="17"/>
        <v>600</v>
      </c>
      <c r="AW158" s="43">
        <f t="shared" si="17"/>
        <v>0</v>
      </c>
      <c r="AX158" s="43">
        <f t="shared" si="17"/>
        <v>60</v>
      </c>
      <c r="AY158" s="43">
        <f t="shared" si="17"/>
        <v>150</v>
      </c>
      <c r="AZ158" s="43">
        <f t="shared" si="17"/>
        <v>0</v>
      </c>
      <c r="BA158" s="43">
        <f t="shared" si="17"/>
        <v>0</v>
      </c>
      <c r="BB158" s="43">
        <f t="shared" si="17"/>
        <v>0</v>
      </c>
      <c r="BC158" s="43">
        <f t="shared" si="16"/>
        <v>0</v>
      </c>
      <c r="BD158" s="43">
        <f t="shared" si="16"/>
        <v>0</v>
      </c>
      <c r="BE158" s="43">
        <f t="shared" si="16"/>
        <v>0</v>
      </c>
      <c r="BF158" s="41">
        <f t="shared" si="23"/>
        <v>1810</v>
      </c>
      <c r="BG158" s="41" t="str">
        <f t="array" ref="BG158">_xlfn.IFS(
OR(MONTH(A158)=11,MONTH(A158)=12,MONTH(A158)=1,MONTH(A158)=2),"Winter",
OR(MONTH(A158)=3,MONTH(A158)=4),"Spring",
OR(MONTH(A158)=5,MONTH(A158)=6),"Summer",
OR(MONTH(A158)=7,MONTH(A158)=8,MONTH(A158)=9),"Monsoon",
MONTH(A158)=10,"Autumn/Festive",
TRUE,""
)</f>
        <v>Monsoon</v>
      </c>
    </row>
    <row r="159" spans="1:59" x14ac:dyDescent="0.3">
      <c r="A159" s="39">
        <v>45484</v>
      </c>
      <c r="B159" s="40" t="str">
        <f t="shared" si="20"/>
        <v>July</v>
      </c>
      <c r="C159" s="41">
        <v>58</v>
      </c>
      <c r="D159" s="41">
        <v>0</v>
      </c>
      <c r="E159" s="41">
        <v>0</v>
      </c>
      <c r="F159" s="41">
        <v>0</v>
      </c>
      <c r="G159" s="41">
        <v>12</v>
      </c>
      <c r="H159" s="41">
        <v>0</v>
      </c>
      <c r="I159" s="41">
        <v>0</v>
      </c>
      <c r="J159" s="41">
        <v>0</v>
      </c>
      <c r="K159" s="41">
        <v>0</v>
      </c>
      <c r="L159" s="41">
        <v>0</v>
      </c>
      <c r="M159" s="41">
        <v>1</v>
      </c>
      <c r="N159" s="42">
        <v>110</v>
      </c>
      <c r="O159" s="42">
        <v>110</v>
      </c>
      <c r="P159" s="42">
        <v>26</v>
      </c>
      <c r="Q159" s="42">
        <v>65</v>
      </c>
      <c r="R159" s="42">
        <v>200</v>
      </c>
      <c r="S159" s="42">
        <v>230</v>
      </c>
      <c r="T159" s="42">
        <v>250</v>
      </c>
      <c r="U159" s="42">
        <v>170</v>
      </c>
      <c r="V159" s="42">
        <v>25</v>
      </c>
      <c r="W159" s="42">
        <v>4</v>
      </c>
      <c r="X159" s="42">
        <v>265</v>
      </c>
      <c r="Y159" s="43">
        <v>130</v>
      </c>
      <c r="Z159" s="43">
        <v>150</v>
      </c>
      <c r="AA159" s="43">
        <v>30</v>
      </c>
      <c r="AB159" s="43">
        <v>95</v>
      </c>
      <c r="AC159" s="43">
        <v>250</v>
      </c>
      <c r="AD159" s="43">
        <v>260</v>
      </c>
      <c r="AE159" s="43">
        <v>280</v>
      </c>
      <c r="AF159" s="43">
        <v>200</v>
      </c>
      <c r="AG159" s="43">
        <v>30</v>
      </c>
      <c r="AH159" s="43">
        <v>6</v>
      </c>
      <c r="AI159" s="43">
        <v>300</v>
      </c>
      <c r="AJ159" s="41">
        <f t="shared" si="21"/>
        <v>7540</v>
      </c>
      <c r="AK159" s="41">
        <f t="shared" si="22"/>
        <v>0</v>
      </c>
      <c r="AL159" s="41">
        <f t="shared" si="22"/>
        <v>0</v>
      </c>
      <c r="AM159" s="41">
        <f t="shared" si="22"/>
        <v>0</v>
      </c>
      <c r="AN159" s="41">
        <f t="shared" si="22"/>
        <v>3000</v>
      </c>
      <c r="AO159" s="41">
        <f t="shared" si="22"/>
        <v>0</v>
      </c>
      <c r="AP159" s="41">
        <f t="shared" si="19"/>
        <v>0</v>
      </c>
      <c r="AQ159" s="41">
        <f t="shared" si="19"/>
        <v>0</v>
      </c>
      <c r="AR159" s="41">
        <f t="shared" si="19"/>
        <v>0</v>
      </c>
      <c r="AS159" s="41">
        <f t="shared" si="19"/>
        <v>0</v>
      </c>
      <c r="AT159" s="41">
        <f t="shared" si="19"/>
        <v>300</v>
      </c>
      <c r="AU159" s="43">
        <f t="shared" si="18"/>
        <v>1160</v>
      </c>
      <c r="AV159" s="43">
        <f t="shared" si="17"/>
        <v>0</v>
      </c>
      <c r="AW159" s="43">
        <f t="shared" si="17"/>
        <v>0</v>
      </c>
      <c r="AX159" s="43">
        <f t="shared" si="17"/>
        <v>0</v>
      </c>
      <c r="AY159" s="43">
        <f t="shared" si="17"/>
        <v>600</v>
      </c>
      <c r="AZ159" s="43">
        <f t="shared" si="17"/>
        <v>0</v>
      </c>
      <c r="BA159" s="43">
        <f t="shared" si="17"/>
        <v>0</v>
      </c>
      <c r="BB159" s="43">
        <f t="shared" si="17"/>
        <v>0</v>
      </c>
      <c r="BC159" s="43">
        <f t="shared" si="16"/>
        <v>0</v>
      </c>
      <c r="BD159" s="43">
        <f t="shared" si="16"/>
        <v>0</v>
      </c>
      <c r="BE159" s="43">
        <f t="shared" si="16"/>
        <v>35</v>
      </c>
      <c r="BF159" s="41">
        <f t="shared" si="23"/>
        <v>1795</v>
      </c>
      <c r="BG159" s="41" t="str">
        <f t="array" ref="BG159">_xlfn.IFS(
OR(MONTH(A159)=11,MONTH(A159)=12,MONTH(A159)=1,MONTH(A159)=2),"Winter",
OR(MONTH(A159)=3,MONTH(A159)=4),"Spring",
OR(MONTH(A159)=5,MONTH(A159)=6),"Summer",
OR(MONTH(A159)=7,MONTH(A159)=8,MONTH(A159)=9),"Monsoon",
MONTH(A159)=10,"Autumn/Festive",
TRUE,""
)</f>
        <v>Monsoon</v>
      </c>
    </row>
    <row r="160" spans="1:59" x14ac:dyDescent="0.3">
      <c r="A160" s="39">
        <v>45485</v>
      </c>
      <c r="B160" s="40" t="str">
        <f t="shared" si="20"/>
        <v>July</v>
      </c>
      <c r="C160" s="41">
        <v>25</v>
      </c>
      <c r="D160" s="41">
        <v>9</v>
      </c>
      <c r="E160" s="41">
        <v>0</v>
      </c>
      <c r="F160" s="41">
        <v>2</v>
      </c>
      <c r="G160" s="41">
        <v>0</v>
      </c>
      <c r="H160" s="41">
        <v>0</v>
      </c>
      <c r="I160" s="41">
        <v>0</v>
      </c>
      <c r="J160" s="41">
        <v>0</v>
      </c>
      <c r="K160" s="41">
        <v>0</v>
      </c>
      <c r="L160" s="41">
        <v>0</v>
      </c>
      <c r="M160" s="41">
        <v>0</v>
      </c>
      <c r="N160" s="42">
        <v>110</v>
      </c>
      <c r="O160" s="42">
        <v>110</v>
      </c>
      <c r="P160" s="42">
        <v>26</v>
      </c>
      <c r="Q160" s="42">
        <v>65</v>
      </c>
      <c r="R160" s="42">
        <v>200</v>
      </c>
      <c r="S160" s="42">
        <v>230</v>
      </c>
      <c r="T160" s="42">
        <v>250</v>
      </c>
      <c r="U160" s="42">
        <v>170</v>
      </c>
      <c r="V160" s="42">
        <v>25</v>
      </c>
      <c r="W160" s="42">
        <v>4</v>
      </c>
      <c r="X160" s="42">
        <v>265</v>
      </c>
      <c r="Y160" s="43">
        <v>130</v>
      </c>
      <c r="Z160" s="43">
        <v>150</v>
      </c>
      <c r="AA160" s="43">
        <v>30</v>
      </c>
      <c r="AB160" s="43">
        <v>95</v>
      </c>
      <c r="AC160" s="43">
        <v>250</v>
      </c>
      <c r="AD160" s="43">
        <v>260</v>
      </c>
      <c r="AE160" s="43">
        <v>280</v>
      </c>
      <c r="AF160" s="43">
        <v>200</v>
      </c>
      <c r="AG160" s="43">
        <v>30</v>
      </c>
      <c r="AH160" s="43">
        <v>6</v>
      </c>
      <c r="AI160" s="43">
        <v>300</v>
      </c>
      <c r="AJ160" s="41">
        <f t="shared" si="21"/>
        <v>3250</v>
      </c>
      <c r="AK160" s="41">
        <f t="shared" si="22"/>
        <v>1350</v>
      </c>
      <c r="AL160" s="41">
        <f t="shared" si="22"/>
        <v>0</v>
      </c>
      <c r="AM160" s="41">
        <f t="shared" si="22"/>
        <v>190</v>
      </c>
      <c r="AN160" s="41">
        <f t="shared" si="22"/>
        <v>0</v>
      </c>
      <c r="AO160" s="41">
        <f t="shared" si="22"/>
        <v>0</v>
      </c>
      <c r="AP160" s="41">
        <f t="shared" si="19"/>
        <v>0</v>
      </c>
      <c r="AQ160" s="41">
        <f t="shared" si="19"/>
        <v>0</v>
      </c>
      <c r="AR160" s="41">
        <f t="shared" si="19"/>
        <v>0</v>
      </c>
      <c r="AS160" s="41">
        <f t="shared" si="19"/>
        <v>0</v>
      </c>
      <c r="AT160" s="41">
        <f t="shared" si="19"/>
        <v>0</v>
      </c>
      <c r="AU160" s="43">
        <f t="shared" si="18"/>
        <v>500</v>
      </c>
      <c r="AV160" s="43">
        <f t="shared" si="17"/>
        <v>360</v>
      </c>
      <c r="AW160" s="43">
        <f t="shared" si="17"/>
        <v>0</v>
      </c>
      <c r="AX160" s="43">
        <f t="shared" si="17"/>
        <v>60</v>
      </c>
      <c r="AY160" s="43">
        <f t="shared" si="17"/>
        <v>0</v>
      </c>
      <c r="AZ160" s="43">
        <f t="shared" si="17"/>
        <v>0</v>
      </c>
      <c r="BA160" s="43">
        <f t="shared" si="17"/>
        <v>0</v>
      </c>
      <c r="BB160" s="43">
        <f t="shared" si="17"/>
        <v>0</v>
      </c>
      <c r="BC160" s="43">
        <f t="shared" si="16"/>
        <v>0</v>
      </c>
      <c r="BD160" s="43">
        <f t="shared" si="16"/>
        <v>0</v>
      </c>
      <c r="BE160" s="43">
        <f t="shared" si="16"/>
        <v>0</v>
      </c>
      <c r="BF160" s="41">
        <f t="shared" si="23"/>
        <v>920</v>
      </c>
      <c r="BG160" s="41" t="str">
        <f t="array" ref="BG160">_xlfn.IFS(
OR(MONTH(A160)=11,MONTH(A160)=12,MONTH(A160)=1,MONTH(A160)=2),"Winter",
OR(MONTH(A160)=3,MONTH(A160)=4),"Spring",
OR(MONTH(A160)=5,MONTH(A160)=6),"Summer",
OR(MONTH(A160)=7,MONTH(A160)=8,MONTH(A160)=9),"Monsoon",
MONTH(A160)=10,"Autumn/Festive",
TRUE,""
)</f>
        <v>Monsoon</v>
      </c>
    </row>
    <row r="161" spans="1:59" x14ac:dyDescent="0.3">
      <c r="A161" s="39">
        <v>45486</v>
      </c>
      <c r="B161" s="40" t="str">
        <f t="shared" si="20"/>
        <v>July</v>
      </c>
      <c r="C161" s="41">
        <v>25</v>
      </c>
      <c r="D161" s="41">
        <v>0</v>
      </c>
      <c r="E161" s="41">
        <v>0</v>
      </c>
      <c r="F161" s="41">
        <v>0</v>
      </c>
      <c r="G161" s="41">
        <v>6</v>
      </c>
      <c r="H161" s="41">
        <v>0</v>
      </c>
      <c r="I161" s="41">
        <v>0</v>
      </c>
      <c r="J161" s="41">
        <v>0</v>
      </c>
      <c r="K161" s="41">
        <v>0</v>
      </c>
      <c r="L161" s="41">
        <v>0</v>
      </c>
      <c r="M161" s="41">
        <v>0</v>
      </c>
      <c r="N161" s="42">
        <v>110</v>
      </c>
      <c r="O161" s="42">
        <v>110</v>
      </c>
      <c r="P161" s="42">
        <v>26</v>
      </c>
      <c r="Q161" s="42">
        <v>65</v>
      </c>
      <c r="R161" s="42">
        <v>200</v>
      </c>
      <c r="S161" s="42">
        <v>230</v>
      </c>
      <c r="T161" s="42">
        <v>250</v>
      </c>
      <c r="U161" s="42">
        <v>170</v>
      </c>
      <c r="V161" s="42">
        <v>25</v>
      </c>
      <c r="W161" s="42">
        <v>4</v>
      </c>
      <c r="X161" s="42">
        <v>265</v>
      </c>
      <c r="Y161" s="43">
        <v>130</v>
      </c>
      <c r="Z161" s="43">
        <v>150</v>
      </c>
      <c r="AA161" s="43">
        <v>30</v>
      </c>
      <c r="AB161" s="43">
        <v>95</v>
      </c>
      <c r="AC161" s="43">
        <v>250</v>
      </c>
      <c r="AD161" s="43">
        <v>260</v>
      </c>
      <c r="AE161" s="43">
        <v>280</v>
      </c>
      <c r="AF161" s="43">
        <v>200</v>
      </c>
      <c r="AG161" s="43">
        <v>30</v>
      </c>
      <c r="AH161" s="43">
        <v>6</v>
      </c>
      <c r="AI161" s="43">
        <v>300</v>
      </c>
      <c r="AJ161" s="41">
        <f t="shared" si="21"/>
        <v>3250</v>
      </c>
      <c r="AK161" s="41">
        <f t="shared" si="22"/>
        <v>0</v>
      </c>
      <c r="AL161" s="41">
        <f t="shared" si="22"/>
        <v>0</v>
      </c>
      <c r="AM161" s="41">
        <f t="shared" si="22"/>
        <v>0</v>
      </c>
      <c r="AN161" s="41">
        <f t="shared" si="22"/>
        <v>1500</v>
      </c>
      <c r="AO161" s="41">
        <f t="shared" si="22"/>
        <v>0</v>
      </c>
      <c r="AP161" s="41">
        <f t="shared" si="19"/>
        <v>0</v>
      </c>
      <c r="AQ161" s="41">
        <f t="shared" si="19"/>
        <v>0</v>
      </c>
      <c r="AR161" s="41">
        <f t="shared" si="19"/>
        <v>0</v>
      </c>
      <c r="AS161" s="41">
        <f t="shared" si="19"/>
        <v>0</v>
      </c>
      <c r="AT161" s="41">
        <f t="shared" si="19"/>
        <v>0</v>
      </c>
      <c r="AU161" s="43">
        <f t="shared" si="18"/>
        <v>500</v>
      </c>
      <c r="AV161" s="43">
        <f t="shared" si="17"/>
        <v>0</v>
      </c>
      <c r="AW161" s="43">
        <f t="shared" si="17"/>
        <v>0</v>
      </c>
      <c r="AX161" s="43">
        <f t="shared" si="17"/>
        <v>0</v>
      </c>
      <c r="AY161" s="43">
        <f t="shared" si="17"/>
        <v>300</v>
      </c>
      <c r="AZ161" s="43">
        <f t="shared" si="17"/>
        <v>0</v>
      </c>
      <c r="BA161" s="43">
        <f t="shared" si="17"/>
        <v>0</v>
      </c>
      <c r="BB161" s="43">
        <f t="shared" si="17"/>
        <v>0</v>
      </c>
      <c r="BC161" s="43">
        <f t="shared" si="17"/>
        <v>0</v>
      </c>
      <c r="BD161" s="43">
        <f t="shared" si="17"/>
        <v>0</v>
      </c>
      <c r="BE161" s="43">
        <f t="shared" si="17"/>
        <v>0</v>
      </c>
      <c r="BF161" s="41">
        <f t="shared" si="23"/>
        <v>800</v>
      </c>
      <c r="BG161" s="41" t="str">
        <f t="array" ref="BG161">_xlfn.IFS(
OR(MONTH(A161)=11,MONTH(A161)=12,MONTH(A161)=1,MONTH(A161)=2),"Winter",
OR(MONTH(A161)=3,MONTH(A161)=4),"Spring",
OR(MONTH(A161)=5,MONTH(A161)=6),"Summer",
OR(MONTH(A161)=7,MONTH(A161)=8,MONTH(A161)=9),"Monsoon",
MONTH(A161)=10,"Autumn/Festive",
TRUE,""
)</f>
        <v>Monsoon</v>
      </c>
    </row>
    <row r="162" spans="1:59" x14ac:dyDescent="0.3">
      <c r="A162" s="39">
        <v>45487</v>
      </c>
      <c r="B162" s="40" t="str">
        <f t="shared" si="20"/>
        <v>July</v>
      </c>
      <c r="C162" s="41">
        <v>31</v>
      </c>
      <c r="D162" s="41">
        <v>0</v>
      </c>
      <c r="E162" s="41">
        <v>0</v>
      </c>
      <c r="F162" s="41">
        <v>4</v>
      </c>
      <c r="G162" s="41">
        <v>4</v>
      </c>
      <c r="H162" s="41">
        <v>0</v>
      </c>
      <c r="I162" s="41">
        <v>0</v>
      </c>
      <c r="J162" s="41">
        <v>0</v>
      </c>
      <c r="K162" s="41">
        <v>0</v>
      </c>
      <c r="L162" s="41">
        <v>0</v>
      </c>
      <c r="M162" s="41">
        <v>0</v>
      </c>
      <c r="N162" s="42">
        <v>110</v>
      </c>
      <c r="O162" s="42">
        <v>110</v>
      </c>
      <c r="P162" s="42">
        <v>26</v>
      </c>
      <c r="Q162" s="42">
        <v>65</v>
      </c>
      <c r="R162" s="42">
        <v>200</v>
      </c>
      <c r="S162" s="42">
        <v>230</v>
      </c>
      <c r="T162" s="42">
        <v>250</v>
      </c>
      <c r="U162" s="42">
        <v>170</v>
      </c>
      <c r="V162" s="42">
        <v>25</v>
      </c>
      <c r="W162" s="42">
        <v>4</v>
      </c>
      <c r="X162" s="42">
        <v>265</v>
      </c>
      <c r="Y162" s="43">
        <v>130</v>
      </c>
      <c r="Z162" s="43">
        <v>150</v>
      </c>
      <c r="AA162" s="43">
        <v>30</v>
      </c>
      <c r="AB162" s="43">
        <v>95</v>
      </c>
      <c r="AC162" s="43">
        <v>250</v>
      </c>
      <c r="AD162" s="43">
        <v>260</v>
      </c>
      <c r="AE162" s="43">
        <v>280</v>
      </c>
      <c r="AF162" s="43">
        <v>200</v>
      </c>
      <c r="AG162" s="43">
        <v>30</v>
      </c>
      <c r="AH162" s="43">
        <v>6</v>
      </c>
      <c r="AI162" s="43">
        <v>300</v>
      </c>
      <c r="AJ162" s="41">
        <f t="shared" si="21"/>
        <v>4030</v>
      </c>
      <c r="AK162" s="41">
        <f t="shared" si="22"/>
        <v>0</v>
      </c>
      <c r="AL162" s="41">
        <f t="shared" si="22"/>
        <v>0</v>
      </c>
      <c r="AM162" s="41">
        <f t="shared" si="22"/>
        <v>380</v>
      </c>
      <c r="AN162" s="41">
        <f t="shared" si="22"/>
        <v>1000</v>
      </c>
      <c r="AO162" s="41">
        <f t="shared" si="22"/>
        <v>0</v>
      </c>
      <c r="AP162" s="41">
        <f t="shared" si="19"/>
        <v>0</v>
      </c>
      <c r="AQ162" s="41">
        <f t="shared" si="19"/>
        <v>0</v>
      </c>
      <c r="AR162" s="41">
        <f t="shared" si="19"/>
        <v>0</v>
      </c>
      <c r="AS162" s="41">
        <f t="shared" si="19"/>
        <v>0</v>
      </c>
      <c r="AT162" s="41">
        <f t="shared" si="19"/>
        <v>0</v>
      </c>
      <c r="AU162" s="43">
        <f t="shared" si="18"/>
        <v>620</v>
      </c>
      <c r="AV162" s="43">
        <f t="shared" si="18"/>
        <v>0</v>
      </c>
      <c r="AW162" s="43">
        <f t="shared" si="18"/>
        <v>0</v>
      </c>
      <c r="AX162" s="43">
        <f t="shared" si="18"/>
        <v>120</v>
      </c>
      <c r="AY162" s="43">
        <f t="shared" si="18"/>
        <v>200</v>
      </c>
      <c r="AZ162" s="43">
        <f t="shared" si="18"/>
        <v>0</v>
      </c>
      <c r="BA162" s="43">
        <f t="shared" si="18"/>
        <v>0</v>
      </c>
      <c r="BB162" s="43">
        <f t="shared" si="18"/>
        <v>0</v>
      </c>
      <c r="BC162" s="43">
        <f t="shared" si="18"/>
        <v>0</v>
      </c>
      <c r="BD162" s="43">
        <f t="shared" si="18"/>
        <v>0</v>
      </c>
      <c r="BE162" s="43">
        <f t="shared" si="18"/>
        <v>0</v>
      </c>
      <c r="BF162" s="41">
        <f t="shared" si="23"/>
        <v>940</v>
      </c>
      <c r="BG162" s="41" t="str">
        <f t="array" ref="BG162">_xlfn.IFS(
OR(MONTH(A162)=11,MONTH(A162)=12,MONTH(A162)=1,MONTH(A162)=2),"Winter",
OR(MONTH(A162)=3,MONTH(A162)=4),"Spring",
OR(MONTH(A162)=5,MONTH(A162)=6),"Summer",
OR(MONTH(A162)=7,MONTH(A162)=8,MONTH(A162)=9),"Monsoon",
MONTH(A162)=10,"Autumn/Festive",
TRUE,""
)</f>
        <v>Monsoon</v>
      </c>
    </row>
    <row r="163" spans="1:59" x14ac:dyDescent="0.3">
      <c r="A163" s="39">
        <v>45488</v>
      </c>
      <c r="B163" s="40" t="str">
        <f t="shared" si="20"/>
        <v>July</v>
      </c>
      <c r="C163" s="41">
        <v>53</v>
      </c>
      <c r="D163" s="41">
        <v>0</v>
      </c>
      <c r="E163" s="41">
        <v>0</v>
      </c>
      <c r="F163" s="41">
        <v>0</v>
      </c>
      <c r="G163" s="41">
        <v>0</v>
      </c>
      <c r="H163" s="41">
        <v>0</v>
      </c>
      <c r="I163" s="41">
        <v>0</v>
      </c>
      <c r="J163" s="41">
        <v>0</v>
      </c>
      <c r="K163" s="41">
        <v>0</v>
      </c>
      <c r="L163" s="41">
        <v>0</v>
      </c>
      <c r="M163" s="41">
        <v>0</v>
      </c>
      <c r="N163" s="42">
        <v>110</v>
      </c>
      <c r="O163" s="42">
        <v>110</v>
      </c>
      <c r="P163" s="42">
        <v>26</v>
      </c>
      <c r="Q163" s="42">
        <v>65</v>
      </c>
      <c r="R163" s="42">
        <v>200</v>
      </c>
      <c r="S163" s="42">
        <v>230</v>
      </c>
      <c r="T163" s="42">
        <v>250</v>
      </c>
      <c r="U163" s="42">
        <v>170</v>
      </c>
      <c r="V163" s="42">
        <v>25</v>
      </c>
      <c r="W163" s="42">
        <v>4</v>
      </c>
      <c r="X163" s="42">
        <v>265</v>
      </c>
      <c r="Y163" s="43">
        <v>130</v>
      </c>
      <c r="Z163" s="43">
        <v>150</v>
      </c>
      <c r="AA163" s="43">
        <v>30</v>
      </c>
      <c r="AB163" s="43">
        <v>95</v>
      </c>
      <c r="AC163" s="43">
        <v>250</v>
      </c>
      <c r="AD163" s="43">
        <v>260</v>
      </c>
      <c r="AE163" s="43">
        <v>280</v>
      </c>
      <c r="AF163" s="43">
        <v>200</v>
      </c>
      <c r="AG163" s="43">
        <v>30</v>
      </c>
      <c r="AH163" s="43">
        <v>6</v>
      </c>
      <c r="AI163" s="43">
        <v>300</v>
      </c>
      <c r="AJ163" s="41">
        <f t="shared" si="21"/>
        <v>6890</v>
      </c>
      <c r="AK163" s="41">
        <f t="shared" si="22"/>
        <v>0</v>
      </c>
      <c r="AL163" s="41">
        <f t="shared" si="22"/>
        <v>0</v>
      </c>
      <c r="AM163" s="41">
        <f t="shared" si="22"/>
        <v>0</v>
      </c>
      <c r="AN163" s="41">
        <f t="shared" si="22"/>
        <v>0</v>
      </c>
      <c r="AO163" s="41">
        <f t="shared" si="22"/>
        <v>0</v>
      </c>
      <c r="AP163" s="41">
        <f t="shared" si="19"/>
        <v>0</v>
      </c>
      <c r="AQ163" s="41">
        <f t="shared" si="19"/>
        <v>0</v>
      </c>
      <c r="AR163" s="41">
        <f t="shared" si="19"/>
        <v>0</v>
      </c>
      <c r="AS163" s="41">
        <f t="shared" si="19"/>
        <v>0</v>
      </c>
      <c r="AT163" s="41">
        <f t="shared" si="19"/>
        <v>0</v>
      </c>
      <c r="AU163" s="43">
        <f t="shared" si="18"/>
        <v>1060</v>
      </c>
      <c r="AV163" s="43">
        <f t="shared" si="18"/>
        <v>0</v>
      </c>
      <c r="AW163" s="43">
        <f t="shared" si="18"/>
        <v>0</v>
      </c>
      <c r="AX163" s="43">
        <f t="shared" si="18"/>
        <v>0</v>
      </c>
      <c r="AY163" s="43">
        <f t="shared" si="18"/>
        <v>0</v>
      </c>
      <c r="AZ163" s="43">
        <f t="shared" si="18"/>
        <v>0</v>
      </c>
      <c r="BA163" s="43">
        <f t="shared" si="18"/>
        <v>0</v>
      </c>
      <c r="BB163" s="43">
        <f t="shared" si="18"/>
        <v>0</v>
      </c>
      <c r="BC163" s="43">
        <f t="shared" si="18"/>
        <v>0</v>
      </c>
      <c r="BD163" s="43">
        <f t="shared" si="18"/>
        <v>0</v>
      </c>
      <c r="BE163" s="43">
        <f t="shared" si="18"/>
        <v>0</v>
      </c>
      <c r="BF163" s="41">
        <f t="shared" si="23"/>
        <v>1060</v>
      </c>
      <c r="BG163" s="41" t="str">
        <f t="array" ref="BG163">_xlfn.IFS(
OR(MONTH(A163)=11,MONTH(A163)=12,MONTH(A163)=1,MONTH(A163)=2),"Winter",
OR(MONTH(A163)=3,MONTH(A163)=4),"Spring",
OR(MONTH(A163)=5,MONTH(A163)=6),"Summer",
OR(MONTH(A163)=7,MONTH(A163)=8,MONTH(A163)=9),"Monsoon",
MONTH(A163)=10,"Autumn/Festive",
TRUE,""
)</f>
        <v>Monsoon</v>
      </c>
    </row>
    <row r="164" spans="1:59" x14ac:dyDescent="0.3">
      <c r="A164" s="39">
        <v>45489</v>
      </c>
      <c r="B164" s="40" t="str">
        <f t="shared" si="20"/>
        <v>July</v>
      </c>
      <c r="C164" s="41">
        <v>80</v>
      </c>
      <c r="D164" s="41">
        <v>3</v>
      </c>
      <c r="E164" s="41">
        <v>0</v>
      </c>
      <c r="F164" s="41">
        <v>14</v>
      </c>
      <c r="G164" s="41">
        <v>0</v>
      </c>
      <c r="H164" s="41">
        <v>0</v>
      </c>
      <c r="I164" s="41">
        <v>0</v>
      </c>
      <c r="J164" s="41">
        <v>0</v>
      </c>
      <c r="K164" s="41">
        <v>0</v>
      </c>
      <c r="L164" s="41">
        <v>0</v>
      </c>
      <c r="M164" s="41">
        <v>0</v>
      </c>
      <c r="N164" s="42">
        <v>110</v>
      </c>
      <c r="O164" s="42">
        <v>110</v>
      </c>
      <c r="P164" s="42">
        <v>26</v>
      </c>
      <c r="Q164" s="42">
        <v>65</v>
      </c>
      <c r="R164" s="42">
        <v>200</v>
      </c>
      <c r="S164" s="42">
        <v>230</v>
      </c>
      <c r="T164" s="42">
        <v>250</v>
      </c>
      <c r="U164" s="42">
        <v>170</v>
      </c>
      <c r="V164" s="42">
        <v>25</v>
      </c>
      <c r="W164" s="42">
        <v>4</v>
      </c>
      <c r="X164" s="42">
        <v>265</v>
      </c>
      <c r="Y164" s="43">
        <v>130</v>
      </c>
      <c r="Z164" s="43">
        <v>150</v>
      </c>
      <c r="AA164" s="43">
        <v>30</v>
      </c>
      <c r="AB164" s="43">
        <v>95</v>
      </c>
      <c r="AC164" s="43">
        <v>250</v>
      </c>
      <c r="AD164" s="43">
        <v>260</v>
      </c>
      <c r="AE164" s="43">
        <v>280</v>
      </c>
      <c r="AF164" s="43">
        <v>200</v>
      </c>
      <c r="AG164" s="43">
        <v>30</v>
      </c>
      <c r="AH164" s="43">
        <v>6</v>
      </c>
      <c r="AI164" s="43">
        <v>300</v>
      </c>
      <c r="AJ164" s="41">
        <f t="shared" si="21"/>
        <v>10400</v>
      </c>
      <c r="AK164" s="41">
        <f t="shared" si="22"/>
        <v>450</v>
      </c>
      <c r="AL164" s="41">
        <f t="shared" si="22"/>
        <v>0</v>
      </c>
      <c r="AM164" s="41">
        <f t="shared" si="22"/>
        <v>1330</v>
      </c>
      <c r="AN164" s="41">
        <f t="shared" si="22"/>
        <v>0</v>
      </c>
      <c r="AO164" s="41">
        <f t="shared" si="22"/>
        <v>0</v>
      </c>
      <c r="AP164" s="41">
        <f t="shared" si="19"/>
        <v>0</v>
      </c>
      <c r="AQ164" s="41">
        <f t="shared" si="19"/>
        <v>0</v>
      </c>
      <c r="AR164" s="41">
        <f t="shared" si="19"/>
        <v>0</v>
      </c>
      <c r="AS164" s="41">
        <f t="shared" si="19"/>
        <v>0</v>
      </c>
      <c r="AT164" s="41">
        <f t="shared" si="19"/>
        <v>0</v>
      </c>
      <c r="AU164" s="43">
        <f t="shared" si="18"/>
        <v>1600</v>
      </c>
      <c r="AV164" s="43">
        <f t="shared" si="18"/>
        <v>120</v>
      </c>
      <c r="AW164" s="43">
        <f t="shared" si="18"/>
        <v>0</v>
      </c>
      <c r="AX164" s="43">
        <f t="shared" si="18"/>
        <v>420</v>
      </c>
      <c r="AY164" s="43">
        <f t="shared" si="18"/>
        <v>0</v>
      </c>
      <c r="AZ164" s="43">
        <f t="shared" si="18"/>
        <v>0</v>
      </c>
      <c r="BA164" s="43">
        <f t="shared" si="18"/>
        <v>0</v>
      </c>
      <c r="BB164" s="43">
        <f t="shared" si="18"/>
        <v>0</v>
      </c>
      <c r="BC164" s="43">
        <f t="shared" si="18"/>
        <v>0</v>
      </c>
      <c r="BD164" s="43">
        <f t="shared" si="18"/>
        <v>0</v>
      </c>
      <c r="BE164" s="43">
        <f t="shared" si="18"/>
        <v>0</v>
      </c>
      <c r="BF164" s="41">
        <f t="shared" si="23"/>
        <v>2140</v>
      </c>
      <c r="BG164" s="41" t="str">
        <f t="array" ref="BG164">_xlfn.IFS(
OR(MONTH(A164)=11,MONTH(A164)=12,MONTH(A164)=1,MONTH(A164)=2),"Winter",
OR(MONTH(A164)=3,MONTH(A164)=4),"Spring",
OR(MONTH(A164)=5,MONTH(A164)=6),"Summer",
OR(MONTH(A164)=7,MONTH(A164)=8,MONTH(A164)=9),"Monsoon",
MONTH(A164)=10,"Autumn/Festive",
TRUE,""
)</f>
        <v>Monsoon</v>
      </c>
    </row>
    <row r="165" spans="1:59" x14ac:dyDescent="0.3">
      <c r="A165" s="39">
        <v>45490</v>
      </c>
      <c r="B165" s="40" t="str">
        <f t="shared" si="20"/>
        <v>July</v>
      </c>
      <c r="C165" s="41">
        <v>24</v>
      </c>
      <c r="D165" s="41">
        <v>3</v>
      </c>
      <c r="E165" s="41">
        <v>0</v>
      </c>
      <c r="F165" s="41">
        <v>8</v>
      </c>
      <c r="G165" s="41">
        <v>4</v>
      </c>
      <c r="H165" s="41">
        <v>0</v>
      </c>
      <c r="I165" s="41">
        <v>0</v>
      </c>
      <c r="J165" s="41">
        <v>0</v>
      </c>
      <c r="K165" s="41">
        <v>0</v>
      </c>
      <c r="L165" s="41">
        <v>0</v>
      </c>
      <c r="M165" s="41">
        <v>0</v>
      </c>
      <c r="N165" s="42">
        <v>110</v>
      </c>
      <c r="O165" s="42">
        <v>110</v>
      </c>
      <c r="P165" s="42">
        <v>26</v>
      </c>
      <c r="Q165" s="42">
        <v>65</v>
      </c>
      <c r="R165" s="42">
        <v>200</v>
      </c>
      <c r="S165" s="42">
        <v>230</v>
      </c>
      <c r="T165" s="42">
        <v>250</v>
      </c>
      <c r="U165" s="42">
        <v>170</v>
      </c>
      <c r="V165" s="42">
        <v>25</v>
      </c>
      <c r="W165" s="42">
        <v>4</v>
      </c>
      <c r="X165" s="42">
        <v>265</v>
      </c>
      <c r="Y165" s="43">
        <v>130</v>
      </c>
      <c r="Z165" s="43">
        <v>150</v>
      </c>
      <c r="AA165" s="43">
        <v>30</v>
      </c>
      <c r="AB165" s="43">
        <v>95</v>
      </c>
      <c r="AC165" s="43">
        <v>250</v>
      </c>
      <c r="AD165" s="43">
        <v>260</v>
      </c>
      <c r="AE165" s="43">
        <v>280</v>
      </c>
      <c r="AF165" s="43">
        <v>200</v>
      </c>
      <c r="AG165" s="43">
        <v>30</v>
      </c>
      <c r="AH165" s="43">
        <v>6</v>
      </c>
      <c r="AI165" s="43">
        <v>300</v>
      </c>
      <c r="AJ165" s="41">
        <f t="shared" si="21"/>
        <v>3120</v>
      </c>
      <c r="AK165" s="41">
        <f t="shared" si="22"/>
        <v>450</v>
      </c>
      <c r="AL165" s="41">
        <f t="shared" si="22"/>
        <v>0</v>
      </c>
      <c r="AM165" s="41">
        <f t="shared" si="22"/>
        <v>760</v>
      </c>
      <c r="AN165" s="41">
        <f t="shared" si="22"/>
        <v>1000</v>
      </c>
      <c r="AO165" s="41">
        <f t="shared" si="22"/>
        <v>0</v>
      </c>
      <c r="AP165" s="41">
        <f t="shared" si="19"/>
        <v>0</v>
      </c>
      <c r="AQ165" s="41">
        <f t="shared" si="19"/>
        <v>0</v>
      </c>
      <c r="AR165" s="41">
        <f t="shared" si="19"/>
        <v>0</v>
      </c>
      <c r="AS165" s="41">
        <f t="shared" si="19"/>
        <v>0</v>
      </c>
      <c r="AT165" s="41">
        <f t="shared" si="19"/>
        <v>0</v>
      </c>
      <c r="AU165" s="43">
        <f t="shared" si="18"/>
        <v>480</v>
      </c>
      <c r="AV165" s="43">
        <f t="shared" si="18"/>
        <v>120</v>
      </c>
      <c r="AW165" s="43">
        <f t="shared" si="18"/>
        <v>0</v>
      </c>
      <c r="AX165" s="43">
        <f t="shared" si="18"/>
        <v>240</v>
      </c>
      <c r="AY165" s="43">
        <f t="shared" si="18"/>
        <v>200</v>
      </c>
      <c r="AZ165" s="43">
        <f t="shared" si="18"/>
        <v>0</v>
      </c>
      <c r="BA165" s="43">
        <f t="shared" si="18"/>
        <v>0</v>
      </c>
      <c r="BB165" s="43">
        <f t="shared" si="18"/>
        <v>0</v>
      </c>
      <c r="BC165" s="43">
        <f t="shared" si="18"/>
        <v>0</v>
      </c>
      <c r="BD165" s="43">
        <f t="shared" si="18"/>
        <v>0</v>
      </c>
      <c r="BE165" s="43">
        <f t="shared" si="18"/>
        <v>0</v>
      </c>
      <c r="BF165" s="41">
        <f t="shared" si="23"/>
        <v>1040</v>
      </c>
      <c r="BG165" s="41" t="str">
        <f t="array" ref="BG165">_xlfn.IFS(
OR(MONTH(A165)=11,MONTH(A165)=12,MONTH(A165)=1,MONTH(A165)=2),"Winter",
OR(MONTH(A165)=3,MONTH(A165)=4),"Spring",
OR(MONTH(A165)=5,MONTH(A165)=6),"Summer",
OR(MONTH(A165)=7,MONTH(A165)=8,MONTH(A165)=9),"Monsoon",
MONTH(A165)=10,"Autumn/Festive",
TRUE,""
)</f>
        <v>Monsoon</v>
      </c>
    </row>
    <row r="166" spans="1:59" x14ac:dyDescent="0.3">
      <c r="A166" s="39">
        <v>45491</v>
      </c>
      <c r="B166" s="40" t="str">
        <f t="shared" si="20"/>
        <v>July</v>
      </c>
      <c r="C166" s="41">
        <v>38</v>
      </c>
      <c r="D166" s="41">
        <v>0</v>
      </c>
      <c r="E166" s="41">
        <v>0</v>
      </c>
      <c r="F166" s="41">
        <v>5</v>
      </c>
      <c r="G166" s="41">
        <v>3</v>
      </c>
      <c r="H166" s="41">
        <v>0</v>
      </c>
      <c r="I166" s="41">
        <v>0</v>
      </c>
      <c r="J166" s="41">
        <v>0</v>
      </c>
      <c r="K166" s="41">
        <v>0</v>
      </c>
      <c r="L166" s="41">
        <v>0</v>
      </c>
      <c r="M166" s="41">
        <v>0</v>
      </c>
      <c r="N166" s="42">
        <v>110</v>
      </c>
      <c r="O166" s="42">
        <v>110</v>
      </c>
      <c r="P166" s="42">
        <v>26</v>
      </c>
      <c r="Q166" s="42">
        <v>65</v>
      </c>
      <c r="R166" s="42">
        <v>200</v>
      </c>
      <c r="S166" s="42">
        <v>230</v>
      </c>
      <c r="T166" s="42">
        <v>250</v>
      </c>
      <c r="U166" s="42">
        <v>170</v>
      </c>
      <c r="V166" s="42">
        <v>25</v>
      </c>
      <c r="W166" s="42">
        <v>4</v>
      </c>
      <c r="X166" s="42">
        <v>265</v>
      </c>
      <c r="Y166" s="43">
        <v>130</v>
      </c>
      <c r="Z166" s="43">
        <v>150</v>
      </c>
      <c r="AA166" s="43">
        <v>30</v>
      </c>
      <c r="AB166" s="43">
        <v>95</v>
      </c>
      <c r="AC166" s="43">
        <v>250</v>
      </c>
      <c r="AD166" s="43">
        <v>260</v>
      </c>
      <c r="AE166" s="43">
        <v>280</v>
      </c>
      <c r="AF166" s="43">
        <v>200</v>
      </c>
      <c r="AG166" s="43">
        <v>30</v>
      </c>
      <c r="AH166" s="43">
        <v>6</v>
      </c>
      <c r="AI166" s="43">
        <v>300</v>
      </c>
      <c r="AJ166" s="41">
        <f t="shared" si="21"/>
        <v>4940</v>
      </c>
      <c r="AK166" s="41">
        <f t="shared" si="22"/>
        <v>0</v>
      </c>
      <c r="AL166" s="41">
        <f t="shared" si="22"/>
        <v>0</v>
      </c>
      <c r="AM166" s="41">
        <f t="shared" si="22"/>
        <v>475</v>
      </c>
      <c r="AN166" s="41">
        <f t="shared" si="22"/>
        <v>750</v>
      </c>
      <c r="AO166" s="41">
        <f t="shared" si="22"/>
        <v>0</v>
      </c>
      <c r="AP166" s="41">
        <f t="shared" si="19"/>
        <v>0</v>
      </c>
      <c r="AQ166" s="41">
        <f t="shared" si="19"/>
        <v>0</v>
      </c>
      <c r="AR166" s="41">
        <f t="shared" si="19"/>
        <v>0</v>
      </c>
      <c r="AS166" s="41">
        <f t="shared" si="19"/>
        <v>0</v>
      </c>
      <c r="AT166" s="41">
        <f t="shared" si="19"/>
        <v>0</v>
      </c>
      <c r="AU166" s="43">
        <f t="shared" si="18"/>
        <v>760</v>
      </c>
      <c r="AV166" s="43">
        <f t="shared" si="18"/>
        <v>0</v>
      </c>
      <c r="AW166" s="43">
        <f t="shared" si="18"/>
        <v>0</v>
      </c>
      <c r="AX166" s="43">
        <f t="shared" si="18"/>
        <v>150</v>
      </c>
      <c r="AY166" s="43">
        <f t="shared" si="18"/>
        <v>150</v>
      </c>
      <c r="AZ166" s="43">
        <f t="shared" si="18"/>
        <v>0</v>
      </c>
      <c r="BA166" s="43">
        <f t="shared" si="18"/>
        <v>0</v>
      </c>
      <c r="BB166" s="43">
        <f t="shared" si="18"/>
        <v>0</v>
      </c>
      <c r="BC166" s="43">
        <f t="shared" si="18"/>
        <v>0</v>
      </c>
      <c r="BD166" s="43">
        <f t="shared" si="18"/>
        <v>0</v>
      </c>
      <c r="BE166" s="43">
        <f t="shared" si="18"/>
        <v>0</v>
      </c>
      <c r="BF166" s="41">
        <f t="shared" si="23"/>
        <v>1060</v>
      </c>
      <c r="BG166" s="41" t="str">
        <f t="array" ref="BG166">_xlfn.IFS(
OR(MONTH(A166)=11,MONTH(A166)=12,MONTH(A166)=1,MONTH(A166)=2),"Winter",
OR(MONTH(A166)=3,MONTH(A166)=4),"Spring",
OR(MONTH(A166)=5,MONTH(A166)=6),"Summer",
OR(MONTH(A166)=7,MONTH(A166)=8,MONTH(A166)=9),"Monsoon",
MONTH(A166)=10,"Autumn/Festive",
TRUE,""
)</f>
        <v>Monsoon</v>
      </c>
    </row>
    <row r="167" spans="1:59" x14ac:dyDescent="0.3">
      <c r="A167" s="39">
        <v>45492</v>
      </c>
      <c r="B167" s="40" t="str">
        <f t="shared" si="20"/>
        <v>July</v>
      </c>
      <c r="C167" s="41">
        <v>53</v>
      </c>
      <c r="D167" s="41">
        <v>2</v>
      </c>
      <c r="E167" s="41">
        <v>0</v>
      </c>
      <c r="F167" s="41">
        <v>2</v>
      </c>
      <c r="G167" s="41">
        <v>2</v>
      </c>
      <c r="H167" s="41">
        <v>0</v>
      </c>
      <c r="I167" s="41">
        <v>0</v>
      </c>
      <c r="J167" s="41">
        <v>0</v>
      </c>
      <c r="K167" s="41">
        <v>0</v>
      </c>
      <c r="L167" s="41">
        <v>0</v>
      </c>
      <c r="M167" s="41">
        <v>0</v>
      </c>
      <c r="N167" s="42">
        <v>110</v>
      </c>
      <c r="O167" s="42">
        <v>110</v>
      </c>
      <c r="P167" s="42">
        <v>26</v>
      </c>
      <c r="Q167" s="42">
        <v>65</v>
      </c>
      <c r="R167" s="42">
        <v>200</v>
      </c>
      <c r="S167" s="42">
        <v>230</v>
      </c>
      <c r="T167" s="42">
        <v>250</v>
      </c>
      <c r="U167" s="42">
        <v>170</v>
      </c>
      <c r="V167" s="42">
        <v>25</v>
      </c>
      <c r="W167" s="42">
        <v>4</v>
      </c>
      <c r="X167" s="42">
        <v>265</v>
      </c>
      <c r="Y167" s="43">
        <v>130</v>
      </c>
      <c r="Z167" s="43">
        <v>150</v>
      </c>
      <c r="AA167" s="43">
        <v>30</v>
      </c>
      <c r="AB167" s="43">
        <v>95</v>
      </c>
      <c r="AC167" s="43">
        <v>250</v>
      </c>
      <c r="AD167" s="43">
        <v>260</v>
      </c>
      <c r="AE167" s="43">
        <v>280</v>
      </c>
      <c r="AF167" s="43">
        <v>200</v>
      </c>
      <c r="AG167" s="43">
        <v>30</v>
      </c>
      <c r="AH167" s="43">
        <v>6</v>
      </c>
      <c r="AI167" s="43">
        <v>300</v>
      </c>
      <c r="AJ167" s="41">
        <f t="shared" si="21"/>
        <v>6890</v>
      </c>
      <c r="AK167" s="41">
        <f t="shared" si="22"/>
        <v>300</v>
      </c>
      <c r="AL167" s="41">
        <f t="shared" si="22"/>
        <v>0</v>
      </c>
      <c r="AM167" s="41">
        <f t="shared" si="22"/>
        <v>190</v>
      </c>
      <c r="AN167" s="41">
        <f t="shared" si="22"/>
        <v>500</v>
      </c>
      <c r="AO167" s="41">
        <f t="shared" si="22"/>
        <v>0</v>
      </c>
      <c r="AP167" s="41">
        <f t="shared" si="19"/>
        <v>0</v>
      </c>
      <c r="AQ167" s="41">
        <f t="shared" si="19"/>
        <v>0</v>
      </c>
      <c r="AR167" s="41">
        <f t="shared" si="19"/>
        <v>0</v>
      </c>
      <c r="AS167" s="41">
        <f t="shared" si="19"/>
        <v>0</v>
      </c>
      <c r="AT167" s="41">
        <f t="shared" si="19"/>
        <v>0</v>
      </c>
      <c r="AU167" s="43">
        <f t="shared" si="18"/>
        <v>1060</v>
      </c>
      <c r="AV167" s="43">
        <f t="shared" si="18"/>
        <v>80</v>
      </c>
      <c r="AW167" s="43">
        <f t="shared" si="18"/>
        <v>0</v>
      </c>
      <c r="AX167" s="43">
        <f t="shared" si="18"/>
        <v>60</v>
      </c>
      <c r="AY167" s="43">
        <f t="shared" si="18"/>
        <v>100</v>
      </c>
      <c r="AZ167" s="43">
        <f t="shared" si="18"/>
        <v>0</v>
      </c>
      <c r="BA167" s="43">
        <f t="shared" si="18"/>
        <v>0</v>
      </c>
      <c r="BB167" s="43">
        <f t="shared" si="18"/>
        <v>0</v>
      </c>
      <c r="BC167" s="43">
        <f t="shared" si="18"/>
        <v>0</v>
      </c>
      <c r="BD167" s="43">
        <f t="shared" si="18"/>
        <v>0</v>
      </c>
      <c r="BE167" s="43">
        <f t="shared" si="18"/>
        <v>0</v>
      </c>
      <c r="BF167" s="41">
        <f t="shared" si="23"/>
        <v>1300</v>
      </c>
      <c r="BG167" s="41" t="str">
        <f t="array" ref="BG167">_xlfn.IFS(
OR(MONTH(A167)=11,MONTH(A167)=12,MONTH(A167)=1,MONTH(A167)=2),"Winter",
OR(MONTH(A167)=3,MONTH(A167)=4),"Spring",
OR(MONTH(A167)=5,MONTH(A167)=6),"Summer",
OR(MONTH(A167)=7,MONTH(A167)=8,MONTH(A167)=9),"Monsoon",
MONTH(A167)=10,"Autumn/Festive",
TRUE,""
)</f>
        <v>Monsoon</v>
      </c>
    </row>
    <row r="168" spans="1:59" x14ac:dyDescent="0.3">
      <c r="A168" s="39">
        <v>45493</v>
      </c>
      <c r="B168" s="40" t="str">
        <f t="shared" si="20"/>
        <v>July</v>
      </c>
      <c r="C168" s="41">
        <v>67</v>
      </c>
      <c r="D168" s="41">
        <v>9</v>
      </c>
      <c r="E168" s="41">
        <v>0</v>
      </c>
      <c r="F168" s="41">
        <v>0</v>
      </c>
      <c r="G168" s="41">
        <v>4</v>
      </c>
      <c r="H168" s="41">
        <v>0</v>
      </c>
      <c r="I168" s="41">
        <v>0</v>
      </c>
      <c r="J168" s="41">
        <v>0</v>
      </c>
      <c r="K168" s="41">
        <v>0</v>
      </c>
      <c r="L168" s="41">
        <v>0</v>
      </c>
      <c r="M168" s="41">
        <v>0</v>
      </c>
      <c r="N168" s="42">
        <v>110</v>
      </c>
      <c r="O168" s="42">
        <v>110</v>
      </c>
      <c r="P168" s="42">
        <v>26</v>
      </c>
      <c r="Q168" s="42">
        <v>65</v>
      </c>
      <c r="R168" s="42">
        <v>200</v>
      </c>
      <c r="S168" s="42">
        <v>230</v>
      </c>
      <c r="T168" s="42">
        <v>250</v>
      </c>
      <c r="U168" s="42">
        <v>170</v>
      </c>
      <c r="V168" s="42">
        <v>25</v>
      </c>
      <c r="W168" s="42">
        <v>4</v>
      </c>
      <c r="X168" s="42">
        <v>265</v>
      </c>
      <c r="Y168" s="43">
        <v>130</v>
      </c>
      <c r="Z168" s="43">
        <v>150</v>
      </c>
      <c r="AA168" s="43">
        <v>30</v>
      </c>
      <c r="AB168" s="43">
        <v>95</v>
      </c>
      <c r="AC168" s="43">
        <v>250</v>
      </c>
      <c r="AD168" s="43">
        <v>260</v>
      </c>
      <c r="AE168" s="43">
        <v>280</v>
      </c>
      <c r="AF168" s="43">
        <v>200</v>
      </c>
      <c r="AG168" s="43">
        <v>30</v>
      </c>
      <c r="AH168" s="43">
        <v>6</v>
      </c>
      <c r="AI168" s="43">
        <v>300</v>
      </c>
      <c r="AJ168" s="41">
        <f t="shared" si="21"/>
        <v>8710</v>
      </c>
      <c r="AK168" s="41">
        <f t="shared" si="22"/>
        <v>1350</v>
      </c>
      <c r="AL168" s="41">
        <f t="shared" si="22"/>
        <v>0</v>
      </c>
      <c r="AM168" s="41">
        <f t="shared" si="22"/>
        <v>0</v>
      </c>
      <c r="AN168" s="41">
        <f t="shared" si="22"/>
        <v>1000</v>
      </c>
      <c r="AO168" s="41">
        <f t="shared" si="22"/>
        <v>0</v>
      </c>
      <c r="AP168" s="41">
        <f t="shared" si="19"/>
        <v>0</v>
      </c>
      <c r="AQ168" s="41">
        <f t="shared" si="19"/>
        <v>0</v>
      </c>
      <c r="AR168" s="41">
        <f t="shared" si="19"/>
        <v>0</v>
      </c>
      <c r="AS168" s="41">
        <f t="shared" si="19"/>
        <v>0</v>
      </c>
      <c r="AT168" s="41">
        <f t="shared" si="19"/>
        <v>0</v>
      </c>
      <c r="AU168" s="43">
        <f t="shared" si="18"/>
        <v>1340</v>
      </c>
      <c r="AV168" s="43">
        <f t="shared" si="18"/>
        <v>360</v>
      </c>
      <c r="AW168" s="43">
        <f t="shared" si="18"/>
        <v>0</v>
      </c>
      <c r="AX168" s="43">
        <f t="shared" si="18"/>
        <v>0</v>
      </c>
      <c r="AY168" s="43">
        <f t="shared" si="18"/>
        <v>200</v>
      </c>
      <c r="AZ168" s="43">
        <f t="shared" si="18"/>
        <v>0</v>
      </c>
      <c r="BA168" s="43">
        <f t="shared" si="18"/>
        <v>0</v>
      </c>
      <c r="BB168" s="43">
        <f t="shared" si="18"/>
        <v>0</v>
      </c>
      <c r="BC168" s="43">
        <f t="shared" si="18"/>
        <v>0</v>
      </c>
      <c r="BD168" s="43">
        <f t="shared" si="18"/>
        <v>0</v>
      </c>
      <c r="BE168" s="43">
        <f t="shared" si="18"/>
        <v>0</v>
      </c>
      <c r="BF168" s="41">
        <f t="shared" si="23"/>
        <v>1900</v>
      </c>
      <c r="BG168" s="41" t="str">
        <f t="array" ref="BG168">_xlfn.IFS(
OR(MONTH(A168)=11,MONTH(A168)=12,MONTH(A168)=1,MONTH(A168)=2),"Winter",
OR(MONTH(A168)=3,MONTH(A168)=4),"Spring",
OR(MONTH(A168)=5,MONTH(A168)=6),"Summer",
OR(MONTH(A168)=7,MONTH(A168)=8,MONTH(A168)=9),"Monsoon",
MONTH(A168)=10,"Autumn/Festive",
TRUE,""
)</f>
        <v>Monsoon</v>
      </c>
    </row>
    <row r="169" spans="1:59" x14ac:dyDescent="0.3">
      <c r="A169" s="39">
        <v>45494</v>
      </c>
      <c r="B169" s="40" t="str">
        <f t="shared" si="20"/>
        <v>July</v>
      </c>
      <c r="C169" s="41">
        <v>59</v>
      </c>
      <c r="D169" s="41">
        <v>13</v>
      </c>
      <c r="E169" s="41">
        <v>0</v>
      </c>
      <c r="F169" s="41">
        <v>0</v>
      </c>
      <c r="G169" s="41">
        <v>20</v>
      </c>
      <c r="H169" s="41">
        <v>0</v>
      </c>
      <c r="I169" s="41">
        <v>0</v>
      </c>
      <c r="J169" s="41">
        <v>0</v>
      </c>
      <c r="K169" s="41">
        <v>0</v>
      </c>
      <c r="L169" s="41">
        <v>0</v>
      </c>
      <c r="M169" s="41">
        <v>0</v>
      </c>
      <c r="N169" s="42">
        <v>110</v>
      </c>
      <c r="O169" s="42">
        <v>110</v>
      </c>
      <c r="P169" s="42">
        <v>26</v>
      </c>
      <c r="Q169" s="42">
        <v>65</v>
      </c>
      <c r="R169" s="42">
        <v>200</v>
      </c>
      <c r="S169" s="42">
        <v>230</v>
      </c>
      <c r="T169" s="42">
        <v>250</v>
      </c>
      <c r="U169" s="42">
        <v>170</v>
      </c>
      <c r="V169" s="42">
        <v>25</v>
      </c>
      <c r="W169" s="42">
        <v>4</v>
      </c>
      <c r="X169" s="42">
        <v>265</v>
      </c>
      <c r="Y169" s="43">
        <v>130</v>
      </c>
      <c r="Z169" s="43">
        <v>150</v>
      </c>
      <c r="AA169" s="43">
        <v>30</v>
      </c>
      <c r="AB169" s="43">
        <v>95</v>
      </c>
      <c r="AC169" s="43">
        <v>250</v>
      </c>
      <c r="AD169" s="43">
        <v>260</v>
      </c>
      <c r="AE169" s="43">
        <v>280</v>
      </c>
      <c r="AF169" s="43">
        <v>200</v>
      </c>
      <c r="AG169" s="43">
        <v>30</v>
      </c>
      <c r="AH169" s="43">
        <v>6</v>
      </c>
      <c r="AI169" s="43">
        <v>300</v>
      </c>
      <c r="AJ169" s="41">
        <f t="shared" si="21"/>
        <v>7670</v>
      </c>
      <c r="AK169" s="41">
        <f t="shared" si="22"/>
        <v>1950</v>
      </c>
      <c r="AL169" s="41">
        <f t="shared" si="22"/>
        <v>0</v>
      </c>
      <c r="AM169" s="41">
        <f t="shared" si="22"/>
        <v>0</v>
      </c>
      <c r="AN169" s="41">
        <f t="shared" si="22"/>
        <v>5000</v>
      </c>
      <c r="AO169" s="41">
        <f t="shared" si="22"/>
        <v>0</v>
      </c>
      <c r="AP169" s="41">
        <f t="shared" si="19"/>
        <v>0</v>
      </c>
      <c r="AQ169" s="41">
        <f t="shared" si="19"/>
        <v>0</v>
      </c>
      <c r="AR169" s="41">
        <f t="shared" si="19"/>
        <v>0</v>
      </c>
      <c r="AS169" s="41">
        <f t="shared" si="19"/>
        <v>0</v>
      </c>
      <c r="AT169" s="41">
        <f t="shared" si="19"/>
        <v>0</v>
      </c>
      <c r="AU169" s="43">
        <f t="shared" si="18"/>
        <v>1180</v>
      </c>
      <c r="AV169" s="43">
        <f t="shared" si="18"/>
        <v>520</v>
      </c>
      <c r="AW169" s="43">
        <f t="shared" si="18"/>
        <v>0</v>
      </c>
      <c r="AX169" s="43">
        <f t="shared" si="18"/>
        <v>0</v>
      </c>
      <c r="AY169" s="43">
        <f t="shared" si="18"/>
        <v>1000</v>
      </c>
      <c r="AZ169" s="43">
        <f t="shared" si="18"/>
        <v>0</v>
      </c>
      <c r="BA169" s="43">
        <f t="shared" si="18"/>
        <v>0</v>
      </c>
      <c r="BB169" s="43">
        <f t="shared" si="18"/>
        <v>0</v>
      </c>
      <c r="BC169" s="43">
        <f t="shared" si="18"/>
        <v>0</v>
      </c>
      <c r="BD169" s="43">
        <f t="shared" si="18"/>
        <v>0</v>
      </c>
      <c r="BE169" s="43">
        <f t="shared" si="18"/>
        <v>0</v>
      </c>
      <c r="BF169" s="41">
        <f t="shared" si="23"/>
        <v>2700</v>
      </c>
      <c r="BG169" s="41" t="str">
        <f t="array" ref="BG169">_xlfn.IFS(
OR(MONTH(A169)=11,MONTH(A169)=12,MONTH(A169)=1,MONTH(A169)=2),"Winter",
OR(MONTH(A169)=3,MONTH(A169)=4),"Spring",
OR(MONTH(A169)=5,MONTH(A169)=6),"Summer",
OR(MONTH(A169)=7,MONTH(A169)=8,MONTH(A169)=9),"Monsoon",
MONTH(A169)=10,"Autumn/Festive",
TRUE,""
)</f>
        <v>Monsoon</v>
      </c>
    </row>
    <row r="170" spans="1:59" x14ac:dyDescent="0.3">
      <c r="A170" s="39">
        <v>45495</v>
      </c>
      <c r="B170" s="40" t="str">
        <f t="shared" si="20"/>
        <v>July</v>
      </c>
      <c r="C170" s="41">
        <v>90</v>
      </c>
      <c r="D170" s="41">
        <v>2</v>
      </c>
      <c r="E170" s="41">
        <v>0</v>
      </c>
      <c r="F170" s="41">
        <v>0</v>
      </c>
      <c r="G170" s="41">
        <v>10</v>
      </c>
      <c r="H170" s="41">
        <v>0</v>
      </c>
      <c r="I170" s="41">
        <v>0</v>
      </c>
      <c r="J170" s="41">
        <v>0</v>
      </c>
      <c r="K170" s="41">
        <v>0</v>
      </c>
      <c r="L170" s="41">
        <v>0</v>
      </c>
      <c r="M170" s="41">
        <v>0</v>
      </c>
      <c r="N170" s="42">
        <v>110</v>
      </c>
      <c r="O170" s="42">
        <v>110</v>
      </c>
      <c r="P170" s="42">
        <v>26</v>
      </c>
      <c r="Q170" s="42">
        <v>65</v>
      </c>
      <c r="R170" s="42">
        <v>200</v>
      </c>
      <c r="S170" s="42">
        <v>230</v>
      </c>
      <c r="T170" s="42">
        <v>250</v>
      </c>
      <c r="U170" s="42">
        <v>170</v>
      </c>
      <c r="V170" s="42">
        <v>25</v>
      </c>
      <c r="W170" s="42">
        <v>4</v>
      </c>
      <c r="X170" s="42">
        <v>265</v>
      </c>
      <c r="Y170" s="43">
        <v>130</v>
      </c>
      <c r="Z170" s="43">
        <v>150</v>
      </c>
      <c r="AA170" s="43">
        <v>30</v>
      </c>
      <c r="AB170" s="43">
        <v>95</v>
      </c>
      <c r="AC170" s="43">
        <v>250</v>
      </c>
      <c r="AD170" s="43">
        <v>260</v>
      </c>
      <c r="AE170" s="43">
        <v>280</v>
      </c>
      <c r="AF170" s="43">
        <v>200</v>
      </c>
      <c r="AG170" s="43">
        <v>30</v>
      </c>
      <c r="AH170" s="43">
        <v>6</v>
      </c>
      <c r="AI170" s="43">
        <v>300</v>
      </c>
      <c r="AJ170" s="41">
        <f t="shared" si="21"/>
        <v>11700</v>
      </c>
      <c r="AK170" s="41">
        <f t="shared" si="22"/>
        <v>300</v>
      </c>
      <c r="AL170" s="41">
        <f t="shared" si="22"/>
        <v>0</v>
      </c>
      <c r="AM170" s="41">
        <f t="shared" si="22"/>
        <v>0</v>
      </c>
      <c r="AN170" s="41">
        <f t="shared" si="22"/>
        <v>2500</v>
      </c>
      <c r="AO170" s="41">
        <f t="shared" si="22"/>
        <v>0</v>
      </c>
      <c r="AP170" s="41">
        <f t="shared" si="19"/>
        <v>0</v>
      </c>
      <c r="AQ170" s="41">
        <f t="shared" si="19"/>
        <v>0</v>
      </c>
      <c r="AR170" s="41">
        <f t="shared" si="19"/>
        <v>0</v>
      </c>
      <c r="AS170" s="41">
        <f t="shared" si="19"/>
        <v>0</v>
      </c>
      <c r="AT170" s="41">
        <f t="shared" si="19"/>
        <v>0</v>
      </c>
      <c r="AU170" s="43">
        <f t="shared" si="18"/>
        <v>1800</v>
      </c>
      <c r="AV170" s="43">
        <f t="shared" si="18"/>
        <v>80</v>
      </c>
      <c r="AW170" s="43">
        <f t="shared" si="18"/>
        <v>0</v>
      </c>
      <c r="AX170" s="43">
        <f t="shared" si="18"/>
        <v>0</v>
      </c>
      <c r="AY170" s="43">
        <f t="shared" si="18"/>
        <v>500</v>
      </c>
      <c r="AZ170" s="43">
        <f t="shared" si="18"/>
        <v>0</v>
      </c>
      <c r="BA170" s="43">
        <f t="shared" si="18"/>
        <v>0</v>
      </c>
      <c r="BB170" s="43">
        <f t="shared" si="18"/>
        <v>0</v>
      </c>
      <c r="BC170" s="43">
        <f t="shared" si="18"/>
        <v>0</v>
      </c>
      <c r="BD170" s="43">
        <f t="shared" si="18"/>
        <v>0</v>
      </c>
      <c r="BE170" s="43">
        <f t="shared" si="18"/>
        <v>0</v>
      </c>
      <c r="BF170" s="41">
        <f t="shared" si="23"/>
        <v>2380</v>
      </c>
      <c r="BG170" s="41" t="str">
        <f t="array" ref="BG170">_xlfn.IFS(
OR(MONTH(A170)=11,MONTH(A170)=12,MONTH(A170)=1,MONTH(A170)=2),"Winter",
OR(MONTH(A170)=3,MONTH(A170)=4),"Spring",
OR(MONTH(A170)=5,MONTH(A170)=6),"Summer",
OR(MONTH(A170)=7,MONTH(A170)=8,MONTH(A170)=9),"Monsoon",
MONTH(A170)=10,"Autumn/Festive",
TRUE,""
)</f>
        <v>Monsoon</v>
      </c>
    </row>
    <row r="171" spans="1:59" x14ac:dyDescent="0.3">
      <c r="A171" s="39">
        <v>45496</v>
      </c>
      <c r="B171" s="40" t="str">
        <f t="shared" si="20"/>
        <v>July</v>
      </c>
      <c r="C171" s="41">
        <v>45</v>
      </c>
      <c r="D171" s="41">
        <v>9</v>
      </c>
      <c r="E171" s="41">
        <v>0</v>
      </c>
      <c r="F171" s="41">
        <v>0</v>
      </c>
      <c r="G171" s="41">
        <v>14</v>
      </c>
      <c r="H171" s="41">
        <v>0</v>
      </c>
      <c r="I171" s="41">
        <v>0</v>
      </c>
      <c r="J171" s="41">
        <v>0</v>
      </c>
      <c r="K171" s="41">
        <v>0</v>
      </c>
      <c r="L171" s="41">
        <v>0</v>
      </c>
      <c r="M171" s="41">
        <v>0</v>
      </c>
      <c r="N171" s="42">
        <v>110</v>
      </c>
      <c r="O171" s="42">
        <v>110</v>
      </c>
      <c r="P171" s="42">
        <v>26</v>
      </c>
      <c r="Q171" s="42">
        <v>65</v>
      </c>
      <c r="R171" s="42">
        <v>200</v>
      </c>
      <c r="S171" s="42">
        <v>230</v>
      </c>
      <c r="T171" s="42">
        <v>250</v>
      </c>
      <c r="U171" s="42">
        <v>170</v>
      </c>
      <c r="V171" s="42">
        <v>25</v>
      </c>
      <c r="W171" s="42">
        <v>4</v>
      </c>
      <c r="X171" s="42">
        <v>265</v>
      </c>
      <c r="Y171" s="43">
        <v>130</v>
      </c>
      <c r="Z171" s="43">
        <v>150</v>
      </c>
      <c r="AA171" s="43">
        <v>30</v>
      </c>
      <c r="AB171" s="43">
        <v>95</v>
      </c>
      <c r="AC171" s="43">
        <v>250</v>
      </c>
      <c r="AD171" s="43">
        <v>260</v>
      </c>
      <c r="AE171" s="43">
        <v>280</v>
      </c>
      <c r="AF171" s="43">
        <v>200</v>
      </c>
      <c r="AG171" s="43">
        <v>30</v>
      </c>
      <c r="AH171" s="43">
        <v>6</v>
      </c>
      <c r="AI171" s="43">
        <v>300</v>
      </c>
      <c r="AJ171" s="41">
        <f t="shared" si="21"/>
        <v>5850</v>
      </c>
      <c r="AK171" s="41">
        <f t="shared" si="22"/>
        <v>1350</v>
      </c>
      <c r="AL171" s="41">
        <f t="shared" si="22"/>
        <v>0</v>
      </c>
      <c r="AM171" s="41">
        <f t="shared" si="22"/>
        <v>0</v>
      </c>
      <c r="AN171" s="41">
        <f t="shared" si="22"/>
        <v>3500</v>
      </c>
      <c r="AO171" s="41">
        <f t="shared" si="22"/>
        <v>0</v>
      </c>
      <c r="AP171" s="41">
        <f t="shared" si="19"/>
        <v>0</v>
      </c>
      <c r="AQ171" s="41">
        <f t="shared" si="19"/>
        <v>0</v>
      </c>
      <c r="AR171" s="41">
        <f t="shared" si="19"/>
        <v>0</v>
      </c>
      <c r="AS171" s="41">
        <f t="shared" si="19"/>
        <v>0</v>
      </c>
      <c r="AT171" s="41">
        <f t="shared" si="19"/>
        <v>0</v>
      </c>
      <c r="AU171" s="43">
        <f t="shared" si="18"/>
        <v>900</v>
      </c>
      <c r="AV171" s="43">
        <f t="shared" si="18"/>
        <v>360</v>
      </c>
      <c r="AW171" s="43">
        <f t="shared" si="18"/>
        <v>0</v>
      </c>
      <c r="AX171" s="43">
        <f t="shared" si="18"/>
        <v>0</v>
      </c>
      <c r="AY171" s="43">
        <f t="shared" si="18"/>
        <v>700</v>
      </c>
      <c r="AZ171" s="43">
        <f t="shared" si="18"/>
        <v>0</v>
      </c>
      <c r="BA171" s="43">
        <f t="shared" si="18"/>
        <v>0</v>
      </c>
      <c r="BB171" s="43">
        <f t="shared" si="18"/>
        <v>0</v>
      </c>
      <c r="BC171" s="43">
        <f t="shared" si="18"/>
        <v>0</v>
      </c>
      <c r="BD171" s="43">
        <f t="shared" si="18"/>
        <v>0</v>
      </c>
      <c r="BE171" s="43">
        <f t="shared" si="18"/>
        <v>0</v>
      </c>
      <c r="BF171" s="41">
        <f t="shared" si="23"/>
        <v>1960</v>
      </c>
      <c r="BG171" s="41" t="str">
        <f t="array" ref="BG171">_xlfn.IFS(
OR(MONTH(A171)=11,MONTH(A171)=12,MONTH(A171)=1,MONTH(A171)=2),"Winter",
OR(MONTH(A171)=3,MONTH(A171)=4),"Spring",
OR(MONTH(A171)=5,MONTH(A171)=6),"Summer",
OR(MONTH(A171)=7,MONTH(A171)=8,MONTH(A171)=9),"Monsoon",
MONTH(A171)=10,"Autumn/Festive",
TRUE,""
)</f>
        <v>Monsoon</v>
      </c>
    </row>
    <row r="172" spans="1:59" x14ac:dyDescent="0.3">
      <c r="A172" s="39">
        <v>45497</v>
      </c>
      <c r="B172" s="40" t="str">
        <f t="shared" si="20"/>
        <v>July</v>
      </c>
      <c r="C172" s="41">
        <v>46</v>
      </c>
      <c r="D172" s="41">
        <v>10</v>
      </c>
      <c r="E172" s="41">
        <v>0</v>
      </c>
      <c r="F172" s="41">
        <v>0</v>
      </c>
      <c r="G172" s="41">
        <v>0</v>
      </c>
      <c r="H172" s="41">
        <v>0</v>
      </c>
      <c r="I172" s="41">
        <v>0</v>
      </c>
      <c r="J172" s="41">
        <v>0</v>
      </c>
      <c r="K172" s="41">
        <v>0</v>
      </c>
      <c r="L172" s="41">
        <v>0</v>
      </c>
      <c r="M172" s="41">
        <v>0</v>
      </c>
      <c r="N172" s="42">
        <v>110</v>
      </c>
      <c r="O172" s="42">
        <v>110</v>
      </c>
      <c r="P172" s="42">
        <v>26</v>
      </c>
      <c r="Q172" s="42">
        <v>65</v>
      </c>
      <c r="R172" s="42">
        <v>200</v>
      </c>
      <c r="S172" s="42">
        <v>230</v>
      </c>
      <c r="T172" s="42">
        <v>250</v>
      </c>
      <c r="U172" s="42">
        <v>170</v>
      </c>
      <c r="V172" s="42">
        <v>25</v>
      </c>
      <c r="W172" s="42">
        <v>4</v>
      </c>
      <c r="X172" s="42">
        <v>265</v>
      </c>
      <c r="Y172" s="43">
        <v>130</v>
      </c>
      <c r="Z172" s="43">
        <v>150</v>
      </c>
      <c r="AA172" s="43">
        <v>30</v>
      </c>
      <c r="AB172" s="43">
        <v>95</v>
      </c>
      <c r="AC172" s="43">
        <v>250</v>
      </c>
      <c r="AD172" s="43">
        <v>260</v>
      </c>
      <c r="AE172" s="43">
        <v>280</v>
      </c>
      <c r="AF172" s="43">
        <v>200</v>
      </c>
      <c r="AG172" s="43">
        <v>30</v>
      </c>
      <c r="AH172" s="43">
        <v>6</v>
      </c>
      <c r="AI172" s="43">
        <v>300</v>
      </c>
      <c r="AJ172" s="41">
        <f t="shared" si="21"/>
        <v>5980</v>
      </c>
      <c r="AK172" s="41">
        <f t="shared" si="22"/>
        <v>1500</v>
      </c>
      <c r="AL172" s="41">
        <f t="shared" si="22"/>
        <v>0</v>
      </c>
      <c r="AM172" s="41">
        <f t="shared" si="22"/>
        <v>0</v>
      </c>
      <c r="AN172" s="41">
        <f t="shared" si="22"/>
        <v>0</v>
      </c>
      <c r="AO172" s="41">
        <f t="shared" si="22"/>
        <v>0</v>
      </c>
      <c r="AP172" s="41">
        <f t="shared" si="19"/>
        <v>0</v>
      </c>
      <c r="AQ172" s="41">
        <f t="shared" si="19"/>
        <v>0</v>
      </c>
      <c r="AR172" s="41">
        <f t="shared" si="19"/>
        <v>0</v>
      </c>
      <c r="AS172" s="41">
        <f t="shared" si="19"/>
        <v>0</v>
      </c>
      <c r="AT172" s="41">
        <f t="shared" si="19"/>
        <v>0</v>
      </c>
      <c r="AU172" s="43">
        <f t="shared" si="18"/>
        <v>920</v>
      </c>
      <c r="AV172" s="43">
        <f t="shared" si="18"/>
        <v>400</v>
      </c>
      <c r="AW172" s="43">
        <f t="shared" si="18"/>
        <v>0</v>
      </c>
      <c r="AX172" s="43">
        <f t="shared" si="18"/>
        <v>0</v>
      </c>
      <c r="AY172" s="43">
        <f t="shared" si="18"/>
        <v>0</v>
      </c>
      <c r="AZ172" s="43">
        <f t="shared" si="18"/>
        <v>0</v>
      </c>
      <c r="BA172" s="43">
        <f t="shared" si="18"/>
        <v>0</v>
      </c>
      <c r="BB172" s="43">
        <f t="shared" si="18"/>
        <v>0</v>
      </c>
      <c r="BC172" s="43">
        <f t="shared" si="18"/>
        <v>0</v>
      </c>
      <c r="BD172" s="43">
        <f t="shared" si="18"/>
        <v>0</v>
      </c>
      <c r="BE172" s="43">
        <f t="shared" si="18"/>
        <v>0</v>
      </c>
      <c r="BF172" s="41">
        <f t="shared" si="23"/>
        <v>1320</v>
      </c>
      <c r="BG172" s="41" t="str">
        <f t="array" ref="BG172">_xlfn.IFS(
OR(MONTH(A172)=11,MONTH(A172)=12,MONTH(A172)=1,MONTH(A172)=2),"Winter",
OR(MONTH(A172)=3,MONTH(A172)=4),"Spring",
OR(MONTH(A172)=5,MONTH(A172)=6),"Summer",
OR(MONTH(A172)=7,MONTH(A172)=8,MONTH(A172)=9),"Monsoon",
MONTH(A172)=10,"Autumn/Festive",
TRUE,""
)</f>
        <v>Monsoon</v>
      </c>
    </row>
    <row r="173" spans="1:59" x14ac:dyDescent="0.3">
      <c r="A173" s="39">
        <v>45498</v>
      </c>
      <c r="B173" s="40" t="str">
        <f t="shared" si="20"/>
        <v>July</v>
      </c>
      <c r="C173" s="41">
        <v>70</v>
      </c>
      <c r="D173" s="41">
        <v>5</v>
      </c>
      <c r="E173" s="41">
        <v>0</v>
      </c>
      <c r="F173" s="41">
        <v>0</v>
      </c>
      <c r="G173" s="41">
        <v>6</v>
      </c>
      <c r="H173" s="41">
        <v>0</v>
      </c>
      <c r="I173" s="41">
        <v>0</v>
      </c>
      <c r="J173" s="41">
        <v>0</v>
      </c>
      <c r="K173" s="41">
        <v>0</v>
      </c>
      <c r="L173" s="41">
        <v>0</v>
      </c>
      <c r="M173" s="41">
        <v>0</v>
      </c>
      <c r="N173" s="42">
        <v>110</v>
      </c>
      <c r="O173" s="42">
        <v>110</v>
      </c>
      <c r="P173" s="42">
        <v>26</v>
      </c>
      <c r="Q173" s="42">
        <v>65</v>
      </c>
      <c r="R173" s="42">
        <v>200</v>
      </c>
      <c r="S173" s="42">
        <v>230</v>
      </c>
      <c r="T173" s="42">
        <v>250</v>
      </c>
      <c r="U173" s="42">
        <v>170</v>
      </c>
      <c r="V173" s="42">
        <v>25</v>
      </c>
      <c r="W173" s="42">
        <v>4</v>
      </c>
      <c r="X173" s="42">
        <v>265</v>
      </c>
      <c r="Y173" s="43">
        <v>130</v>
      </c>
      <c r="Z173" s="43">
        <v>150</v>
      </c>
      <c r="AA173" s="43">
        <v>30</v>
      </c>
      <c r="AB173" s="43">
        <v>95</v>
      </c>
      <c r="AC173" s="43">
        <v>250</v>
      </c>
      <c r="AD173" s="43">
        <v>260</v>
      </c>
      <c r="AE173" s="43">
        <v>280</v>
      </c>
      <c r="AF173" s="43">
        <v>200</v>
      </c>
      <c r="AG173" s="43">
        <v>30</v>
      </c>
      <c r="AH173" s="43">
        <v>6</v>
      </c>
      <c r="AI173" s="43">
        <v>300</v>
      </c>
      <c r="AJ173" s="41">
        <f t="shared" si="21"/>
        <v>9100</v>
      </c>
      <c r="AK173" s="41">
        <f t="shared" si="22"/>
        <v>750</v>
      </c>
      <c r="AL173" s="41">
        <f t="shared" si="22"/>
        <v>0</v>
      </c>
      <c r="AM173" s="41">
        <f t="shared" si="22"/>
        <v>0</v>
      </c>
      <c r="AN173" s="41">
        <f t="shared" si="22"/>
        <v>1500</v>
      </c>
      <c r="AO173" s="41">
        <f t="shared" si="22"/>
        <v>0</v>
      </c>
      <c r="AP173" s="41">
        <f t="shared" si="19"/>
        <v>0</v>
      </c>
      <c r="AQ173" s="41">
        <f t="shared" si="19"/>
        <v>0</v>
      </c>
      <c r="AR173" s="41">
        <f t="shared" si="19"/>
        <v>0</v>
      </c>
      <c r="AS173" s="41">
        <f t="shared" si="19"/>
        <v>0</v>
      </c>
      <c r="AT173" s="41">
        <f t="shared" si="19"/>
        <v>0</v>
      </c>
      <c r="AU173" s="43">
        <f t="shared" si="18"/>
        <v>1400</v>
      </c>
      <c r="AV173" s="43">
        <f t="shared" si="18"/>
        <v>200</v>
      </c>
      <c r="AW173" s="43">
        <f t="shared" si="18"/>
        <v>0</v>
      </c>
      <c r="AX173" s="43">
        <f t="shared" si="18"/>
        <v>0</v>
      </c>
      <c r="AY173" s="43">
        <f t="shared" si="18"/>
        <v>300</v>
      </c>
      <c r="AZ173" s="43">
        <f t="shared" si="18"/>
        <v>0</v>
      </c>
      <c r="BA173" s="43">
        <f t="shared" si="18"/>
        <v>0</v>
      </c>
      <c r="BB173" s="43">
        <f t="shared" si="18"/>
        <v>0</v>
      </c>
      <c r="BC173" s="43">
        <f t="shared" si="18"/>
        <v>0</v>
      </c>
      <c r="BD173" s="43">
        <f t="shared" si="18"/>
        <v>0</v>
      </c>
      <c r="BE173" s="43">
        <f t="shared" si="18"/>
        <v>0</v>
      </c>
      <c r="BF173" s="41">
        <f t="shared" si="23"/>
        <v>1900</v>
      </c>
      <c r="BG173" s="41" t="str">
        <f t="array" ref="BG173">_xlfn.IFS(
OR(MONTH(A173)=11,MONTH(A173)=12,MONTH(A173)=1,MONTH(A173)=2),"Winter",
OR(MONTH(A173)=3,MONTH(A173)=4),"Spring",
OR(MONTH(A173)=5,MONTH(A173)=6),"Summer",
OR(MONTH(A173)=7,MONTH(A173)=8,MONTH(A173)=9),"Monsoon",
MONTH(A173)=10,"Autumn/Festive",
TRUE,""
)</f>
        <v>Monsoon</v>
      </c>
    </row>
    <row r="174" spans="1:59" x14ac:dyDescent="0.3">
      <c r="A174" s="39">
        <v>45499</v>
      </c>
      <c r="B174" s="40" t="str">
        <f t="shared" si="20"/>
        <v>July</v>
      </c>
      <c r="C174" s="41">
        <v>15</v>
      </c>
      <c r="D174" s="41">
        <v>0</v>
      </c>
      <c r="E174" s="41">
        <v>0</v>
      </c>
      <c r="F174" s="41">
        <v>0</v>
      </c>
      <c r="G174" s="41">
        <v>0</v>
      </c>
      <c r="H174" s="41">
        <v>0</v>
      </c>
      <c r="I174" s="41">
        <v>0</v>
      </c>
      <c r="J174" s="41">
        <v>0</v>
      </c>
      <c r="K174" s="41">
        <v>0</v>
      </c>
      <c r="L174" s="41">
        <v>0</v>
      </c>
      <c r="M174" s="41">
        <v>0</v>
      </c>
      <c r="N174" s="42">
        <v>110</v>
      </c>
      <c r="O174" s="42">
        <v>110</v>
      </c>
      <c r="P174" s="42">
        <v>26</v>
      </c>
      <c r="Q174" s="42">
        <v>65</v>
      </c>
      <c r="R174" s="42">
        <v>200</v>
      </c>
      <c r="S174" s="42">
        <v>230</v>
      </c>
      <c r="T174" s="42">
        <v>250</v>
      </c>
      <c r="U174" s="42">
        <v>170</v>
      </c>
      <c r="V174" s="42">
        <v>25</v>
      </c>
      <c r="W174" s="42">
        <v>4</v>
      </c>
      <c r="X174" s="42">
        <v>265</v>
      </c>
      <c r="Y174" s="43">
        <v>130</v>
      </c>
      <c r="Z174" s="43">
        <v>150</v>
      </c>
      <c r="AA174" s="43">
        <v>30</v>
      </c>
      <c r="AB174" s="43">
        <v>95</v>
      </c>
      <c r="AC174" s="43">
        <v>250</v>
      </c>
      <c r="AD174" s="43">
        <v>260</v>
      </c>
      <c r="AE174" s="43">
        <v>280</v>
      </c>
      <c r="AF174" s="43">
        <v>200</v>
      </c>
      <c r="AG174" s="43">
        <v>30</v>
      </c>
      <c r="AH174" s="43">
        <v>6</v>
      </c>
      <c r="AI174" s="43">
        <v>300</v>
      </c>
      <c r="AJ174" s="41">
        <f t="shared" si="21"/>
        <v>1950</v>
      </c>
      <c r="AK174" s="41">
        <f t="shared" si="22"/>
        <v>0</v>
      </c>
      <c r="AL174" s="41">
        <f t="shared" si="22"/>
        <v>0</v>
      </c>
      <c r="AM174" s="41">
        <f t="shared" si="22"/>
        <v>0</v>
      </c>
      <c r="AN174" s="41">
        <f t="shared" si="22"/>
        <v>0</v>
      </c>
      <c r="AO174" s="41">
        <f t="shared" si="22"/>
        <v>0</v>
      </c>
      <c r="AP174" s="41">
        <f t="shared" si="19"/>
        <v>0</v>
      </c>
      <c r="AQ174" s="41">
        <f t="shared" si="19"/>
        <v>0</v>
      </c>
      <c r="AR174" s="41">
        <f t="shared" si="19"/>
        <v>0</v>
      </c>
      <c r="AS174" s="41">
        <f t="shared" si="19"/>
        <v>0</v>
      </c>
      <c r="AT174" s="41">
        <f t="shared" si="19"/>
        <v>0</v>
      </c>
      <c r="AU174" s="43">
        <f t="shared" si="18"/>
        <v>300</v>
      </c>
      <c r="AV174" s="43">
        <f t="shared" si="18"/>
        <v>0</v>
      </c>
      <c r="AW174" s="43">
        <f t="shared" si="18"/>
        <v>0</v>
      </c>
      <c r="AX174" s="43">
        <f t="shared" si="18"/>
        <v>0</v>
      </c>
      <c r="AY174" s="43">
        <f t="shared" si="18"/>
        <v>0</v>
      </c>
      <c r="AZ174" s="43">
        <f t="shared" si="18"/>
        <v>0</v>
      </c>
      <c r="BA174" s="43">
        <f t="shared" si="18"/>
        <v>0</v>
      </c>
      <c r="BB174" s="43">
        <f t="shared" si="18"/>
        <v>0</v>
      </c>
      <c r="BC174" s="43">
        <f t="shared" si="18"/>
        <v>0</v>
      </c>
      <c r="BD174" s="43">
        <f t="shared" si="18"/>
        <v>0</v>
      </c>
      <c r="BE174" s="43">
        <f t="shared" si="18"/>
        <v>0</v>
      </c>
      <c r="BF174" s="41">
        <f t="shared" si="23"/>
        <v>300</v>
      </c>
      <c r="BG174" s="41" t="str">
        <f t="array" ref="BG174">_xlfn.IFS(
OR(MONTH(A174)=11,MONTH(A174)=12,MONTH(A174)=1,MONTH(A174)=2),"Winter",
OR(MONTH(A174)=3,MONTH(A174)=4),"Spring",
OR(MONTH(A174)=5,MONTH(A174)=6),"Summer",
OR(MONTH(A174)=7,MONTH(A174)=8,MONTH(A174)=9),"Monsoon",
MONTH(A174)=10,"Autumn/Festive",
TRUE,""
)</f>
        <v>Monsoon</v>
      </c>
    </row>
    <row r="175" spans="1:59" x14ac:dyDescent="0.3">
      <c r="A175" s="39">
        <v>45500</v>
      </c>
      <c r="B175" s="40" t="str">
        <f t="shared" si="20"/>
        <v>July</v>
      </c>
      <c r="C175" s="41">
        <v>34</v>
      </c>
      <c r="D175" s="41">
        <v>17</v>
      </c>
      <c r="E175" s="41">
        <v>0</v>
      </c>
      <c r="F175" s="41">
        <v>0</v>
      </c>
      <c r="G175" s="41">
        <v>6</v>
      </c>
      <c r="H175" s="41">
        <v>0</v>
      </c>
      <c r="I175" s="41">
        <v>0</v>
      </c>
      <c r="J175" s="41">
        <v>0</v>
      </c>
      <c r="K175" s="41">
        <v>0</v>
      </c>
      <c r="L175" s="41">
        <v>0</v>
      </c>
      <c r="M175" s="41">
        <v>0</v>
      </c>
      <c r="N175" s="42">
        <v>110</v>
      </c>
      <c r="O175" s="42">
        <v>110</v>
      </c>
      <c r="P175" s="42">
        <v>26</v>
      </c>
      <c r="Q175" s="42">
        <v>65</v>
      </c>
      <c r="R175" s="42">
        <v>200</v>
      </c>
      <c r="S175" s="42">
        <v>230</v>
      </c>
      <c r="T175" s="42">
        <v>250</v>
      </c>
      <c r="U175" s="42">
        <v>170</v>
      </c>
      <c r="V175" s="42">
        <v>25</v>
      </c>
      <c r="W175" s="42">
        <v>4</v>
      </c>
      <c r="X175" s="42">
        <v>265</v>
      </c>
      <c r="Y175" s="43">
        <v>130</v>
      </c>
      <c r="Z175" s="43">
        <v>150</v>
      </c>
      <c r="AA175" s="43">
        <v>30</v>
      </c>
      <c r="AB175" s="43">
        <v>95</v>
      </c>
      <c r="AC175" s="43">
        <v>250</v>
      </c>
      <c r="AD175" s="43">
        <v>260</v>
      </c>
      <c r="AE175" s="43">
        <v>280</v>
      </c>
      <c r="AF175" s="43">
        <v>200</v>
      </c>
      <c r="AG175" s="43">
        <v>30</v>
      </c>
      <c r="AH175" s="43">
        <v>6</v>
      </c>
      <c r="AI175" s="43">
        <v>300</v>
      </c>
      <c r="AJ175" s="41">
        <f t="shared" si="21"/>
        <v>4420</v>
      </c>
      <c r="AK175" s="41">
        <f t="shared" si="22"/>
        <v>2550</v>
      </c>
      <c r="AL175" s="41">
        <f t="shared" si="22"/>
        <v>0</v>
      </c>
      <c r="AM175" s="41">
        <f t="shared" si="22"/>
        <v>0</v>
      </c>
      <c r="AN175" s="41">
        <f t="shared" si="22"/>
        <v>1500</v>
      </c>
      <c r="AO175" s="41">
        <f t="shared" si="22"/>
        <v>0</v>
      </c>
      <c r="AP175" s="41">
        <f t="shared" si="19"/>
        <v>0</v>
      </c>
      <c r="AQ175" s="41">
        <f t="shared" si="19"/>
        <v>0</v>
      </c>
      <c r="AR175" s="41">
        <f t="shared" si="19"/>
        <v>0</v>
      </c>
      <c r="AS175" s="41">
        <f t="shared" si="19"/>
        <v>0</v>
      </c>
      <c r="AT175" s="41">
        <f t="shared" si="19"/>
        <v>0</v>
      </c>
      <c r="AU175" s="43">
        <f t="shared" si="18"/>
        <v>680</v>
      </c>
      <c r="AV175" s="43">
        <f t="shared" si="18"/>
        <v>680</v>
      </c>
      <c r="AW175" s="43">
        <f t="shared" si="18"/>
        <v>0</v>
      </c>
      <c r="AX175" s="43">
        <f t="shared" si="18"/>
        <v>0</v>
      </c>
      <c r="AY175" s="43">
        <f t="shared" si="18"/>
        <v>300</v>
      </c>
      <c r="AZ175" s="43">
        <f t="shared" si="18"/>
        <v>0</v>
      </c>
      <c r="BA175" s="43">
        <f t="shared" si="18"/>
        <v>0</v>
      </c>
      <c r="BB175" s="43">
        <f t="shared" si="18"/>
        <v>0</v>
      </c>
      <c r="BC175" s="43">
        <f t="shared" si="18"/>
        <v>0</v>
      </c>
      <c r="BD175" s="43">
        <f t="shared" si="18"/>
        <v>0</v>
      </c>
      <c r="BE175" s="43">
        <f t="shared" si="18"/>
        <v>0</v>
      </c>
      <c r="BF175" s="41">
        <f t="shared" si="23"/>
        <v>1660</v>
      </c>
      <c r="BG175" s="41" t="str">
        <f t="array" ref="BG175">_xlfn.IFS(
OR(MONTH(A175)=11,MONTH(A175)=12,MONTH(A175)=1,MONTH(A175)=2),"Winter",
OR(MONTH(A175)=3,MONTH(A175)=4),"Spring",
OR(MONTH(A175)=5,MONTH(A175)=6),"Summer",
OR(MONTH(A175)=7,MONTH(A175)=8,MONTH(A175)=9),"Monsoon",
MONTH(A175)=10,"Autumn/Festive",
TRUE,""
)</f>
        <v>Monsoon</v>
      </c>
    </row>
    <row r="176" spans="1:59" x14ac:dyDescent="0.3">
      <c r="A176" s="39">
        <v>45501</v>
      </c>
      <c r="B176" s="40" t="str">
        <f t="shared" si="20"/>
        <v>July</v>
      </c>
      <c r="C176" s="41">
        <v>45</v>
      </c>
      <c r="D176" s="41">
        <v>6</v>
      </c>
      <c r="E176" s="41">
        <v>0</v>
      </c>
      <c r="F176" s="41">
        <v>11</v>
      </c>
      <c r="G176" s="41">
        <v>8</v>
      </c>
      <c r="H176" s="41">
        <v>0</v>
      </c>
      <c r="I176" s="41">
        <v>0</v>
      </c>
      <c r="J176" s="41">
        <v>0</v>
      </c>
      <c r="K176" s="41">
        <v>0</v>
      </c>
      <c r="L176" s="41">
        <v>0</v>
      </c>
      <c r="M176" s="41">
        <v>0</v>
      </c>
      <c r="N176" s="42">
        <v>110</v>
      </c>
      <c r="O176" s="42">
        <v>110</v>
      </c>
      <c r="P176" s="42">
        <v>26</v>
      </c>
      <c r="Q176" s="42">
        <v>65</v>
      </c>
      <c r="R176" s="42">
        <v>200</v>
      </c>
      <c r="S176" s="42">
        <v>230</v>
      </c>
      <c r="T176" s="42">
        <v>250</v>
      </c>
      <c r="U176" s="42">
        <v>170</v>
      </c>
      <c r="V176" s="42">
        <v>25</v>
      </c>
      <c r="W176" s="42">
        <v>4</v>
      </c>
      <c r="X176" s="42">
        <v>265</v>
      </c>
      <c r="Y176" s="43">
        <v>130</v>
      </c>
      <c r="Z176" s="43">
        <v>150</v>
      </c>
      <c r="AA176" s="43">
        <v>30</v>
      </c>
      <c r="AB176" s="43">
        <v>95</v>
      </c>
      <c r="AC176" s="43">
        <v>250</v>
      </c>
      <c r="AD176" s="43">
        <v>260</v>
      </c>
      <c r="AE176" s="43">
        <v>280</v>
      </c>
      <c r="AF176" s="43">
        <v>200</v>
      </c>
      <c r="AG176" s="43">
        <v>30</v>
      </c>
      <c r="AH176" s="43">
        <v>6</v>
      </c>
      <c r="AI176" s="43">
        <v>300</v>
      </c>
      <c r="AJ176" s="41">
        <f t="shared" si="21"/>
        <v>5850</v>
      </c>
      <c r="AK176" s="41">
        <f t="shared" si="22"/>
        <v>900</v>
      </c>
      <c r="AL176" s="41">
        <f t="shared" si="22"/>
        <v>0</v>
      </c>
      <c r="AM176" s="41">
        <f t="shared" si="22"/>
        <v>1045</v>
      </c>
      <c r="AN176" s="41">
        <f t="shared" si="22"/>
        <v>2000</v>
      </c>
      <c r="AO176" s="41">
        <f t="shared" si="22"/>
        <v>0</v>
      </c>
      <c r="AP176" s="41">
        <f t="shared" si="19"/>
        <v>0</v>
      </c>
      <c r="AQ176" s="41">
        <f t="shared" si="19"/>
        <v>0</v>
      </c>
      <c r="AR176" s="41">
        <f t="shared" si="19"/>
        <v>0</v>
      </c>
      <c r="AS176" s="41">
        <f t="shared" si="19"/>
        <v>0</v>
      </c>
      <c r="AT176" s="41">
        <f t="shared" si="19"/>
        <v>0</v>
      </c>
      <c r="AU176" s="43">
        <f t="shared" si="18"/>
        <v>900</v>
      </c>
      <c r="AV176" s="43">
        <f t="shared" si="18"/>
        <v>240</v>
      </c>
      <c r="AW176" s="43">
        <f t="shared" si="18"/>
        <v>0</v>
      </c>
      <c r="AX176" s="43">
        <f t="shared" si="18"/>
        <v>330</v>
      </c>
      <c r="AY176" s="43">
        <f t="shared" si="18"/>
        <v>400</v>
      </c>
      <c r="AZ176" s="43">
        <f t="shared" si="18"/>
        <v>0</v>
      </c>
      <c r="BA176" s="43">
        <f t="shared" si="18"/>
        <v>0</v>
      </c>
      <c r="BB176" s="43">
        <f t="shared" si="18"/>
        <v>0</v>
      </c>
      <c r="BC176" s="43">
        <f t="shared" si="18"/>
        <v>0</v>
      </c>
      <c r="BD176" s="43">
        <f t="shared" si="18"/>
        <v>0</v>
      </c>
      <c r="BE176" s="43">
        <f t="shared" si="18"/>
        <v>0</v>
      </c>
      <c r="BF176" s="41">
        <f t="shared" si="23"/>
        <v>1870</v>
      </c>
      <c r="BG176" s="41" t="str">
        <f t="array" ref="BG176">_xlfn.IFS(
OR(MONTH(A176)=11,MONTH(A176)=12,MONTH(A176)=1,MONTH(A176)=2),"Winter",
OR(MONTH(A176)=3,MONTH(A176)=4),"Spring",
OR(MONTH(A176)=5,MONTH(A176)=6),"Summer",
OR(MONTH(A176)=7,MONTH(A176)=8,MONTH(A176)=9),"Monsoon",
MONTH(A176)=10,"Autumn/Festive",
TRUE,""
)</f>
        <v>Monsoon</v>
      </c>
    </row>
    <row r="177" spans="1:59" x14ac:dyDescent="0.3">
      <c r="A177" s="39">
        <v>45502</v>
      </c>
      <c r="B177" s="40" t="str">
        <f t="shared" si="20"/>
        <v>July</v>
      </c>
      <c r="C177" s="41">
        <v>23</v>
      </c>
      <c r="D177" s="41">
        <v>3</v>
      </c>
      <c r="E177" s="41">
        <v>0</v>
      </c>
      <c r="F177" s="41">
        <v>0</v>
      </c>
      <c r="G177" s="41">
        <v>3</v>
      </c>
      <c r="H177" s="41">
        <v>0</v>
      </c>
      <c r="I177" s="41">
        <v>0</v>
      </c>
      <c r="J177" s="41">
        <v>0</v>
      </c>
      <c r="K177" s="41">
        <v>0</v>
      </c>
      <c r="L177" s="41">
        <v>0</v>
      </c>
      <c r="M177" s="41">
        <v>0</v>
      </c>
      <c r="N177" s="42">
        <v>110</v>
      </c>
      <c r="O177" s="42">
        <v>110</v>
      </c>
      <c r="P177" s="42">
        <v>26</v>
      </c>
      <c r="Q177" s="42">
        <v>65</v>
      </c>
      <c r="R177" s="42">
        <v>200</v>
      </c>
      <c r="S177" s="42">
        <v>230</v>
      </c>
      <c r="T177" s="42">
        <v>250</v>
      </c>
      <c r="U177" s="42">
        <v>170</v>
      </c>
      <c r="V177" s="42">
        <v>25</v>
      </c>
      <c r="W177" s="42">
        <v>4</v>
      </c>
      <c r="X177" s="42">
        <v>265</v>
      </c>
      <c r="Y177" s="43">
        <v>130</v>
      </c>
      <c r="Z177" s="43">
        <v>150</v>
      </c>
      <c r="AA177" s="43">
        <v>30</v>
      </c>
      <c r="AB177" s="43">
        <v>95</v>
      </c>
      <c r="AC177" s="43">
        <v>250</v>
      </c>
      <c r="AD177" s="43">
        <v>260</v>
      </c>
      <c r="AE177" s="43">
        <v>280</v>
      </c>
      <c r="AF177" s="43">
        <v>200</v>
      </c>
      <c r="AG177" s="43">
        <v>30</v>
      </c>
      <c r="AH177" s="43">
        <v>6</v>
      </c>
      <c r="AI177" s="43">
        <v>300</v>
      </c>
      <c r="AJ177" s="41">
        <f t="shared" si="21"/>
        <v>2990</v>
      </c>
      <c r="AK177" s="41">
        <f t="shared" si="22"/>
        <v>450</v>
      </c>
      <c r="AL177" s="41">
        <f t="shared" si="22"/>
        <v>0</v>
      </c>
      <c r="AM177" s="41">
        <f t="shared" si="22"/>
        <v>0</v>
      </c>
      <c r="AN177" s="41">
        <f t="shared" si="22"/>
        <v>750</v>
      </c>
      <c r="AO177" s="41">
        <f t="shared" si="22"/>
        <v>0</v>
      </c>
      <c r="AP177" s="41">
        <f t="shared" si="19"/>
        <v>0</v>
      </c>
      <c r="AQ177" s="41">
        <f t="shared" si="19"/>
        <v>0</v>
      </c>
      <c r="AR177" s="41">
        <f t="shared" si="19"/>
        <v>0</v>
      </c>
      <c r="AS177" s="41">
        <f t="shared" si="19"/>
        <v>0</v>
      </c>
      <c r="AT177" s="41">
        <f t="shared" si="19"/>
        <v>0</v>
      </c>
      <c r="AU177" s="43">
        <f t="shared" si="18"/>
        <v>460</v>
      </c>
      <c r="AV177" s="43">
        <f t="shared" si="18"/>
        <v>120</v>
      </c>
      <c r="AW177" s="43">
        <f t="shared" si="18"/>
        <v>0</v>
      </c>
      <c r="AX177" s="43">
        <f t="shared" si="18"/>
        <v>0</v>
      </c>
      <c r="AY177" s="43">
        <f t="shared" si="18"/>
        <v>150</v>
      </c>
      <c r="AZ177" s="43">
        <f t="shared" si="18"/>
        <v>0</v>
      </c>
      <c r="BA177" s="43">
        <f t="shared" si="18"/>
        <v>0</v>
      </c>
      <c r="BB177" s="43">
        <f t="shared" si="18"/>
        <v>0</v>
      </c>
      <c r="BC177" s="43">
        <f t="shared" si="18"/>
        <v>0</v>
      </c>
      <c r="BD177" s="43">
        <f t="shared" si="18"/>
        <v>0</v>
      </c>
      <c r="BE177" s="43">
        <f t="shared" si="18"/>
        <v>0</v>
      </c>
      <c r="BF177" s="41">
        <f t="shared" si="23"/>
        <v>730</v>
      </c>
      <c r="BG177" s="41" t="str">
        <f t="array" ref="BG177">_xlfn.IFS(
OR(MONTH(A177)=11,MONTH(A177)=12,MONTH(A177)=1,MONTH(A177)=2),"Winter",
OR(MONTH(A177)=3,MONTH(A177)=4),"Spring",
OR(MONTH(A177)=5,MONTH(A177)=6),"Summer",
OR(MONTH(A177)=7,MONTH(A177)=8,MONTH(A177)=9),"Monsoon",
MONTH(A177)=10,"Autumn/Festive",
TRUE,""
)</f>
        <v>Monsoon</v>
      </c>
    </row>
    <row r="178" spans="1:59" x14ac:dyDescent="0.3">
      <c r="A178" s="39">
        <v>45503</v>
      </c>
      <c r="B178" s="40" t="str">
        <f t="shared" si="20"/>
        <v>July</v>
      </c>
      <c r="C178" s="41">
        <v>4</v>
      </c>
      <c r="D178" s="41">
        <v>4</v>
      </c>
      <c r="E178" s="41">
        <v>0</v>
      </c>
      <c r="F178" s="41">
        <v>2</v>
      </c>
      <c r="G178" s="41">
        <v>2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  <c r="M178" s="41">
        <v>0</v>
      </c>
      <c r="N178" s="42">
        <v>110</v>
      </c>
      <c r="O178" s="42">
        <v>110</v>
      </c>
      <c r="P178" s="42">
        <v>26</v>
      </c>
      <c r="Q178" s="42">
        <v>65</v>
      </c>
      <c r="R178" s="42">
        <v>200</v>
      </c>
      <c r="S178" s="42">
        <v>230</v>
      </c>
      <c r="T178" s="42">
        <v>250</v>
      </c>
      <c r="U178" s="42">
        <v>170</v>
      </c>
      <c r="V178" s="42">
        <v>25</v>
      </c>
      <c r="W178" s="42">
        <v>4</v>
      </c>
      <c r="X178" s="42">
        <v>265</v>
      </c>
      <c r="Y178" s="43">
        <v>130</v>
      </c>
      <c r="Z178" s="43">
        <v>150</v>
      </c>
      <c r="AA178" s="43">
        <v>30</v>
      </c>
      <c r="AB178" s="43">
        <v>95</v>
      </c>
      <c r="AC178" s="43">
        <v>250</v>
      </c>
      <c r="AD178" s="43">
        <v>260</v>
      </c>
      <c r="AE178" s="43">
        <v>280</v>
      </c>
      <c r="AF178" s="43">
        <v>200</v>
      </c>
      <c r="AG178" s="43">
        <v>30</v>
      </c>
      <c r="AH178" s="43">
        <v>6</v>
      </c>
      <c r="AI178" s="43">
        <v>300</v>
      </c>
      <c r="AJ178" s="41">
        <f t="shared" si="21"/>
        <v>520</v>
      </c>
      <c r="AK178" s="41">
        <f t="shared" si="22"/>
        <v>600</v>
      </c>
      <c r="AL178" s="41">
        <f t="shared" si="22"/>
        <v>0</v>
      </c>
      <c r="AM178" s="41">
        <f t="shared" si="22"/>
        <v>190</v>
      </c>
      <c r="AN178" s="41">
        <f t="shared" si="22"/>
        <v>500</v>
      </c>
      <c r="AO178" s="41">
        <f t="shared" si="22"/>
        <v>0</v>
      </c>
      <c r="AP178" s="41">
        <f t="shared" si="19"/>
        <v>0</v>
      </c>
      <c r="AQ178" s="41">
        <f t="shared" si="19"/>
        <v>0</v>
      </c>
      <c r="AR178" s="41">
        <f t="shared" si="19"/>
        <v>0</v>
      </c>
      <c r="AS178" s="41">
        <f t="shared" si="19"/>
        <v>0</v>
      </c>
      <c r="AT178" s="41">
        <f t="shared" si="19"/>
        <v>0</v>
      </c>
      <c r="AU178" s="43">
        <f t="shared" si="18"/>
        <v>80</v>
      </c>
      <c r="AV178" s="43">
        <f t="shared" si="18"/>
        <v>160</v>
      </c>
      <c r="AW178" s="43">
        <f t="shared" si="18"/>
        <v>0</v>
      </c>
      <c r="AX178" s="43">
        <f t="shared" si="18"/>
        <v>60</v>
      </c>
      <c r="AY178" s="43">
        <f t="shared" si="18"/>
        <v>100</v>
      </c>
      <c r="AZ178" s="43">
        <f t="shared" si="18"/>
        <v>0</v>
      </c>
      <c r="BA178" s="43">
        <f t="shared" si="18"/>
        <v>0</v>
      </c>
      <c r="BB178" s="43">
        <f t="shared" si="18"/>
        <v>0</v>
      </c>
      <c r="BC178" s="43">
        <f t="shared" si="18"/>
        <v>0</v>
      </c>
      <c r="BD178" s="43">
        <f t="shared" si="18"/>
        <v>0</v>
      </c>
      <c r="BE178" s="43">
        <f t="shared" si="18"/>
        <v>0</v>
      </c>
      <c r="BF178" s="41">
        <f t="shared" si="23"/>
        <v>400</v>
      </c>
      <c r="BG178" s="41" t="str">
        <f t="array" ref="BG178">_xlfn.IFS(
OR(MONTH(A178)=11,MONTH(A178)=12,MONTH(A178)=1,MONTH(A178)=2),"Winter",
OR(MONTH(A178)=3,MONTH(A178)=4),"Spring",
OR(MONTH(A178)=5,MONTH(A178)=6),"Summer",
OR(MONTH(A178)=7,MONTH(A178)=8,MONTH(A178)=9),"Monsoon",
MONTH(A178)=10,"Autumn/Festive",
TRUE,""
)</f>
        <v>Monsoon</v>
      </c>
    </row>
    <row r="179" spans="1:59" x14ac:dyDescent="0.3">
      <c r="A179" s="39">
        <v>45504</v>
      </c>
      <c r="B179" s="40" t="str">
        <f t="shared" si="20"/>
        <v>July</v>
      </c>
      <c r="C179" s="41">
        <v>0</v>
      </c>
      <c r="D179" s="41">
        <v>0</v>
      </c>
      <c r="E179" s="41">
        <v>0</v>
      </c>
      <c r="F179" s="41">
        <v>0</v>
      </c>
      <c r="G179" s="41">
        <v>0</v>
      </c>
      <c r="H179" s="41">
        <v>0</v>
      </c>
      <c r="I179" s="41">
        <v>0</v>
      </c>
      <c r="J179" s="41">
        <v>0</v>
      </c>
      <c r="K179" s="41">
        <v>0</v>
      </c>
      <c r="L179" s="41">
        <v>0</v>
      </c>
      <c r="M179" s="41">
        <v>0</v>
      </c>
      <c r="N179" s="42">
        <v>110</v>
      </c>
      <c r="O179" s="42">
        <v>110</v>
      </c>
      <c r="P179" s="42">
        <v>26</v>
      </c>
      <c r="Q179" s="42">
        <v>65</v>
      </c>
      <c r="R179" s="42">
        <v>200</v>
      </c>
      <c r="S179" s="42">
        <v>230</v>
      </c>
      <c r="T179" s="42">
        <v>250</v>
      </c>
      <c r="U179" s="42">
        <v>170</v>
      </c>
      <c r="V179" s="42">
        <v>25</v>
      </c>
      <c r="W179" s="42">
        <v>4</v>
      </c>
      <c r="X179" s="42">
        <v>265</v>
      </c>
      <c r="Y179" s="43">
        <v>130</v>
      </c>
      <c r="Z179" s="43">
        <v>150</v>
      </c>
      <c r="AA179" s="43">
        <v>30</v>
      </c>
      <c r="AB179" s="43">
        <v>95</v>
      </c>
      <c r="AC179" s="43">
        <v>250</v>
      </c>
      <c r="AD179" s="43">
        <v>260</v>
      </c>
      <c r="AE179" s="43">
        <v>280</v>
      </c>
      <c r="AF179" s="43">
        <v>200</v>
      </c>
      <c r="AG179" s="43">
        <v>30</v>
      </c>
      <c r="AH179" s="43">
        <v>6</v>
      </c>
      <c r="AI179" s="43">
        <v>300</v>
      </c>
      <c r="AJ179" s="41">
        <f t="shared" si="21"/>
        <v>0</v>
      </c>
      <c r="AK179" s="41">
        <f t="shared" si="22"/>
        <v>0</v>
      </c>
      <c r="AL179" s="41">
        <f t="shared" si="22"/>
        <v>0</v>
      </c>
      <c r="AM179" s="41">
        <f t="shared" si="22"/>
        <v>0</v>
      </c>
      <c r="AN179" s="41">
        <f t="shared" si="22"/>
        <v>0</v>
      </c>
      <c r="AO179" s="41">
        <f t="shared" si="22"/>
        <v>0</v>
      </c>
      <c r="AP179" s="41">
        <f t="shared" si="19"/>
        <v>0</v>
      </c>
      <c r="AQ179" s="41">
        <f t="shared" si="19"/>
        <v>0</v>
      </c>
      <c r="AR179" s="41">
        <f t="shared" si="19"/>
        <v>0</v>
      </c>
      <c r="AS179" s="41">
        <f t="shared" si="19"/>
        <v>0</v>
      </c>
      <c r="AT179" s="41">
        <f t="shared" si="19"/>
        <v>0</v>
      </c>
      <c r="AU179" s="43">
        <f t="shared" si="18"/>
        <v>0</v>
      </c>
      <c r="AV179" s="43">
        <f t="shared" si="18"/>
        <v>0</v>
      </c>
      <c r="AW179" s="43">
        <f t="shared" si="18"/>
        <v>0</v>
      </c>
      <c r="AX179" s="43">
        <f t="shared" si="18"/>
        <v>0</v>
      </c>
      <c r="AY179" s="43">
        <f t="shared" si="18"/>
        <v>0</v>
      </c>
      <c r="AZ179" s="43">
        <f t="shared" si="18"/>
        <v>0</v>
      </c>
      <c r="BA179" s="43">
        <f t="shared" si="18"/>
        <v>0</v>
      </c>
      <c r="BB179" s="43">
        <f t="shared" si="18"/>
        <v>0</v>
      </c>
      <c r="BC179" s="43">
        <f t="shared" si="18"/>
        <v>0</v>
      </c>
      <c r="BD179" s="43">
        <f t="shared" si="18"/>
        <v>0</v>
      </c>
      <c r="BE179" s="43">
        <f t="shared" si="18"/>
        <v>0</v>
      </c>
      <c r="BF179" s="41">
        <f t="shared" si="23"/>
        <v>0</v>
      </c>
      <c r="BG179" s="41" t="str">
        <f t="array" ref="BG179">_xlfn.IFS(
OR(MONTH(A179)=11,MONTH(A179)=12,MONTH(A179)=1,MONTH(A179)=2),"Winter",
OR(MONTH(A179)=3,MONTH(A179)=4),"Spring",
OR(MONTH(A179)=5,MONTH(A179)=6),"Summer",
OR(MONTH(A179)=7,MONTH(A179)=8,MONTH(A179)=9),"Monsoon",
MONTH(A179)=10,"Autumn/Festive",
TRUE,""
)</f>
        <v>Monsoon</v>
      </c>
    </row>
    <row r="180" spans="1:59" x14ac:dyDescent="0.3">
      <c r="A180" s="39">
        <v>45505</v>
      </c>
      <c r="B180" s="40" t="str">
        <f t="shared" si="20"/>
        <v>August</v>
      </c>
      <c r="C180" s="41">
        <v>27</v>
      </c>
      <c r="D180" s="41">
        <v>3</v>
      </c>
      <c r="E180" s="41">
        <v>0</v>
      </c>
      <c r="F180" s="41">
        <v>0</v>
      </c>
      <c r="G180" s="41">
        <v>2</v>
      </c>
      <c r="H180" s="41">
        <v>0</v>
      </c>
      <c r="I180" s="41">
        <v>0</v>
      </c>
      <c r="J180" s="41">
        <v>0</v>
      </c>
      <c r="K180" s="41">
        <v>0</v>
      </c>
      <c r="L180" s="41">
        <v>0</v>
      </c>
      <c r="M180" s="41">
        <v>0</v>
      </c>
      <c r="N180" s="42">
        <v>110</v>
      </c>
      <c r="O180" s="42">
        <v>110</v>
      </c>
      <c r="P180" s="42">
        <v>26</v>
      </c>
      <c r="Q180" s="42">
        <v>65</v>
      </c>
      <c r="R180" s="42">
        <v>200</v>
      </c>
      <c r="S180" s="42">
        <v>230</v>
      </c>
      <c r="T180" s="42">
        <v>250</v>
      </c>
      <c r="U180" s="42">
        <v>170</v>
      </c>
      <c r="V180" s="42">
        <v>25</v>
      </c>
      <c r="W180" s="42">
        <v>4</v>
      </c>
      <c r="X180" s="42">
        <v>265</v>
      </c>
      <c r="Y180" s="43">
        <v>130</v>
      </c>
      <c r="Z180" s="43">
        <v>150</v>
      </c>
      <c r="AA180" s="43">
        <v>30</v>
      </c>
      <c r="AB180" s="43">
        <v>95</v>
      </c>
      <c r="AC180" s="43">
        <v>250</v>
      </c>
      <c r="AD180" s="43">
        <v>260</v>
      </c>
      <c r="AE180" s="43">
        <v>280</v>
      </c>
      <c r="AF180" s="43">
        <v>200</v>
      </c>
      <c r="AG180" s="43">
        <v>30</v>
      </c>
      <c r="AH180" s="43">
        <v>6</v>
      </c>
      <c r="AI180" s="43">
        <v>300</v>
      </c>
      <c r="AJ180" s="41">
        <f t="shared" si="21"/>
        <v>3510</v>
      </c>
      <c r="AK180" s="41">
        <f t="shared" si="22"/>
        <v>450</v>
      </c>
      <c r="AL180" s="41">
        <f t="shared" si="22"/>
        <v>0</v>
      </c>
      <c r="AM180" s="41">
        <f t="shared" si="22"/>
        <v>0</v>
      </c>
      <c r="AN180" s="41">
        <f t="shared" si="22"/>
        <v>500</v>
      </c>
      <c r="AO180" s="41">
        <f t="shared" si="22"/>
        <v>0</v>
      </c>
      <c r="AP180" s="41">
        <f t="shared" si="19"/>
        <v>0</v>
      </c>
      <c r="AQ180" s="41">
        <f t="shared" si="19"/>
        <v>0</v>
      </c>
      <c r="AR180" s="41">
        <f t="shared" si="19"/>
        <v>0</v>
      </c>
      <c r="AS180" s="41">
        <f t="shared" si="19"/>
        <v>0</v>
      </c>
      <c r="AT180" s="41">
        <f t="shared" si="19"/>
        <v>0</v>
      </c>
      <c r="AU180" s="43">
        <f t="shared" si="18"/>
        <v>540</v>
      </c>
      <c r="AV180" s="43">
        <f t="shared" si="18"/>
        <v>120</v>
      </c>
      <c r="AW180" s="43">
        <f t="shared" si="18"/>
        <v>0</v>
      </c>
      <c r="AX180" s="43">
        <f t="shared" si="18"/>
        <v>0</v>
      </c>
      <c r="AY180" s="43">
        <f t="shared" si="18"/>
        <v>100</v>
      </c>
      <c r="AZ180" s="43">
        <f t="shared" si="18"/>
        <v>0</v>
      </c>
      <c r="BA180" s="43">
        <f t="shared" si="18"/>
        <v>0</v>
      </c>
      <c r="BB180" s="43">
        <f t="shared" si="18"/>
        <v>0</v>
      </c>
      <c r="BC180" s="43">
        <f t="shared" si="18"/>
        <v>0</v>
      </c>
      <c r="BD180" s="43">
        <f t="shared" si="18"/>
        <v>0</v>
      </c>
      <c r="BE180" s="43">
        <f t="shared" si="18"/>
        <v>0</v>
      </c>
      <c r="BF180" s="41">
        <f t="shared" si="23"/>
        <v>760</v>
      </c>
      <c r="BG180" s="41" t="str">
        <f t="array" ref="BG180">_xlfn.IFS(
OR(MONTH(A180)=11,MONTH(A180)=12,MONTH(A180)=1,MONTH(A180)=2),"Winter",
OR(MONTH(A180)=3,MONTH(A180)=4),"Spring",
OR(MONTH(A180)=5,MONTH(A180)=6),"Summer",
OR(MONTH(A180)=7,MONTH(A180)=8,MONTH(A180)=9),"Monsoon",
MONTH(A180)=10,"Autumn/Festive",
TRUE,""
)</f>
        <v>Monsoon</v>
      </c>
    </row>
    <row r="181" spans="1:59" x14ac:dyDescent="0.3">
      <c r="A181" s="39">
        <v>45506</v>
      </c>
      <c r="B181" s="40" t="str">
        <f t="shared" si="20"/>
        <v>August</v>
      </c>
      <c r="C181" s="41">
        <v>35</v>
      </c>
      <c r="D181" s="41">
        <v>3</v>
      </c>
      <c r="E181" s="41">
        <v>0</v>
      </c>
      <c r="F181" s="41">
        <v>0</v>
      </c>
      <c r="G181" s="41">
        <v>2</v>
      </c>
      <c r="H181" s="41">
        <v>0</v>
      </c>
      <c r="I181" s="41">
        <v>0</v>
      </c>
      <c r="J181" s="41">
        <v>0</v>
      </c>
      <c r="K181" s="41">
        <v>0</v>
      </c>
      <c r="L181" s="41">
        <v>0</v>
      </c>
      <c r="M181" s="41">
        <v>0</v>
      </c>
      <c r="N181" s="42">
        <v>110</v>
      </c>
      <c r="O181" s="42">
        <v>110</v>
      </c>
      <c r="P181" s="42">
        <v>26</v>
      </c>
      <c r="Q181" s="42">
        <v>65</v>
      </c>
      <c r="R181" s="42">
        <v>200</v>
      </c>
      <c r="S181" s="42">
        <v>230</v>
      </c>
      <c r="T181" s="42">
        <v>250</v>
      </c>
      <c r="U181" s="42">
        <v>170</v>
      </c>
      <c r="V181" s="42">
        <v>25</v>
      </c>
      <c r="W181" s="42">
        <v>4</v>
      </c>
      <c r="X181" s="42">
        <v>265</v>
      </c>
      <c r="Y181" s="43">
        <v>130</v>
      </c>
      <c r="Z181" s="43">
        <v>150</v>
      </c>
      <c r="AA181" s="43">
        <v>30</v>
      </c>
      <c r="AB181" s="43">
        <v>95</v>
      </c>
      <c r="AC181" s="43">
        <v>250</v>
      </c>
      <c r="AD181" s="43">
        <v>260</v>
      </c>
      <c r="AE181" s="43">
        <v>280</v>
      </c>
      <c r="AF181" s="43">
        <v>200</v>
      </c>
      <c r="AG181" s="43">
        <v>30</v>
      </c>
      <c r="AH181" s="43">
        <v>6</v>
      </c>
      <c r="AI181" s="43">
        <v>300</v>
      </c>
      <c r="AJ181" s="41">
        <f t="shared" si="21"/>
        <v>4550</v>
      </c>
      <c r="AK181" s="41">
        <f t="shared" si="22"/>
        <v>450</v>
      </c>
      <c r="AL181" s="41">
        <f t="shared" si="22"/>
        <v>0</v>
      </c>
      <c r="AM181" s="41">
        <f t="shared" si="22"/>
        <v>0</v>
      </c>
      <c r="AN181" s="41">
        <f t="shared" si="22"/>
        <v>500</v>
      </c>
      <c r="AO181" s="41">
        <f t="shared" si="22"/>
        <v>0</v>
      </c>
      <c r="AP181" s="41">
        <f t="shared" si="19"/>
        <v>0</v>
      </c>
      <c r="AQ181" s="41">
        <f t="shared" si="19"/>
        <v>0</v>
      </c>
      <c r="AR181" s="41">
        <f t="shared" si="19"/>
        <v>0</v>
      </c>
      <c r="AS181" s="41">
        <f t="shared" si="19"/>
        <v>0</v>
      </c>
      <c r="AT181" s="41">
        <f t="shared" si="19"/>
        <v>0</v>
      </c>
      <c r="AU181" s="43">
        <f t="shared" si="18"/>
        <v>700</v>
      </c>
      <c r="AV181" s="43">
        <f t="shared" si="18"/>
        <v>120</v>
      </c>
      <c r="AW181" s="43">
        <f t="shared" si="18"/>
        <v>0</v>
      </c>
      <c r="AX181" s="43">
        <f t="shared" si="18"/>
        <v>0</v>
      </c>
      <c r="AY181" s="43">
        <f t="shared" si="18"/>
        <v>100</v>
      </c>
      <c r="AZ181" s="43">
        <f t="shared" si="18"/>
        <v>0</v>
      </c>
      <c r="BA181" s="43">
        <f t="shared" si="18"/>
        <v>0</v>
      </c>
      <c r="BB181" s="43">
        <f t="shared" si="18"/>
        <v>0</v>
      </c>
      <c r="BC181" s="43">
        <f t="shared" si="18"/>
        <v>0</v>
      </c>
      <c r="BD181" s="43">
        <f t="shared" si="18"/>
        <v>0</v>
      </c>
      <c r="BE181" s="43">
        <f t="shared" si="18"/>
        <v>0</v>
      </c>
      <c r="BF181" s="41">
        <f t="shared" si="23"/>
        <v>920</v>
      </c>
      <c r="BG181" s="41" t="str">
        <f t="array" ref="BG181">_xlfn.IFS(
OR(MONTH(A181)=11,MONTH(A181)=12,MONTH(A181)=1,MONTH(A181)=2),"Winter",
OR(MONTH(A181)=3,MONTH(A181)=4),"Spring",
OR(MONTH(A181)=5,MONTH(A181)=6),"Summer",
OR(MONTH(A181)=7,MONTH(A181)=8,MONTH(A181)=9),"Monsoon",
MONTH(A181)=10,"Autumn/Festive",
TRUE,""
)</f>
        <v>Monsoon</v>
      </c>
    </row>
    <row r="182" spans="1:59" x14ac:dyDescent="0.3">
      <c r="A182" s="39">
        <v>45507</v>
      </c>
      <c r="B182" s="40" t="str">
        <f t="shared" si="20"/>
        <v>August</v>
      </c>
      <c r="C182" s="41">
        <v>21</v>
      </c>
      <c r="D182" s="41">
        <v>2</v>
      </c>
      <c r="E182" s="41">
        <v>0</v>
      </c>
      <c r="F182" s="41">
        <v>0</v>
      </c>
      <c r="G182" s="41">
        <v>2</v>
      </c>
      <c r="H182" s="41">
        <v>0</v>
      </c>
      <c r="I182" s="41">
        <v>0</v>
      </c>
      <c r="J182" s="41">
        <v>0</v>
      </c>
      <c r="K182" s="41">
        <v>0</v>
      </c>
      <c r="L182" s="41">
        <v>0</v>
      </c>
      <c r="M182" s="41">
        <v>0</v>
      </c>
      <c r="N182" s="42">
        <v>110</v>
      </c>
      <c r="O182" s="42">
        <v>110</v>
      </c>
      <c r="P182" s="42">
        <v>26</v>
      </c>
      <c r="Q182" s="42">
        <v>65</v>
      </c>
      <c r="R182" s="42">
        <v>200</v>
      </c>
      <c r="S182" s="42">
        <v>230</v>
      </c>
      <c r="T182" s="42">
        <v>250</v>
      </c>
      <c r="U182" s="42">
        <v>170</v>
      </c>
      <c r="V182" s="42">
        <v>25</v>
      </c>
      <c r="W182" s="42">
        <v>4</v>
      </c>
      <c r="X182" s="42">
        <v>265</v>
      </c>
      <c r="Y182" s="43">
        <v>130</v>
      </c>
      <c r="Z182" s="43">
        <v>150</v>
      </c>
      <c r="AA182" s="43">
        <v>30</v>
      </c>
      <c r="AB182" s="43">
        <v>95</v>
      </c>
      <c r="AC182" s="43">
        <v>250</v>
      </c>
      <c r="AD182" s="43">
        <v>260</v>
      </c>
      <c r="AE182" s="43">
        <v>280</v>
      </c>
      <c r="AF182" s="43">
        <v>200</v>
      </c>
      <c r="AG182" s="43">
        <v>30</v>
      </c>
      <c r="AH182" s="43">
        <v>6</v>
      </c>
      <c r="AI182" s="43">
        <v>300</v>
      </c>
      <c r="AJ182" s="41">
        <f t="shared" si="21"/>
        <v>2730</v>
      </c>
      <c r="AK182" s="41">
        <f t="shared" si="22"/>
        <v>300</v>
      </c>
      <c r="AL182" s="41">
        <f t="shared" si="22"/>
        <v>0</v>
      </c>
      <c r="AM182" s="41">
        <f t="shared" si="22"/>
        <v>0</v>
      </c>
      <c r="AN182" s="41">
        <f t="shared" si="22"/>
        <v>500</v>
      </c>
      <c r="AO182" s="41">
        <f t="shared" si="22"/>
        <v>0</v>
      </c>
      <c r="AP182" s="41">
        <f t="shared" ref="AP182:AT245" si="24">I182*AE182</f>
        <v>0</v>
      </c>
      <c r="AQ182" s="41">
        <f t="shared" si="24"/>
        <v>0</v>
      </c>
      <c r="AR182" s="41">
        <f t="shared" si="24"/>
        <v>0</v>
      </c>
      <c r="AS182" s="41">
        <f t="shared" si="24"/>
        <v>0</v>
      </c>
      <c r="AT182" s="41">
        <f t="shared" si="24"/>
        <v>0</v>
      </c>
      <c r="AU182" s="43">
        <f t="shared" ref="AU182:BE245" si="25">AJ182-(C182*N182)</f>
        <v>420</v>
      </c>
      <c r="AV182" s="43">
        <f t="shared" si="25"/>
        <v>80</v>
      </c>
      <c r="AW182" s="43">
        <f t="shared" si="25"/>
        <v>0</v>
      </c>
      <c r="AX182" s="43">
        <f t="shared" si="25"/>
        <v>0</v>
      </c>
      <c r="AY182" s="43">
        <f t="shared" si="25"/>
        <v>100</v>
      </c>
      <c r="AZ182" s="43">
        <f t="shared" si="25"/>
        <v>0</v>
      </c>
      <c r="BA182" s="43">
        <f t="shared" si="25"/>
        <v>0</v>
      </c>
      <c r="BB182" s="43">
        <f t="shared" si="25"/>
        <v>0</v>
      </c>
      <c r="BC182" s="43">
        <f t="shared" si="25"/>
        <v>0</v>
      </c>
      <c r="BD182" s="43">
        <f t="shared" si="25"/>
        <v>0</v>
      </c>
      <c r="BE182" s="43">
        <f t="shared" si="25"/>
        <v>0</v>
      </c>
      <c r="BF182" s="41">
        <f t="shared" si="23"/>
        <v>600</v>
      </c>
      <c r="BG182" s="41" t="str">
        <f t="array" ref="BG182">_xlfn.IFS(
OR(MONTH(A182)=11,MONTH(A182)=12,MONTH(A182)=1,MONTH(A182)=2),"Winter",
OR(MONTH(A182)=3,MONTH(A182)=4),"Spring",
OR(MONTH(A182)=5,MONTH(A182)=6),"Summer",
OR(MONTH(A182)=7,MONTH(A182)=8,MONTH(A182)=9),"Monsoon",
MONTH(A182)=10,"Autumn/Festive",
TRUE,""
)</f>
        <v>Monsoon</v>
      </c>
    </row>
    <row r="183" spans="1:59" x14ac:dyDescent="0.3">
      <c r="A183" s="39">
        <v>45508</v>
      </c>
      <c r="B183" s="40" t="str">
        <f t="shared" si="20"/>
        <v>August</v>
      </c>
      <c r="C183" s="41">
        <v>6</v>
      </c>
      <c r="D183" s="41">
        <v>3</v>
      </c>
      <c r="E183" s="41">
        <v>0</v>
      </c>
      <c r="F183" s="41">
        <v>2</v>
      </c>
      <c r="G183" s="41">
        <v>3</v>
      </c>
      <c r="H183" s="41">
        <v>0</v>
      </c>
      <c r="I183" s="41">
        <v>0</v>
      </c>
      <c r="J183" s="41">
        <v>0</v>
      </c>
      <c r="K183" s="41">
        <v>0</v>
      </c>
      <c r="L183" s="41">
        <v>0</v>
      </c>
      <c r="M183" s="41">
        <v>1</v>
      </c>
      <c r="N183" s="42">
        <v>110</v>
      </c>
      <c r="O183" s="42">
        <v>110</v>
      </c>
      <c r="P183" s="42">
        <v>26</v>
      </c>
      <c r="Q183" s="42">
        <v>65</v>
      </c>
      <c r="R183" s="42">
        <v>200</v>
      </c>
      <c r="S183" s="42">
        <v>230</v>
      </c>
      <c r="T183" s="42">
        <v>250</v>
      </c>
      <c r="U183" s="42">
        <v>170</v>
      </c>
      <c r="V183" s="42">
        <v>25</v>
      </c>
      <c r="W183" s="42">
        <v>4</v>
      </c>
      <c r="X183" s="42">
        <v>265</v>
      </c>
      <c r="Y183" s="43">
        <v>130</v>
      </c>
      <c r="Z183" s="43">
        <v>150</v>
      </c>
      <c r="AA183" s="43">
        <v>30</v>
      </c>
      <c r="AB183" s="43">
        <v>95</v>
      </c>
      <c r="AC183" s="43">
        <v>250</v>
      </c>
      <c r="AD183" s="43">
        <v>260</v>
      </c>
      <c r="AE183" s="43">
        <v>280</v>
      </c>
      <c r="AF183" s="43">
        <v>200</v>
      </c>
      <c r="AG183" s="43">
        <v>30</v>
      </c>
      <c r="AH183" s="43">
        <v>6</v>
      </c>
      <c r="AI183" s="43">
        <v>300</v>
      </c>
      <c r="AJ183" s="41">
        <f t="shared" si="21"/>
        <v>780</v>
      </c>
      <c r="AK183" s="41">
        <f t="shared" ref="AK183:AO246" si="26">D183*Z183</f>
        <v>450</v>
      </c>
      <c r="AL183" s="41">
        <f t="shared" si="26"/>
        <v>0</v>
      </c>
      <c r="AM183" s="41">
        <f t="shared" si="26"/>
        <v>190</v>
      </c>
      <c r="AN183" s="41">
        <f t="shared" si="26"/>
        <v>750</v>
      </c>
      <c r="AO183" s="41">
        <f t="shared" si="26"/>
        <v>0</v>
      </c>
      <c r="AP183" s="41">
        <f t="shared" si="24"/>
        <v>0</v>
      </c>
      <c r="AQ183" s="41">
        <f t="shared" si="24"/>
        <v>0</v>
      </c>
      <c r="AR183" s="41">
        <f t="shared" si="24"/>
        <v>0</v>
      </c>
      <c r="AS183" s="41">
        <f t="shared" si="24"/>
        <v>0</v>
      </c>
      <c r="AT183" s="41">
        <f t="shared" si="24"/>
        <v>300</v>
      </c>
      <c r="AU183" s="43">
        <f t="shared" si="25"/>
        <v>120</v>
      </c>
      <c r="AV183" s="43">
        <f t="shared" si="25"/>
        <v>120</v>
      </c>
      <c r="AW183" s="43">
        <f t="shared" si="25"/>
        <v>0</v>
      </c>
      <c r="AX183" s="43">
        <f t="shared" si="25"/>
        <v>60</v>
      </c>
      <c r="AY183" s="43">
        <f t="shared" si="25"/>
        <v>150</v>
      </c>
      <c r="AZ183" s="43">
        <f t="shared" si="25"/>
        <v>0</v>
      </c>
      <c r="BA183" s="43">
        <f t="shared" si="25"/>
        <v>0</v>
      </c>
      <c r="BB183" s="43">
        <f t="shared" si="25"/>
        <v>0</v>
      </c>
      <c r="BC183" s="43">
        <f t="shared" si="25"/>
        <v>0</v>
      </c>
      <c r="BD183" s="43">
        <f t="shared" si="25"/>
        <v>0</v>
      </c>
      <c r="BE183" s="43">
        <f t="shared" si="25"/>
        <v>35</v>
      </c>
      <c r="BF183" s="41">
        <f t="shared" si="23"/>
        <v>485</v>
      </c>
      <c r="BG183" s="41" t="str">
        <f t="array" ref="BG183">_xlfn.IFS(
OR(MONTH(A183)=11,MONTH(A183)=12,MONTH(A183)=1,MONTH(A183)=2),"Winter",
OR(MONTH(A183)=3,MONTH(A183)=4),"Spring",
OR(MONTH(A183)=5,MONTH(A183)=6),"Summer",
OR(MONTH(A183)=7,MONTH(A183)=8,MONTH(A183)=9),"Monsoon",
MONTH(A183)=10,"Autumn/Festive",
TRUE,""
)</f>
        <v>Monsoon</v>
      </c>
    </row>
    <row r="184" spans="1:59" x14ac:dyDescent="0.3">
      <c r="A184" s="39">
        <v>45509</v>
      </c>
      <c r="B184" s="40" t="str">
        <f t="shared" si="20"/>
        <v>August</v>
      </c>
      <c r="C184" s="41">
        <v>20</v>
      </c>
      <c r="D184" s="41">
        <v>3</v>
      </c>
      <c r="E184" s="41">
        <v>0</v>
      </c>
      <c r="F184" s="41">
        <v>0</v>
      </c>
      <c r="G184" s="41">
        <v>7</v>
      </c>
      <c r="H184" s="41">
        <v>0</v>
      </c>
      <c r="I184" s="41">
        <v>0</v>
      </c>
      <c r="J184" s="41">
        <v>0</v>
      </c>
      <c r="K184" s="41">
        <v>0</v>
      </c>
      <c r="L184" s="41">
        <v>0</v>
      </c>
      <c r="M184" s="41">
        <v>0</v>
      </c>
      <c r="N184" s="42">
        <v>110</v>
      </c>
      <c r="O184" s="42">
        <v>110</v>
      </c>
      <c r="P184" s="42">
        <v>26</v>
      </c>
      <c r="Q184" s="42">
        <v>65</v>
      </c>
      <c r="R184" s="42">
        <v>200</v>
      </c>
      <c r="S184" s="42">
        <v>230</v>
      </c>
      <c r="T184" s="42">
        <v>250</v>
      </c>
      <c r="U184" s="42">
        <v>170</v>
      </c>
      <c r="V184" s="42">
        <v>25</v>
      </c>
      <c r="W184" s="42">
        <v>4</v>
      </c>
      <c r="X184" s="42">
        <v>265</v>
      </c>
      <c r="Y184" s="43">
        <v>130</v>
      </c>
      <c r="Z184" s="43">
        <v>150</v>
      </c>
      <c r="AA184" s="43">
        <v>30</v>
      </c>
      <c r="AB184" s="43">
        <v>95</v>
      </c>
      <c r="AC184" s="43">
        <v>250</v>
      </c>
      <c r="AD184" s="43">
        <v>260</v>
      </c>
      <c r="AE184" s="43">
        <v>280</v>
      </c>
      <c r="AF184" s="43">
        <v>200</v>
      </c>
      <c r="AG184" s="43">
        <v>30</v>
      </c>
      <c r="AH184" s="43">
        <v>6</v>
      </c>
      <c r="AI184" s="43">
        <v>300</v>
      </c>
      <c r="AJ184" s="41">
        <f t="shared" si="21"/>
        <v>2600</v>
      </c>
      <c r="AK184" s="41">
        <f t="shared" si="26"/>
        <v>450</v>
      </c>
      <c r="AL184" s="41">
        <f t="shared" si="26"/>
        <v>0</v>
      </c>
      <c r="AM184" s="41">
        <f t="shared" si="26"/>
        <v>0</v>
      </c>
      <c r="AN184" s="41">
        <f t="shared" si="26"/>
        <v>1750</v>
      </c>
      <c r="AO184" s="41">
        <f t="shared" si="26"/>
        <v>0</v>
      </c>
      <c r="AP184" s="41">
        <f t="shared" si="24"/>
        <v>0</v>
      </c>
      <c r="AQ184" s="41">
        <f t="shared" si="24"/>
        <v>0</v>
      </c>
      <c r="AR184" s="41">
        <f t="shared" si="24"/>
        <v>0</v>
      </c>
      <c r="AS184" s="41">
        <f t="shared" si="24"/>
        <v>0</v>
      </c>
      <c r="AT184" s="41">
        <f t="shared" si="24"/>
        <v>0</v>
      </c>
      <c r="AU184" s="43">
        <f t="shared" si="25"/>
        <v>400</v>
      </c>
      <c r="AV184" s="43">
        <f t="shared" si="25"/>
        <v>120</v>
      </c>
      <c r="AW184" s="43">
        <f t="shared" si="25"/>
        <v>0</v>
      </c>
      <c r="AX184" s="43">
        <f t="shared" si="25"/>
        <v>0</v>
      </c>
      <c r="AY184" s="43">
        <f t="shared" si="25"/>
        <v>350</v>
      </c>
      <c r="AZ184" s="43">
        <f t="shared" si="25"/>
        <v>0</v>
      </c>
      <c r="BA184" s="43">
        <f t="shared" si="25"/>
        <v>0</v>
      </c>
      <c r="BB184" s="43">
        <f t="shared" si="25"/>
        <v>0</v>
      </c>
      <c r="BC184" s="43">
        <f t="shared" si="25"/>
        <v>0</v>
      </c>
      <c r="BD184" s="43">
        <f t="shared" si="25"/>
        <v>0</v>
      </c>
      <c r="BE184" s="43">
        <f t="shared" si="25"/>
        <v>0</v>
      </c>
      <c r="BF184" s="41">
        <f t="shared" si="23"/>
        <v>870</v>
      </c>
      <c r="BG184" s="41" t="str">
        <f t="array" ref="BG184">_xlfn.IFS(
OR(MONTH(A184)=11,MONTH(A184)=12,MONTH(A184)=1,MONTH(A184)=2),"Winter",
OR(MONTH(A184)=3,MONTH(A184)=4),"Spring",
OR(MONTH(A184)=5,MONTH(A184)=6),"Summer",
OR(MONTH(A184)=7,MONTH(A184)=8,MONTH(A184)=9),"Monsoon",
MONTH(A184)=10,"Autumn/Festive",
TRUE,""
)</f>
        <v>Monsoon</v>
      </c>
    </row>
    <row r="185" spans="1:59" x14ac:dyDescent="0.3">
      <c r="A185" s="39">
        <v>45510</v>
      </c>
      <c r="B185" s="40" t="str">
        <f t="shared" si="20"/>
        <v>August</v>
      </c>
      <c r="C185" s="41">
        <v>19</v>
      </c>
      <c r="D185" s="41">
        <v>4</v>
      </c>
      <c r="E185" s="41">
        <v>0</v>
      </c>
      <c r="F185" s="41">
        <v>4</v>
      </c>
      <c r="G185" s="41">
        <v>4</v>
      </c>
      <c r="H185" s="41">
        <v>0</v>
      </c>
      <c r="I185" s="41">
        <v>0</v>
      </c>
      <c r="J185" s="41">
        <v>0</v>
      </c>
      <c r="K185" s="41">
        <v>0</v>
      </c>
      <c r="L185" s="41">
        <v>0</v>
      </c>
      <c r="M185" s="41">
        <v>0</v>
      </c>
      <c r="N185" s="42">
        <v>110</v>
      </c>
      <c r="O185" s="42">
        <v>110</v>
      </c>
      <c r="P185" s="42">
        <v>26</v>
      </c>
      <c r="Q185" s="42">
        <v>65</v>
      </c>
      <c r="R185" s="42">
        <v>200</v>
      </c>
      <c r="S185" s="42">
        <v>230</v>
      </c>
      <c r="T185" s="42">
        <v>250</v>
      </c>
      <c r="U185" s="42">
        <v>170</v>
      </c>
      <c r="V185" s="42">
        <v>25</v>
      </c>
      <c r="W185" s="42">
        <v>4</v>
      </c>
      <c r="X185" s="42">
        <v>265</v>
      </c>
      <c r="Y185" s="43">
        <v>130</v>
      </c>
      <c r="Z185" s="43">
        <v>150</v>
      </c>
      <c r="AA185" s="43">
        <v>30</v>
      </c>
      <c r="AB185" s="43">
        <v>95</v>
      </c>
      <c r="AC185" s="43">
        <v>250</v>
      </c>
      <c r="AD185" s="43">
        <v>260</v>
      </c>
      <c r="AE185" s="43">
        <v>280</v>
      </c>
      <c r="AF185" s="43">
        <v>200</v>
      </c>
      <c r="AG185" s="43">
        <v>30</v>
      </c>
      <c r="AH185" s="43">
        <v>6</v>
      </c>
      <c r="AI185" s="43">
        <v>300</v>
      </c>
      <c r="AJ185" s="41">
        <f t="shared" si="21"/>
        <v>2470</v>
      </c>
      <c r="AK185" s="41">
        <f t="shared" si="26"/>
        <v>600</v>
      </c>
      <c r="AL185" s="41">
        <f t="shared" si="26"/>
        <v>0</v>
      </c>
      <c r="AM185" s="41">
        <f t="shared" si="26"/>
        <v>380</v>
      </c>
      <c r="AN185" s="41">
        <f t="shared" si="26"/>
        <v>1000</v>
      </c>
      <c r="AO185" s="41">
        <f t="shared" si="26"/>
        <v>0</v>
      </c>
      <c r="AP185" s="41">
        <f t="shared" si="24"/>
        <v>0</v>
      </c>
      <c r="AQ185" s="41">
        <f t="shared" si="24"/>
        <v>0</v>
      </c>
      <c r="AR185" s="41">
        <f t="shared" si="24"/>
        <v>0</v>
      </c>
      <c r="AS185" s="41">
        <f t="shared" si="24"/>
        <v>0</v>
      </c>
      <c r="AT185" s="41">
        <f t="shared" si="24"/>
        <v>0</v>
      </c>
      <c r="AU185" s="43">
        <f t="shared" si="25"/>
        <v>380</v>
      </c>
      <c r="AV185" s="43">
        <f t="shared" si="25"/>
        <v>160</v>
      </c>
      <c r="AW185" s="43">
        <f t="shared" si="25"/>
        <v>0</v>
      </c>
      <c r="AX185" s="43">
        <f t="shared" si="25"/>
        <v>120</v>
      </c>
      <c r="AY185" s="43">
        <f t="shared" si="25"/>
        <v>200</v>
      </c>
      <c r="AZ185" s="43">
        <f t="shared" si="25"/>
        <v>0</v>
      </c>
      <c r="BA185" s="43">
        <f t="shared" si="25"/>
        <v>0</v>
      </c>
      <c r="BB185" s="43">
        <f t="shared" si="25"/>
        <v>0</v>
      </c>
      <c r="BC185" s="43">
        <f t="shared" si="25"/>
        <v>0</v>
      </c>
      <c r="BD185" s="43">
        <f t="shared" si="25"/>
        <v>0</v>
      </c>
      <c r="BE185" s="43">
        <f t="shared" si="25"/>
        <v>0</v>
      </c>
      <c r="BF185" s="41">
        <f t="shared" si="23"/>
        <v>860</v>
      </c>
      <c r="BG185" s="41" t="str">
        <f t="array" ref="BG185">_xlfn.IFS(
OR(MONTH(A185)=11,MONTH(A185)=12,MONTH(A185)=1,MONTH(A185)=2),"Winter",
OR(MONTH(A185)=3,MONTH(A185)=4),"Spring",
OR(MONTH(A185)=5,MONTH(A185)=6),"Summer",
OR(MONTH(A185)=7,MONTH(A185)=8,MONTH(A185)=9),"Monsoon",
MONTH(A185)=10,"Autumn/Festive",
TRUE,""
)</f>
        <v>Monsoon</v>
      </c>
    </row>
    <row r="186" spans="1:59" x14ac:dyDescent="0.3">
      <c r="A186" s="39">
        <v>45511</v>
      </c>
      <c r="B186" s="40" t="str">
        <f t="shared" si="20"/>
        <v>August</v>
      </c>
      <c r="C186" s="41">
        <v>11</v>
      </c>
      <c r="D186" s="41">
        <v>5</v>
      </c>
      <c r="E186" s="41">
        <v>0</v>
      </c>
      <c r="F186" s="41">
        <v>0</v>
      </c>
      <c r="G186" s="41">
        <v>4</v>
      </c>
      <c r="H186" s="41">
        <v>0</v>
      </c>
      <c r="I186" s="41">
        <v>0</v>
      </c>
      <c r="J186" s="41">
        <v>0</v>
      </c>
      <c r="K186" s="41">
        <v>0</v>
      </c>
      <c r="L186" s="41">
        <v>0</v>
      </c>
      <c r="M186" s="41">
        <v>0</v>
      </c>
      <c r="N186" s="42">
        <v>110</v>
      </c>
      <c r="O186" s="42">
        <v>110</v>
      </c>
      <c r="P186" s="42">
        <v>26</v>
      </c>
      <c r="Q186" s="42">
        <v>65</v>
      </c>
      <c r="R186" s="42">
        <v>200</v>
      </c>
      <c r="S186" s="42">
        <v>230</v>
      </c>
      <c r="T186" s="42">
        <v>250</v>
      </c>
      <c r="U186" s="42">
        <v>170</v>
      </c>
      <c r="V186" s="42">
        <v>25</v>
      </c>
      <c r="W186" s="42">
        <v>4</v>
      </c>
      <c r="X186" s="42">
        <v>265</v>
      </c>
      <c r="Y186" s="43">
        <v>130</v>
      </c>
      <c r="Z186" s="43">
        <v>150</v>
      </c>
      <c r="AA186" s="43">
        <v>30</v>
      </c>
      <c r="AB186" s="43">
        <v>95</v>
      </c>
      <c r="AC186" s="43">
        <v>250</v>
      </c>
      <c r="AD186" s="43">
        <v>260</v>
      </c>
      <c r="AE186" s="43">
        <v>280</v>
      </c>
      <c r="AF186" s="43">
        <v>200</v>
      </c>
      <c r="AG186" s="43">
        <v>30</v>
      </c>
      <c r="AH186" s="43">
        <v>6</v>
      </c>
      <c r="AI186" s="43">
        <v>300</v>
      </c>
      <c r="AJ186" s="41">
        <f t="shared" si="21"/>
        <v>1430</v>
      </c>
      <c r="AK186" s="41">
        <f t="shared" si="26"/>
        <v>750</v>
      </c>
      <c r="AL186" s="41">
        <f t="shared" si="26"/>
        <v>0</v>
      </c>
      <c r="AM186" s="41">
        <f t="shared" si="26"/>
        <v>0</v>
      </c>
      <c r="AN186" s="41">
        <f t="shared" si="26"/>
        <v>1000</v>
      </c>
      <c r="AO186" s="41">
        <f t="shared" si="26"/>
        <v>0</v>
      </c>
      <c r="AP186" s="41">
        <f t="shared" si="24"/>
        <v>0</v>
      </c>
      <c r="AQ186" s="41">
        <f t="shared" si="24"/>
        <v>0</v>
      </c>
      <c r="AR186" s="41">
        <f t="shared" si="24"/>
        <v>0</v>
      </c>
      <c r="AS186" s="41">
        <f t="shared" si="24"/>
        <v>0</v>
      </c>
      <c r="AT186" s="41">
        <f t="shared" si="24"/>
        <v>0</v>
      </c>
      <c r="AU186" s="43">
        <f t="shared" si="25"/>
        <v>220</v>
      </c>
      <c r="AV186" s="43">
        <f t="shared" si="25"/>
        <v>200</v>
      </c>
      <c r="AW186" s="43">
        <f t="shared" si="25"/>
        <v>0</v>
      </c>
      <c r="AX186" s="43">
        <f t="shared" si="25"/>
        <v>0</v>
      </c>
      <c r="AY186" s="43">
        <f t="shared" si="25"/>
        <v>200</v>
      </c>
      <c r="AZ186" s="43">
        <f t="shared" si="25"/>
        <v>0</v>
      </c>
      <c r="BA186" s="43">
        <f t="shared" si="25"/>
        <v>0</v>
      </c>
      <c r="BB186" s="43">
        <f t="shared" si="25"/>
        <v>0</v>
      </c>
      <c r="BC186" s="43">
        <f t="shared" si="25"/>
        <v>0</v>
      </c>
      <c r="BD186" s="43">
        <f t="shared" si="25"/>
        <v>0</v>
      </c>
      <c r="BE186" s="43">
        <f t="shared" si="25"/>
        <v>0</v>
      </c>
      <c r="BF186" s="41">
        <f t="shared" si="23"/>
        <v>620</v>
      </c>
      <c r="BG186" s="41" t="str">
        <f t="array" ref="BG186">_xlfn.IFS(
OR(MONTH(A186)=11,MONTH(A186)=12,MONTH(A186)=1,MONTH(A186)=2),"Winter",
OR(MONTH(A186)=3,MONTH(A186)=4),"Spring",
OR(MONTH(A186)=5,MONTH(A186)=6),"Summer",
OR(MONTH(A186)=7,MONTH(A186)=8,MONTH(A186)=9),"Monsoon",
MONTH(A186)=10,"Autumn/Festive",
TRUE,""
)</f>
        <v>Monsoon</v>
      </c>
    </row>
    <row r="187" spans="1:59" x14ac:dyDescent="0.3">
      <c r="A187" s="39">
        <v>45512</v>
      </c>
      <c r="B187" s="40" t="str">
        <f t="shared" si="20"/>
        <v>August</v>
      </c>
      <c r="C187" s="41">
        <v>0</v>
      </c>
      <c r="D187" s="41">
        <v>0</v>
      </c>
      <c r="E187" s="41">
        <v>0</v>
      </c>
      <c r="F187" s="41">
        <v>0</v>
      </c>
      <c r="G187" s="41">
        <v>0</v>
      </c>
      <c r="H187" s="41">
        <v>0</v>
      </c>
      <c r="I187" s="41">
        <v>0</v>
      </c>
      <c r="J187" s="41">
        <v>0</v>
      </c>
      <c r="K187" s="41">
        <v>0</v>
      </c>
      <c r="L187" s="41">
        <v>0</v>
      </c>
      <c r="M187" s="41">
        <v>0</v>
      </c>
      <c r="N187" s="42">
        <v>110</v>
      </c>
      <c r="O187" s="42">
        <v>110</v>
      </c>
      <c r="P187" s="42">
        <v>26</v>
      </c>
      <c r="Q187" s="42">
        <v>65</v>
      </c>
      <c r="R187" s="42">
        <v>200</v>
      </c>
      <c r="S187" s="42">
        <v>230</v>
      </c>
      <c r="T187" s="42">
        <v>250</v>
      </c>
      <c r="U187" s="42">
        <v>170</v>
      </c>
      <c r="V187" s="42">
        <v>25</v>
      </c>
      <c r="W187" s="42">
        <v>4</v>
      </c>
      <c r="X187" s="42">
        <v>265</v>
      </c>
      <c r="Y187" s="43">
        <v>130</v>
      </c>
      <c r="Z187" s="43">
        <v>150</v>
      </c>
      <c r="AA187" s="43">
        <v>30</v>
      </c>
      <c r="AB187" s="43">
        <v>95</v>
      </c>
      <c r="AC187" s="43">
        <v>250</v>
      </c>
      <c r="AD187" s="43">
        <v>260</v>
      </c>
      <c r="AE187" s="43">
        <v>280</v>
      </c>
      <c r="AF187" s="43">
        <v>200</v>
      </c>
      <c r="AG187" s="43">
        <v>30</v>
      </c>
      <c r="AH187" s="43">
        <v>6</v>
      </c>
      <c r="AI187" s="43">
        <v>300</v>
      </c>
      <c r="AJ187" s="41">
        <f t="shared" si="21"/>
        <v>0</v>
      </c>
      <c r="AK187" s="41">
        <f t="shared" si="26"/>
        <v>0</v>
      </c>
      <c r="AL187" s="41">
        <f t="shared" si="26"/>
        <v>0</v>
      </c>
      <c r="AM187" s="41">
        <f t="shared" si="26"/>
        <v>0</v>
      </c>
      <c r="AN187" s="41">
        <f t="shared" si="26"/>
        <v>0</v>
      </c>
      <c r="AO187" s="41">
        <f t="shared" si="26"/>
        <v>0</v>
      </c>
      <c r="AP187" s="41">
        <f t="shared" si="24"/>
        <v>0</v>
      </c>
      <c r="AQ187" s="41">
        <f t="shared" si="24"/>
        <v>0</v>
      </c>
      <c r="AR187" s="41">
        <f t="shared" si="24"/>
        <v>0</v>
      </c>
      <c r="AS187" s="41">
        <f t="shared" si="24"/>
        <v>0</v>
      </c>
      <c r="AT187" s="41">
        <f t="shared" si="24"/>
        <v>0</v>
      </c>
      <c r="AU187" s="43">
        <f t="shared" si="25"/>
        <v>0</v>
      </c>
      <c r="AV187" s="43">
        <f t="shared" si="25"/>
        <v>0</v>
      </c>
      <c r="AW187" s="43">
        <f t="shared" si="25"/>
        <v>0</v>
      </c>
      <c r="AX187" s="43">
        <f t="shared" si="25"/>
        <v>0</v>
      </c>
      <c r="AY187" s="43">
        <f t="shared" si="25"/>
        <v>0</v>
      </c>
      <c r="AZ187" s="43">
        <f t="shared" si="25"/>
        <v>0</v>
      </c>
      <c r="BA187" s="43">
        <f t="shared" si="25"/>
        <v>0</v>
      </c>
      <c r="BB187" s="43">
        <f t="shared" si="25"/>
        <v>0</v>
      </c>
      <c r="BC187" s="43">
        <f t="shared" si="25"/>
        <v>0</v>
      </c>
      <c r="BD187" s="43">
        <f t="shared" si="25"/>
        <v>0</v>
      </c>
      <c r="BE187" s="43">
        <f t="shared" si="25"/>
        <v>0</v>
      </c>
      <c r="BF187" s="41">
        <f t="shared" si="23"/>
        <v>0</v>
      </c>
      <c r="BG187" s="41" t="str">
        <f t="array" ref="BG187">_xlfn.IFS(
OR(MONTH(A187)=11,MONTH(A187)=12,MONTH(A187)=1,MONTH(A187)=2),"Winter",
OR(MONTH(A187)=3,MONTH(A187)=4),"Spring",
OR(MONTH(A187)=5,MONTH(A187)=6),"Summer",
OR(MONTH(A187)=7,MONTH(A187)=8,MONTH(A187)=9),"Monsoon",
MONTH(A187)=10,"Autumn/Festive",
TRUE,""
)</f>
        <v>Monsoon</v>
      </c>
    </row>
    <row r="188" spans="1:59" x14ac:dyDescent="0.3">
      <c r="A188" s="39">
        <v>45513</v>
      </c>
      <c r="B188" s="40" t="str">
        <f t="shared" si="20"/>
        <v>August</v>
      </c>
      <c r="C188" s="41">
        <v>19</v>
      </c>
      <c r="D188" s="41">
        <v>4</v>
      </c>
      <c r="E188" s="41">
        <v>0</v>
      </c>
      <c r="F188" s="41">
        <v>0</v>
      </c>
      <c r="G188" s="41">
        <v>0</v>
      </c>
      <c r="H188" s="41">
        <v>0</v>
      </c>
      <c r="I188" s="41">
        <v>0</v>
      </c>
      <c r="J188" s="41">
        <v>0</v>
      </c>
      <c r="K188" s="41">
        <v>0</v>
      </c>
      <c r="L188" s="41">
        <v>0</v>
      </c>
      <c r="M188" s="41">
        <v>0</v>
      </c>
      <c r="N188" s="42">
        <v>110</v>
      </c>
      <c r="O188" s="42">
        <v>110</v>
      </c>
      <c r="P188" s="42">
        <v>26</v>
      </c>
      <c r="Q188" s="42">
        <v>65</v>
      </c>
      <c r="R188" s="42">
        <v>200</v>
      </c>
      <c r="S188" s="42">
        <v>230</v>
      </c>
      <c r="T188" s="42">
        <v>250</v>
      </c>
      <c r="U188" s="42">
        <v>170</v>
      </c>
      <c r="V188" s="42">
        <v>25</v>
      </c>
      <c r="W188" s="42">
        <v>4</v>
      </c>
      <c r="X188" s="42">
        <v>265</v>
      </c>
      <c r="Y188" s="43">
        <v>130</v>
      </c>
      <c r="Z188" s="43">
        <v>150</v>
      </c>
      <c r="AA188" s="43">
        <v>30</v>
      </c>
      <c r="AB188" s="43">
        <v>95</v>
      </c>
      <c r="AC188" s="43">
        <v>250</v>
      </c>
      <c r="AD188" s="43">
        <v>260</v>
      </c>
      <c r="AE188" s="43">
        <v>280</v>
      </c>
      <c r="AF188" s="43">
        <v>200</v>
      </c>
      <c r="AG188" s="43">
        <v>30</v>
      </c>
      <c r="AH188" s="43">
        <v>6</v>
      </c>
      <c r="AI188" s="43">
        <v>300</v>
      </c>
      <c r="AJ188" s="41">
        <f t="shared" si="21"/>
        <v>2470</v>
      </c>
      <c r="AK188" s="41">
        <f t="shared" si="26"/>
        <v>600</v>
      </c>
      <c r="AL188" s="41">
        <f t="shared" si="26"/>
        <v>0</v>
      </c>
      <c r="AM188" s="41">
        <f t="shared" si="26"/>
        <v>0</v>
      </c>
      <c r="AN188" s="41">
        <f t="shared" si="26"/>
        <v>0</v>
      </c>
      <c r="AO188" s="41">
        <f t="shared" si="26"/>
        <v>0</v>
      </c>
      <c r="AP188" s="41">
        <f t="shared" si="24"/>
        <v>0</v>
      </c>
      <c r="AQ188" s="41">
        <f t="shared" si="24"/>
        <v>0</v>
      </c>
      <c r="AR188" s="41">
        <f t="shared" si="24"/>
        <v>0</v>
      </c>
      <c r="AS188" s="41">
        <f t="shared" si="24"/>
        <v>0</v>
      </c>
      <c r="AT188" s="41">
        <f t="shared" si="24"/>
        <v>0</v>
      </c>
      <c r="AU188" s="43">
        <f t="shared" si="25"/>
        <v>380</v>
      </c>
      <c r="AV188" s="43">
        <f t="shared" si="25"/>
        <v>160</v>
      </c>
      <c r="AW188" s="43">
        <f t="shared" si="25"/>
        <v>0</v>
      </c>
      <c r="AX188" s="43">
        <f t="shared" si="25"/>
        <v>0</v>
      </c>
      <c r="AY188" s="43">
        <f t="shared" si="25"/>
        <v>0</v>
      </c>
      <c r="AZ188" s="43">
        <f t="shared" si="25"/>
        <v>0</v>
      </c>
      <c r="BA188" s="43">
        <f t="shared" si="25"/>
        <v>0</v>
      </c>
      <c r="BB188" s="43">
        <f t="shared" si="25"/>
        <v>0</v>
      </c>
      <c r="BC188" s="43">
        <f t="shared" si="25"/>
        <v>0</v>
      </c>
      <c r="BD188" s="43">
        <f t="shared" si="25"/>
        <v>0</v>
      </c>
      <c r="BE188" s="43">
        <f t="shared" si="25"/>
        <v>0</v>
      </c>
      <c r="BF188" s="41">
        <f t="shared" si="23"/>
        <v>540</v>
      </c>
      <c r="BG188" s="41" t="str">
        <f t="array" ref="BG188">_xlfn.IFS(
OR(MONTH(A188)=11,MONTH(A188)=12,MONTH(A188)=1,MONTH(A188)=2),"Winter",
OR(MONTH(A188)=3,MONTH(A188)=4),"Spring",
OR(MONTH(A188)=5,MONTH(A188)=6),"Summer",
OR(MONTH(A188)=7,MONTH(A188)=8,MONTH(A188)=9),"Monsoon",
MONTH(A188)=10,"Autumn/Festive",
TRUE,""
)</f>
        <v>Monsoon</v>
      </c>
    </row>
    <row r="189" spans="1:59" x14ac:dyDescent="0.3">
      <c r="A189" s="39">
        <v>45514</v>
      </c>
      <c r="B189" s="40" t="str">
        <f t="shared" si="20"/>
        <v>August</v>
      </c>
      <c r="C189" s="41">
        <v>14</v>
      </c>
      <c r="D189" s="41">
        <v>0</v>
      </c>
      <c r="E189" s="41">
        <v>0</v>
      </c>
      <c r="F189" s="41">
        <v>0</v>
      </c>
      <c r="G189" s="41">
        <v>4</v>
      </c>
      <c r="H189" s="41">
        <v>0</v>
      </c>
      <c r="I189" s="41">
        <v>0</v>
      </c>
      <c r="J189" s="41">
        <v>0</v>
      </c>
      <c r="K189" s="41">
        <v>0</v>
      </c>
      <c r="L189" s="41">
        <v>0</v>
      </c>
      <c r="M189" s="41">
        <v>0</v>
      </c>
      <c r="N189" s="42">
        <v>110</v>
      </c>
      <c r="O189" s="42">
        <v>110</v>
      </c>
      <c r="P189" s="42">
        <v>26</v>
      </c>
      <c r="Q189" s="42">
        <v>65</v>
      </c>
      <c r="R189" s="42">
        <v>200</v>
      </c>
      <c r="S189" s="42">
        <v>230</v>
      </c>
      <c r="T189" s="42">
        <v>250</v>
      </c>
      <c r="U189" s="42">
        <v>170</v>
      </c>
      <c r="V189" s="42">
        <v>25</v>
      </c>
      <c r="W189" s="42">
        <v>4</v>
      </c>
      <c r="X189" s="42">
        <v>265</v>
      </c>
      <c r="Y189" s="43">
        <v>130</v>
      </c>
      <c r="Z189" s="43">
        <v>150</v>
      </c>
      <c r="AA189" s="43">
        <v>30</v>
      </c>
      <c r="AB189" s="43">
        <v>95</v>
      </c>
      <c r="AC189" s="43">
        <v>250</v>
      </c>
      <c r="AD189" s="43">
        <v>260</v>
      </c>
      <c r="AE189" s="43">
        <v>280</v>
      </c>
      <c r="AF189" s="43">
        <v>200</v>
      </c>
      <c r="AG189" s="43">
        <v>30</v>
      </c>
      <c r="AH189" s="43">
        <v>6</v>
      </c>
      <c r="AI189" s="43">
        <v>300</v>
      </c>
      <c r="AJ189" s="41">
        <f t="shared" si="21"/>
        <v>1820</v>
      </c>
      <c r="AK189" s="41">
        <f t="shared" si="26"/>
        <v>0</v>
      </c>
      <c r="AL189" s="41">
        <f t="shared" si="26"/>
        <v>0</v>
      </c>
      <c r="AM189" s="41">
        <f t="shared" si="26"/>
        <v>0</v>
      </c>
      <c r="AN189" s="41">
        <f t="shared" si="26"/>
        <v>1000</v>
      </c>
      <c r="AO189" s="41">
        <f t="shared" si="26"/>
        <v>0</v>
      </c>
      <c r="AP189" s="41">
        <f t="shared" si="24"/>
        <v>0</v>
      </c>
      <c r="AQ189" s="41">
        <f t="shared" si="24"/>
        <v>0</v>
      </c>
      <c r="AR189" s="41">
        <f t="shared" si="24"/>
        <v>0</v>
      </c>
      <c r="AS189" s="41">
        <f t="shared" si="24"/>
        <v>0</v>
      </c>
      <c r="AT189" s="41">
        <f t="shared" si="24"/>
        <v>0</v>
      </c>
      <c r="AU189" s="43">
        <f t="shared" si="25"/>
        <v>280</v>
      </c>
      <c r="AV189" s="43">
        <f t="shared" si="25"/>
        <v>0</v>
      </c>
      <c r="AW189" s="43">
        <f t="shared" si="25"/>
        <v>0</v>
      </c>
      <c r="AX189" s="43">
        <f t="shared" si="25"/>
        <v>0</v>
      </c>
      <c r="AY189" s="43">
        <f t="shared" si="25"/>
        <v>200</v>
      </c>
      <c r="AZ189" s="43">
        <f t="shared" si="25"/>
        <v>0</v>
      </c>
      <c r="BA189" s="43">
        <f t="shared" si="25"/>
        <v>0</v>
      </c>
      <c r="BB189" s="43">
        <f t="shared" si="25"/>
        <v>0</v>
      </c>
      <c r="BC189" s="43">
        <f t="shared" si="25"/>
        <v>0</v>
      </c>
      <c r="BD189" s="43">
        <f t="shared" si="25"/>
        <v>0</v>
      </c>
      <c r="BE189" s="43">
        <f t="shared" si="25"/>
        <v>0</v>
      </c>
      <c r="BF189" s="41">
        <f t="shared" si="23"/>
        <v>480</v>
      </c>
      <c r="BG189" s="41" t="str">
        <f t="array" ref="BG189">_xlfn.IFS(
OR(MONTH(A189)=11,MONTH(A189)=12,MONTH(A189)=1,MONTH(A189)=2),"Winter",
OR(MONTH(A189)=3,MONTH(A189)=4),"Spring",
OR(MONTH(A189)=5,MONTH(A189)=6),"Summer",
OR(MONTH(A189)=7,MONTH(A189)=8,MONTH(A189)=9),"Monsoon",
MONTH(A189)=10,"Autumn/Festive",
TRUE,""
)</f>
        <v>Monsoon</v>
      </c>
    </row>
    <row r="190" spans="1:59" x14ac:dyDescent="0.3">
      <c r="A190" s="39">
        <v>45515</v>
      </c>
      <c r="B190" s="40" t="str">
        <f t="shared" si="20"/>
        <v>August</v>
      </c>
      <c r="C190" s="41">
        <v>0</v>
      </c>
      <c r="D190" s="41">
        <v>0</v>
      </c>
      <c r="E190" s="41">
        <v>0</v>
      </c>
      <c r="F190" s="41">
        <v>0</v>
      </c>
      <c r="G190" s="41">
        <v>0</v>
      </c>
      <c r="H190" s="41">
        <v>0</v>
      </c>
      <c r="I190" s="41">
        <v>0</v>
      </c>
      <c r="J190" s="41">
        <v>0</v>
      </c>
      <c r="K190" s="41">
        <v>0</v>
      </c>
      <c r="L190" s="41">
        <v>0</v>
      </c>
      <c r="M190" s="41">
        <v>0</v>
      </c>
      <c r="N190" s="42">
        <v>110</v>
      </c>
      <c r="O190" s="42">
        <v>110</v>
      </c>
      <c r="P190" s="42">
        <v>26</v>
      </c>
      <c r="Q190" s="42">
        <v>65</v>
      </c>
      <c r="R190" s="42">
        <v>200</v>
      </c>
      <c r="S190" s="42">
        <v>230</v>
      </c>
      <c r="T190" s="42">
        <v>250</v>
      </c>
      <c r="U190" s="42">
        <v>170</v>
      </c>
      <c r="V190" s="42">
        <v>25</v>
      </c>
      <c r="W190" s="42">
        <v>4</v>
      </c>
      <c r="X190" s="42">
        <v>265</v>
      </c>
      <c r="Y190" s="43">
        <v>130</v>
      </c>
      <c r="Z190" s="43">
        <v>150</v>
      </c>
      <c r="AA190" s="43">
        <v>30</v>
      </c>
      <c r="AB190" s="43">
        <v>95</v>
      </c>
      <c r="AC190" s="43">
        <v>250</v>
      </c>
      <c r="AD190" s="43">
        <v>260</v>
      </c>
      <c r="AE190" s="43">
        <v>280</v>
      </c>
      <c r="AF190" s="43">
        <v>200</v>
      </c>
      <c r="AG190" s="43">
        <v>30</v>
      </c>
      <c r="AH190" s="43">
        <v>6</v>
      </c>
      <c r="AI190" s="43">
        <v>300</v>
      </c>
      <c r="AJ190" s="41">
        <f t="shared" si="21"/>
        <v>0</v>
      </c>
      <c r="AK190" s="41">
        <f t="shared" si="26"/>
        <v>0</v>
      </c>
      <c r="AL190" s="41">
        <f t="shared" si="26"/>
        <v>0</v>
      </c>
      <c r="AM190" s="41">
        <f t="shared" si="26"/>
        <v>0</v>
      </c>
      <c r="AN190" s="41">
        <f t="shared" si="26"/>
        <v>0</v>
      </c>
      <c r="AO190" s="41">
        <f t="shared" si="26"/>
        <v>0</v>
      </c>
      <c r="AP190" s="41">
        <f t="shared" si="24"/>
        <v>0</v>
      </c>
      <c r="AQ190" s="41">
        <f t="shared" si="24"/>
        <v>0</v>
      </c>
      <c r="AR190" s="41">
        <f t="shared" si="24"/>
        <v>0</v>
      </c>
      <c r="AS190" s="41">
        <f t="shared" si="24"/>
        <v>0</v>
      </c>
      <c r="AT190" s="41">
        <f t="shared" si="24"/>
        <v>0</v>
      </c>
      <c r="AU190" s="43">
        <f t="shared" si="25"/>
        <v>0</v>
      </c>
      <c r="AV190" s="43">
        <f t="shared" si="25"/>
        <v>0</v>
      </c>
      <c r="AW190" s="43">
        <f t="shared" si="25"/>
        <v>0</v>
      </c>
      <c r="AX190" s="43">
        <f t="shared" si="25"/>
        <v>0</v>
      </c>
      <c r="AY190" s="43">
        <f t="shared" si="25"/>
        <v>0</v>
      </c>
      <c r="AZ190" s="43">
        <f t="shared" si="25"/>
        <v>0</v>
      </c>
      <c r="BA190" s="43">
        <f t="shared" si="25"/>
        <v>0</v>
      </c>
      <c r="BB190" s="43">
        <f t="shared" si="25"/>
        <v>0</v>
      </c>
      <c r="BC190" s="43">
        <f t="shared" si="25"/>
        <v>0</v>
      </c>
      <c r="BD190" s="43">
        <f t="shared" si="25"/>
        <v>0</v>
      </c>
      <c r="BE190" s="43">
        <f t="shared" si="25"/>
        <v>0</v>
      </c>
      <c r="BF190" s="41">
        <f t="shared" si="23"/>
        <v>0</v>
      </c>
      <c r="BG190" s="41" t="str">
        <f t="array" ref="BG190">_xlfn.IFS(
OR(MONTH(A190)=11,MONTH(A190)=12,MONTH(A190)=1,MONTH(A190)=2),"Winter",
OR(MONTH(A190)=3,MONTH(A190)=4),"Spring",
OR(MONTH(A190)=5,MONTH(A190)=6),"Summer",
OR(MONTH(A190)=7,MONTH(A190)=8,MONTH(A190)=9),"Monsoon",
MONTH(A190)=10,"Autumn/Festive",
TRUE,""
)</f>
        <v>Monsoon</v>
      </c>
    </row>
    <row r="191" spans="1:59" x14ac:dyDescent="0.3">
      <c r="A191" s="39">
        <v>45516</v>
      </c>
      <c r="B191" s="40" t="str">
        <f t="shared" si="20"/>
        <v>August</v>
      </c>
      <c r="C191" s="41">
        <v>12</v>
      </c>
      <c r="D191" s="41">
        <v>0</v>
      </c>
      <c r="E191" s="41">
        <v>0</v>
      </c>
      <c r="F191" s="41">
        <v>0</v>
      </c>
      <c r="G191" s="41">
        <v>0</v>
      </c>
      <c r="H191" s="41">
        <v>0</v>
      </c>
      <c r="I191" s="41">
        <v>0</v>
      </c>
      <c r="J191" s="41">
        <v>0</v>
      </c>
      <c r="K191" s="41">
        <v>0</v>
      </c>
      <c r="L191" s="41">
        <v>0</v>
      </c>
      <c r="M191" s="41">
        <v>0</v>
      </c>
      <c r="N191" s="42">
        <v>110</v>
      </c>
      <c r="O191" s="42">
        <v>110</v>
      </c>
      <c r="P191" s="42">
        <v>26</v>
      </c>
      <c r="Q191" s="42">
        <v>65</v>
      </c>
      <c r="R191" s="42">
        <v>200</v>
      </c>
      <c r="S191" s="42">
        <v>230</v>
      </c>
      <c r="T191" s="42">
        <v>250</v>
      </c>
      <c r="U191" s="42">
        <v>170</v>
      </c>
      <c r="V191" s="42">
        <v>25</v>
      </c>
      <c r="W191" s="42">
        <v>4</v>
      </c>
      <c r="X191" s="42">
        <v>265</v>
      </c>
      <c r="Y191" s="43">
        <v>130</v>
      </c>
      <c r="Z191" s="43">
        <v>150</v>
      </c>
      <c r="AA191" s="43">
        <v>30</v>
      </c>
      <c r="AB191" s="43">
        <v>95</v>
      </c>
      <c r="AC191" s="43">
        <v>250</v>
      </c>
      <c r="AD191" s="43">
        <v>260</v>
      </c>
      <c r="AE191" s="43">
        <v>280</v>
      </c>
      <c r="AF191" s="43">
        <v>200</v>
      </c>
      <c r="AG191" s="43">
        <v>30</v>
      </c>
      <c r="AH191" s="43">
        <v>6</v>
      </c>
      <c r="AI191" s="43">
        <v>300</v>
      </c>
      <c r="AJ191" s="41">
        <f t="shared" si="21"/>
        <v>1560</v>
      </c>
      <c r="AK191" s="41">
        <f t="shared" si="26"/>
        <v>0</v>
      </c>
      <c r="AL191" s="41">
        <f t="shared" si="26"/>
        <v>0</v>
      </c>
      <c r="AM191" s="41">
        <f t="shared" si="26"/>
        <v>0</v>
      </c>
      <c r="AN191" s="41">
        <f t="shared" si="26"/>
        <v>0</v>
      </c>
      <c r="AO191" s="41">
        <f t="shared" si="26"/>
        <v>0</v>
      </c>
      <c r="AP191" s="41">
        <f t="shared" si="24"/>
        <v>0</v>
      </c>
      <c r="AQ191" s="41">
        <f t="shared" si="24"/>
        <v>0</v>
      </c>
      <c r="AR191" s="41">
        <f t="shared" si="24"/>
        <v>0</v>
      </c>
      <c r="AS191" s="41">
        <f t="shared" si="24"/>
        <v>0</v>
      </c>
      <c r="AT191" s="41">
        <f t="shared" si="24"/>
        <v>0</v>
      </c>
      <c r="AU191" s="43">
        <f t="shared" si="25"/>
        <v>240</v>
      </c>
      <c r="AV191" s="43">
        <f t="shared" si="25"/>
        <v>0</v>
      </c>
      <c r="AW191" s="43">
        <f t="shared" si="25"/>
        <v>0</v>
      </c>
      <c r="AX191" s="43">
        <f t="shared" si="25"/>
        <v>0</v>
      </c>
      <c r="AY191" s="43">
        <f t="shared" si="25"/>
        <v>0</v>
      </c>
      <c r="AZ191" s="43">
        <f t="shared" si="25"/>
        <v>0</v>
      </c>
      <c r="BA191" s="43">
        <f t="shared" si="25"/>
        <v>0</v>
      </c>
      <c r="BB191" s="43">
        <f t="shared" si="25"/>
        <v>0</v>
      </c>
      <c r="BC191" s="43">
        <f t="shared" si="25"/>
        <v>0</v>
      </c>
      <c r="BD191" s="43">
        <f t="shared" si="25"/>
        <v>0</v>
      </c>
      <c r="BE191" s="43">
        <f t="shared" si="25"/>
        <v>0</v>
      </c>
      <c r="BF191" s="41">
        <f t="shared" si="23"/>
        <v>240</v>
      </c>
      <c r="BG191" s="41" t="str">
        <f t="array" ref="BG191">_xlfn.IFS(
OR(MONTH(A191)=11,MONTH(A191)=12,MONTH(A191)=1,MONTH(A191)=2),"Winter",
OR(MONTH(A191)=3,MONTH(A191)=4),"Spring",
OR(MONTH(A191)=5,MONTH(A191)=6),"Summer",
OR(MONTH(A191)=7,MONTH(A191)=8,MONTH(A191)=9),"Monsoon",
MONTH(A191)=10,"Autumn/Festive",
TRUE,""
)</f>
        <v>Monsoon</v>
      </c>
    </row>
    <row r="192" spans="1:59" x14ac:dyDescent="0.3">
      <c r="A192" s="39">
        <v>45517</v>
      </c>
      <c r="B192" s="40" t="str">
        <f t="shared" si="20"/>
        <v>August</v>
      </c>
      <c r="C192" s="41">
        <v>0</v>
      </c>
      <c r="D192" s="41">
        <v>0</v>
      </c>
      <c r="E192" s="41">
        <v>0</v>
      </c>
      <c r="F192" s="41">
        <v>0</v>
      </c>
      <c r="G192" s="41">
        <v>0</v>
      </c>
      <c r="H192" s="41">
        <v>0</v>
      </c>
      <c r="I192" s="41">
        <v>0</v>
      </c>
      <c r="J192" s="41">
        <v>0</v>
      </c>
      <c r="K192" s="41">
        <v>0</v>
      </c>
      <c r="L192" s="41">
        <v>0</v>
      </c>
      <c r="M192" s="41">
        <v>0</v>
      </c>
      <c r="N192" s="42">
        <v>110</v>
      </c>
      <c r="O192" s="42">
        <v>110</v>
      </c>
      <c r="P192" s="42">
        <v>26</v>
      </c>
      <c r="Q192" s="42">
        <v>65</v>
      </c>
      <c r="R192" s="42">
        <v>200</v>
      </c>
      <c r="S192" s="42">
        <v>230</v>
      </c>
      <c r="T192" s="42">
        <v>250</v>
      </c>
      <c r="U192" s="42">
        <v>170</v>
      </c>
      <c r="V192" s="42">
        <v>25</v>
      </c>
      <c r="W192" s="42">
        <v>4</v>
      </c>
      <c r="X192" s="42">
        <v>265</v>
      </c>
      <c r="Y192" s="43">
        <v>130</v>
      </c>
      <c r="Z192" s="43">
        <v>150</v>
      </c>
      <c r="AA192" s="43">
        <v>30</v>
      </c>
      <c r="AB192" s="43">
        <v>95</v>
      </c>
      <c r="AC192" s="43">
        <v>250</v>
      </c>
      <c r="AD192" s="43">
        <v>260</v>
      </c>
      <c r="AE192" s="43">
        <v>280</v>
      </c>
      <c r="AF192" s="43">
        <v>200</v>
      </c>
      <c r="AG192" s="43">
        <v>30</v>
      </c>
      <c r="AH192" s="43">
        <v>6</v>
      </c>
      <c r="AI192" s="43">
        <v>300</v>
      </c>
      <c r="AJ192" s="41">
        <f t="shared" si="21"/>
        <v>0</v>
      </c>
      <c r="AK192" s="41">
        <f t="shared" si="26"/>
        <v>0</v>
      </c>
      <c r="AL192" s="41">
        <f t="shared" si="26"/>
        <v>0</v>
      </c>
      <c r="AM192" s="41">
        <f t="shared" si="26"/>
        <v>0</v>
      </c>
      <c r="AN192" s="41">
        <f t="shared" si="26"/>
        <v>0</v>
      </c>
      <c r="AO192" s="41">
        <f t="shared" si="26"/>
        <v>0</v>
      </c>
      <c r="AP192" s="41">
        <f t="shared" si="24"/>
        <v>0</v>
      </c>
      <c r="AQ192" s="41">
        <f t="shared" si="24"/>
        <v>0</v>
      </c>
      <c r="AR192" s="41">
        <f t="shared" si="24"/>
        <v>0</v>
      </c>
      <c r="AS192" s="41">
        <f t="shared" si="24"/>
        <v>0</v>
      </c>
      <c r="AT192" s="41">
        <f t="shared" si="24"/>
        <v>0</v>
      </c>
      <c r="AU192" s="43">
        <f t="shared" si="25"/>
        <v>0</v>
      </c>
      <c r="AV192" s="43">
        <f t="shared" si="25"/>
        <v>0</v>
      </c>
      <c r="AW192" s="43">
        <f t="shared" si="25"/>
        <v>0</v>
      </c>
      <c r="AX192" s="43">
        <f t="shared" si="25"/>
        <v>0</v>
      </c>
      <c r="AY192" s="43">
        <f t="shared" si="25"/>
        <v>0</v>
      </c>
      <c r="AZ192" s="43">
        <f t="shared" si="25"/>
        <v>0</v>
      </c>
      <c r="BA192" s="43">
        <f t="shared" si="25"/>
        <v>0</v>
      </c>
      <c r="BB192" s="43">
        <f t="shared" si="25"/>
        <v>0</v>
      </c>
      <c r="BC192" s="43">
        <f t="shared" si="25"/>
        <v>0</v>
      </c>
      <c r="BD192" s="43">
        <f t="shared" si="25"/>
        <v>0</v>
      </c>
      <c r="BE192" s="43">
        <f t="shared" si="25"/>
        <v>0</v>
      </c>
      <c r="BF192" s="41">
        <f t="shared" si="23"/>
        <v>0</v>
      </c>
      <c r="BG192" s="41" t="str">
        <f t="array" ref="BG192">_xlfn.IFS(
OR(MONTH(A192)=11,MONTH(A192)=12,MONTH(A192)=1,MONTH(A192)=2),"Winter",
OR(MONTH(A192)=3,MONTH(A192)=4),"Spring",
OR(MONTH(A192)=5,MONTH(A192)=6),"Summer",
OR(MONTH(A192)=7,MONTH(A192)=8,MONTH(A192)=9),"Monsoon",
MONTH(A192)=10,"Autumn/Festive",
TRUE,""
)</f>
        <v>Monsoon</v>
      </c>
    </row>
    <row r="193" spans="1:59" x14ac:dyDescent="0.3">
      <c r="A193" s="39">
        <v>45518</v>
      </c>
      <c r="B193" s="40" t="str">
        <f t="shared" si="20"/>
        <v>August</v>
      </c>
      <c r="C193" s="41">
        <v>0</v>
      </c>
      <c r="D193" s="41">
        <v>0</v>
      </c>
      <c r="E193" s="41">
        <v>0</v>
      </c>
      <c r="F193" s="41">
        <v>0</v>
      </c>
      <c r="G193" s="41">
        <v>0</v>
      </c>
      <c r="H193" s="41">
        <v>0</v>
      </c>
      <c r="I193" s="41">
        <v>0</v>
      </c>
      <c r="J193" s="41">
        <v>0</v>
      </c>
      <c r="K193" s="41">
        <v>0</v>
      </c>
      <c r="L193" s="41">
        <v>0</v>
      </c>
      <c r="M193" s="41">
        <v>0</v>
      </c>
      <c r="N193" s="42">
        <v>110</v>
      </c>
      <c r="O193" s="42">
        <v>110</v>
      </c>
      <c r="P193" s="42">
        <v>26</v>
      </c>
      <c r="Q193" s="42">
        <v>65</v>
      </c>
      <c r="R193" s="42">
        <v>200</v>
      </c>
      <c r="S193" s="42">
        <v>230</v>
      </c>
      <c r="T193" s="42">
        <v>250</v>
      </c>
      <c r="U193" s="42">
        <v>170</v>
      </c>
      <c r="V193" s="42">
        <v>25</v>
      </c>
      <c r="W193" s="42">
        <v>4</v>
      </c>
      <c r="X193" s="42">
        <v>265</v>
      </c>
      <c r="Y193" s="43">
        <v>130</v>
      </c>
      <c r="Z193" s="43">
        <v>150</v>
      </c>
      <c r="AA193" s="43">
        <v>30</v>
      </c>
      <c r="AB193" s="43">
        <v>95</v>
      </c>
      <c r="AC193" s="43">
        <v>250</v>
      </c>
      <c r="AD193" s="43">
        <v>260</v>
      </c>
      <c r="AE193" s="43">
        <v>280</v>
      </c>
      <c r="AF193" s="43">
        <v>200</v>
      </c>
      <c r="AG193" s="43">
        <v>30</v>
      </c>
      <c r="AH193" s="43">
        <v>6</v>
      </c>
      <c r="AI193" s="43">
        <v>300</v>
      </c>
      <c r="AJ193" s="41">
        <f t="shared" si="21"/>
        <v>0</v>
      </c>
      <c r="AK193" s="41">
        <f t="shared" si="26"/>
        <v>0</v>
      </c>
      <c r="AL193" s="41">
        <f t="shared" si="26"/>
        <v>0</v>
      </c>
      <c r="AM193" s="41">
        <f t="shared" si="26"/>
        <v>0</v>
      </c>
      <c r="AN193" s="41">
        <f t="shared" si="26"/>
        <v>0</v>
      </c>
      <c r="AO193" s="41">
        <f t="shared" si="26"/>
        <v>0</v>
      </c>
      <c r="AP193" s="41">
        <f t="shared" si="24"/>
        <v>0</v>
      </c>
      <c r="AQ193" s="41">
        <f t="shared" si="24"/>
        <v>0</v>
      </c>
      <c r="AR193" s="41">
        <f t="shared" si="24"/>
        <v>0</v>
      </c>
      <c r="AS193" s="41">
        <f t="shared" si="24"/>
        <v>0</v>
      </c>
      <c r="AT193" s="41">
        <f t="shared" si="24"/>
        <v>0</v>
      </c>
      <c r="AU193" s="43">
        <f t="shared" si="25"/>
        <v>0</v>
      </c>
      <c r="AV193" s="43">
        <f t="shared" si="25"/>
        <v>0</v>
      </c>
      <c r="AW193" s="43">
        <f t="shared" si="25"/>
        <v>0</v>
      </c>
      <c r="AX193" s="43">
        <f t="shared" si="25"/>
        <v>0</v>
      </c>
      <c r="AY193" s="43">
        <f t="shared" si="25"/>
        <v>0</v>
      </c>
      <c r="AZ193" s="43">
        <f t="shared" si="25"/>
        <v>0</v>
      </c>
      <c r="BA193" s="43">
        <f t="shared" si="25"/>
        <v>0</v>
      </c>
      <c r="BB193" s="43">
        <f t="shared" si="25"/>
        <v>0</v>
      </c>
      <c r="BC193" s="43">
        <f t="shared" si="25"/>
        <v>0</v>
      </c>
      <c r="BD193" s="43">
        <f t="shared" si="25"/>
        <v>0</v>
      </c>
      <c r="BE193" s="43">
        <f t="shared" si="25"/>
        <v>0</v>
      </c>
      <c r="BF193" s="41">
        <f t="shared" si="23"/>
        <v>0</v>
      </c>
      <c r="BG193" s="41" t="str">
        <f t="array" ref="BG193">_xlfn.IFS(
OR(MONTH(A193)=11,MONTH(A193)=12,MONTH(A193)=1,MONTH(A193)=2),"Winter",
OR(MONTH(A193)=3,MONTH(A193)=4),"Spring",
OR(MONTH(A193)=5,MONTH(A193)=6),"Summer",
OR(MONTH(A193)=7,MONTH(A193)=8,MONTH(A193)=9),"Monsoon",
MONTH(A193)=10,"Autumn/Festive",
TRUE,""
)</f>
        <v>Monsoon</v>
      </c>
    </row>
    <row r="194" spans="1:59" x14ac:dyDescent="0.3">
      <c r="A194" s="39">
        <v>45519</v>
      </c>
      <c r="B194" s="40" t="str">
        <f t="shared" si="20"/>
        <v>August</v>
      </c>
      <c r="C194" s="41">
        <v>11</v>
      </c>
      <c r="D194" s="41">
        <v>0</v>
      </c>
      <c r="E194" s="41">
        <v>0</v>
      </c>
      <c r="F194" s="41">
        <v>0</v>
      </c>
      <c r="G194" s="41">
        <v>8</v>
      </c>
      <c r="H194" s="41">
        <v>0</v>
      </c>
      <c r="I194" s="41">
        <v>0</v>
      </c>
      <c r="J194" s="41">
        <v>0</v>
      </c>
      <c r="K194" s="41">
        <v>0</v>
      </c>
      <c r="L194" s="41">
        <v>0</v>
      </c>
      <c r="M194" s="41">
        <v>0</v>
      </c>
      <c r="N194" s="42">
        <v>110</v>
      </c>
      <c r="O194" s="42">
        <v>110</v>
      </c>
      <c r="P194" s="42">
        <v>26</v>
      </c>
      <c r="Q194" s="42">
        <v>65</v>
      </c>
      <c r="R194" s="42">
        <v>200</v>
      </c>
      <c r="S194" s="42">
        <v>230</v>
      </c>
      <c r="T194" s="42">
        <v>250</v>
      </c>
      <c r="U194" s="42">
        <v>170</v>
      </c>
      <c r="V194" s="42">
        <v>25</v>
      </c>
      <c r="W194" s="42">
        <v>4</v>
      </c>
      <c r="X194" s="42">
        <v>265</v>
      </c>
      <c r="Y194" s="43">
        <v>130</v>
      </c>
      <c r="Z194" s="43">
        <v>150</v>
      </c>
      <c r="AA194" s="43">
        <v>30</v>
      </c>
      <c r="AB194" s="43">
        <v>95</v>
      </c>
      <c r="AC194" s="43">
        <v>250</v>
      </c>
      <c r="AD194" s="43">
        <v>260</v>
      </c>
      <c r="AE194" s="43">
        <v>280</v>
      </c>
      <c r="AF194" s="43">
        <v>200</v>
      </c>
      <c r="AG194" s="43">
        <v>30</v>
      </c>
      <c r="AH194" s="43">
        <v>6</v>
      </c>
      <c r="AI194" s="43">
        <v>300</v>
      </c>
      <c r="AJ194" s="41">
        <f t="shared" si="21"/>
        <v>1430</v>
      </c>
      <c r="AK194" s="41">
        <f t="shared" si="26"/>
        <v>0</v>
      </c>
      <c r="AL194" s="41">
        <f t="shared" si="26"/>
        <v>0</v>
      </c>
      <c r="AM194" s="41">
        <f t="shared" si="26"/>
        <v>0</v>
      </c>
      <c r="AN194" s="41">
        <f t="shared" si="26"/>
        <v>2000</v>
      </c>
      <c r="AO194" s="41">
        <f t="shared" si="26"/>
        <v>0</v>
      </c>
      <c r="AP194" s="41">
        <f t="shared" si="24"/>
        <v>0</v>
      </c>
      <c r="AQ194" s="41">
        <f t="shared" si="24"/>
        <v>0</v>
      </c>
      <c r="AR194" s="41">
        <f t="shared" si="24"/>
        <v>0</v>
      </c>
      <c r="AS194" s="41">
        <f t="shared" si="24"/>
        <v>0</v>
      </c>
      <c r="AT194" s="41">
        <f t="shared" si="24"/>
        <v>0</v>
      </c>
      <c r="AU194" s="43">
        <f t="shared" si="25"/>
        <v>220</v>
      </c>
      <c r="AV194" s="43">
        <f t="shared" si="25"/>
        <v>0</v>
      </c>
      <c r="AW194" s="43">
        <f t="shared" si="25"/>
        <v>0</v>
      </c>
      <c r="AX194" s="43">
        <f t="shared" si="25"/>
        <v>0</v>
      </c>
      <c r="AY194" s="43">
        <f t="shared" si="25"/>
        <v>400</v>
      </c>
      <c r="AZ194" s="43">
        <f t="shared" si="25"/>
        <v>0</v>
      </c>
      <c r="BA194" s="43">
        <f t="shared" si="25"/>
        <v>0</v>
      </c>
      <c r="BB194" s="43">
        <f t="shared" si="25"/>
        <v>0</v>
      </c>
      <c r="BC194" s="43">
        <f t="shared" si="25"/>
        <v>0</v>
      </c>
      <c r="BD194" s="43">
        <f t="shared" si="25"/>
        <v>0</v>
      </c>
      <c r="BE194" s="43">
        <f t="shared" si="25"/>
        <v>0</v>
      </c>
      <c r="BF194" s="41">
        <f t="shared" si="23"/>
        <v>620</v>
      </c>
      <c r="BG194" s="41" t="str">
        <f t="array" ref="BG194">_xlfn.IFS(
OR(MONTH(A194)=11,MONTH(A194)=12,MONTH(A194)=1,MONTH(A194)=2),"Winter",
OR(MONTH(A194)=3,MONTH(A194)=4),"Spring",
OR(MONTH(A194)=5,MONTH(A194)=6),"Summer",
OR(MONTH(A194)=7,MONTH(A194)=8,MONTH(A194)=9),"Monsoon",
MONTH(A194)=10,"Autumn/Festive",
TRUE,""
)</f>
        <v>Monsoon</v>
      </c>
    </row>
    <row r="195" spans="1:59" x14ac:dyDescent="0.3">
      <c r="A195" s="39">
        <v>45520</v>
      </c>
      <c r="B195" s="40" t="str">
        <f t="shared" si="20"/>
        <v>August</v>
      </c>
      <c r="C195" s="41">
        <v>15</v>
      </c>
      <c r="D195" s="41">
        <v>4</v>
      </c>
      <c r="E195" s="41">
        <v>0</v>
      </c>
      <c r="F195" s="41">
        <v>0</v>
      </c>
      <c r="G195" s="41">
        <v>3</v>
      </c>
      <c r="H195" s="41">
        <v>0</v>
      </c>
      <c r="I195" s="41">
        <v>0</v>
      </c>
      <c r="J195" s="41">
        <v>0</v>
      </c>
      <c r="K195" s="41">
        <v>0</v>
      </c>
      <c r="L195" s="41">
        <v>0</v>
      </c>
      <c r="M195" s="41">
        <v>0</v>
      </c>
      <c r="N195" s="42">
        <v>110</v>
      </c>
      <c r="O195" s="42">
        <v>110</v>
      </c>
      <c r="P195" s="42">
        <v>26</v>
      </c>
      <c r="Q195" s="42">
        <v>65</v>
      </c>
      <c r="R195" s="42">
        <v>200</v>
      </c>
      <c r="S195" s="42">
        <v>230</v>
      </c>
      <c r="T195" s="42">
        <v>250</v>
      </c>
      <c r="U195" s="42">
        <v>170</v>
      </c>
      <c r="V195" s="42">
        <v>25</v>
      </c>
      <c r="W195" s="42">
        <v>4</v>
      </c>
      <c r="X195" s="42">
        <v>265</v>
      </c>
      <c r="Y195" s="43">
        <v>130</v>
      </c>
      <c r="Z195" s="43">
        <v>150</v>
      </c>
      <c r="AA195" s="43">
        <v>30</v>
      </c>
      <c r="AB195" s="43">
        <v>95</v>
      </c>
      <c r="AC195" s="43">
        <v>250</v>
      </c>
      <c r="AD195" s="43">
        <v>260</v>
      </c>
      <c r="AE195" s="43">
        <v>280</v>
      </c>
      <c r="AF195" s="43">
        <v>200</v>
      </c>
      <c r="AG195" s="43">
        <v>30</v>
      </c>
      <c r="AH195" s="43">
        <v>6</v>
      </c>
      <c r="AI195" s="43">
        <v>300</v>
      </c>
      <c r="AJ195" s="41">
        <f t="shared" si="21"/>
        <v>1950</v>
      </c>
      <c r="AK195" s="41">
        <f t="shared" si="26"/>
        <v>600</v>
      </c>
      <c r="AL195" s="41">
        <f t="shared" si="26"/>
        <v>0</v>
      </c>
      <c r="AM195" s="41">
        <f t="shared" si="26"/>
        <v>0</v>
      </c>
      <c r="AN195" s="41">
        <f t="shared" si="26"/>
        <v>750</v>
      </c>
      <c r="AO195" s="41">
        <f t="shared" si="26"/>
        <v>0</v>
      </c>
      <c r="AP195" s="41">
        <f t="shared" si="24"/>
        <v>0</v>
      </c>
      <c r="AQ195" s="41">
        <f t="shared" si="24"/>
        <v>0</v>
      </c>
      <c r="AR195" s="41">
        <f t="shared" si="24"/>
        <v>0</v>
      </c>
      <c r="AS195" s="41">
        <f t="shared" si="24"/>
        <v>0</v>
      </c>
      <c r="AT195" s="41">
        <f t="shared" si="24"/>
        <v>0</v>
      </c>
      <c r="AU195" s="43">
        <f t="shared" si="25"/>
        <v>300</v>
      </c>
      <c r="AV195" s="43">
        <f t="shared" si="25"/>
        <v>160</v>
      </c>
      <c r="AW195" s="43">
        <f t="shared" si="25"/>
        <v>0</v>
      </c>
      <c r="AX195" s="43">
        <f t="shared" si="25"/>
        <v>0</v>
      </c>
      <c r="AY195" s="43">
        <f t="shared" si="25"/>
        <v>150</v>
      </c>
      <c r="AZ195" s="43">
        <f t="shared" si="25"/>
        <v>0</v>
      </c>
      <c r="BA195" s="43">
        <f t="shared" si="25"/>
        <v>0</v>
      </c>
      <c r="BB195" s="43">
        <f t="shared" si="25"/>
        <v>0</v>
      </c>
      <c r="BC195" s="43">
        <f t="shared" si="25"/>
        <v>0</v>
      </c>
      <c r="BD195" s="43">
        <f t="shared" si="25"/>
        <v>0</v>
      </c>
      <c r="BE195" s="43">
        <f t="shared" si="25"/>
        <v>0</v>
      </c>
      <c r="BF195" s="41">
        <f t="shared" si="23"/>
        <v>610</v>
      </c>
      <c r="BG195" s="41" t="str">
        <f t="array" ref="BG195">_xlfn.IFS(
OR(MONTH(A195)=11,MONTH(A195)=12,MONTH(A195)=1,MONTH(A195)=2),"Winter",
OR(MONTH(A195)=3,MONTH(A195)=4),"Spring",
OR(MONTH(A195)=5,MONTH(A195)=6),"Summer",
OR(MONTH(A195)=7,MONTH(A195)=8,MONTH(A195)=9),"Monsoon",
MONTH(A195)=10,"Autumn/Festive",
TRUE,""
)</f>
        <v>Monsoon</v>
      </c>
    </row>
    <row r="196" spans="1:59" x14ac:dyDescent="0.3">
      <c r="A196" s="39">
        <v>45521</v>
      </c>
      <c r="B196" s="40" t="str">
        <f t="shared" ref="B196:B259" si="27">TEXT(A196,"mmmm")</f>
        <v>August</v>
      </c>
      <c r="C196" s="41">
        <v>21</v>
      </c>
      <c r="D196" s="41">
        <v>4</v>
      </c>
      <c r="E196" s="41">
        <v>0</v>
      </c>
      <c r="F196" s="41">
        <v>3</v>
      </c>
      <c r="G196" s="41">
        <v>0</v>
      </c>
      <c r="H196" s="41">
        <v>0</v>
      </c>
      <c r="I196" s="41">
        <v>0</v>
      </c>
      <c r="J196" s="41">
        <v>0</v>
      </c>
      <c r="K196" s="41">
        <v>0</v>
      </c>
      <c r="L196" s="41">
        <v>0</v>
      </c>
      <c r="M196" s="41">
        <v>0</v>
      </c>
      <c r="N196" s="42">
        <v>110</v>
      </c>
      <c r="O196" s="42">
        <v>110</v>
      </c>
      <c r="P196" s="42">
        <v>26</v>
      </c>
      <c r="Q196" s="42">
        <v>65</v>
      </c>
      <c r="R196" s="42">
        <v>200</v>
      </c>
      <c r="S196" s="42">
        <v>230</v>
      </c>
      <c r="T196" s="42">
        <v>250</v>
      </c>
      <c r="U196" s="42">
        <v>170</v>
      </c>
      <c r="V196" s="42">
        <v>25</v>
      </c>
      <c r="W196" s="42">
        <v>4</v>
      </c>
      <c r="X196" s="42">
        <v>265</v>
      </c>
      <c r="Y196" s="43">
        <v>130</v>
      </c>
      <c r="Z196" s="43">
        <v>150</v>
      </c>
      <c r="AA196" s="43">
        <v>30</v>
      </c>
      <c r="AB196" s="43">
        <v>95</v>
      </c>
      <c r="AC196" s="43">
        <v>250</v>
      </c>
      <c r="AD196" s="43">
        <v>260</v>
      </c>
      <c r="AE196" s="43">
        <v>280</v>
      </c>
      <c r="AF196" s="43">
        <v>200</v>
      </c>
      <c r="AG196" s="43">
        <v>30</v>
      </c>
      <c r="AH196" s="43">
        <v>6</v>
      </c>
      <c r="AI196" s="43">
        <v>300</v>
      </c>
      <c r="AJ196" s="41">
        <f t="shared" ref="AJ196:AJ259" si="28" xml:space="preserve"> Y196*C196</f>
        <v>2730</v>
      </c>
      <c r="AK196" s="41">
        <f t="shared" si="26"/>
        <v>600</v>
      </c>
      <c r="AL196" s="41">
        <f t="shared" si="26"/>
        <v>0</v>
      </c>
      <c r="AM196" s="41">
        <f t="shared" si="26"/>
        <v>285</v>
      </c>
      <c r="AN196" s="41">
        <f t="shared" si="26"/>
        <v>0</v>
      </c>
      <c r="AO196" s="41">
        <f t="shared" si="26"/>
        <v>0</v>
      </c>
      <c r="AP196" s="41">
        <f t="shared" si="24"/>
        <v>0</v>
      </c>
      <c r="AQ196" s="41">
        <f t="shared" si="24"/>
        <v>0</v>
      </c>
      <c r="AR196" s="41">
        <f t="shared" si="24"/>
        <v>0</v>
      </c>
      <c r="AS196" s="41">
        <f t="shared" si="24"/>
        <v>0</v>
      </c>
      <c r="AT196" s="41">
        <f t="shared" si="24"/>
        <v>0</v>
      </c>
      <c r="AU196" s="43">
        <f t="shared" si="25"/>
        <v>420</v>
      </c>
      <c r="AV196" s="43">
        <f t="shared" si="25"/>
        <v>160</v>
      </c>
      <c r="AW196" s="43">
        <f t="shared" si="25"/>
        <v>0</v>
      </c>
      <c r="AX196" s="43">
        <f t="shared" si="25"/>
        <v>90</v>
      </c>
      <c r="AY196" s="43">
        <f t="shared" si="25"/>
        <v>0</v>
      </c>
      <c r="AZ196" s="43">
        <f t="shared" si="25"/>
        <v>0</v>
      </c>
      <c r="BA196" s="43">
        <f t="shared" si="25"/>
        <v>0</v>
      </c>
      <c r="BB196" s="43">
        <f t="shared" si="25"/>
        <v>0</v>
      </c>
      <c r="BC196" s="43">
        <f t="shared" si="25"/>
        <v>0</v>
      </c>
      <c r="BD196" s="43">
        <f t="shared" si="25"/>
        <v>0</v>
      </c>
      <c r="BE196" s="43">
        <f t="shared" si="25"/>
        <v>0</v>
      </c>
      <c r="BF196" s="41">
        <f t="shared" ref="BF196:BF259" si="29">SUM(AU196:BE196)</f>
        <v>670</v>
      </c>
      <c r="BG196" s="41" t="str">
        <f t="array" ref="BG196">_xlfn.IFS(
OR(MONTH(A196)=11,MONTH(A196)=12,MONTH(A196)=1,MONTH(A196)=2),"Winter",
OR(MONTH(A196)=3,MONTH(A196)=4),"Spring",
OR(MONTH(A196)=5,MONTH(A196)=6),"Summer",
OR(MONTH(A196)=7,MONTH(A196)=8,MONTH(A196)=9),"Monsoon",
MONTH(A196)=10,"Autumn/Festive",
TRUE,""
)</f>
        <v>Monsoon</v>
      </c>
    </row>
    <row r="197" spans="1:59" x14ac:dyDescent="0.3">
      <c r="A197" s="39">
        <v>45522</v>
      </c>
      <c r="B197" s="40" t="str">
        <f t="shared" si="27"/>
        <v>August</v>
      </c>
      <c r="C197" s="41">
        <v>21</v>
      </c>
      <c r="D197" s="41">
        <v>3</v>
      </c>
      <c r="E197" s="41">
        <v>0</v>
      </c>
      <c r="F197" s="41">
        <v>0</v>
      </c>
      <c r="G197" s="41">
        <v>4</v>
      </c>
      <c r="H197" s="41">
        <v>0</v>
      </c>
      <c r="I197" s="41">
        <v>0</v>
      </c>
      <c r="J197" s="41">
        <v>0</v>
      </c>
      <c r="K197" s="41">
        <v>0</v>
      </c>
      <c r="L197" s="41">
        <v>0</v>
      </c>
      <c r="M197" s="41">
        <v>0</v>
      </c>
      <c r="N197" s="42">
        <v>110</v>
      </c>
      <c r="O197" s="42">
        <v>110</v>
      </c>
      <c r="P197" s="42">
        <v>26</v>
      </c>
      <c r="Q197" s="42">
        <v>65</v>
      </c>
      <c r="R197" s="42">
        <v>200</v>
      </c>
      <c r="S197" s="42">
        <v>230</v>
      </c>
      <c r="T197" s="42">
        <v>250</v>
      </c>
      <c r="U197" s="42">
        <v>170</v>
      </c>
      <c r="V197" s="42">
        <v>25</v>
      </c>
      <c r="W197" s="42">
        <v>4</v>
      </c>
      <c r="X197" s="42">
        <v>265</v>
      </c>
      <c r="Y197" s="43">
        <v>130</v>
      </c>
      <c r="Z197" s="43">
        <v>150</v>
      </c>
      <c r="AA197" s="43">
        <v>30</v>
      </c>
      <c r="AB197" s="43">
        <v>95</v>
      </c>
      <c r="AC197" s="43">
        <v>250</v>
      </c>
      <c r="AD197" s="43">
        <v>260</v>
      </c>
      <c r="AE197" s="43">
        <v>280</v>
      </c>
      <c r="AF197" s="43">
        <v>200</v>
      </c>
      <c r="AG197" s="43">
        <v>30</v>
      </c>
      <c r="AH197" s="43">
        <v>6</v>
      </c>
      <c r="AI197" s="43">
        <v>300</v>
      </c>
      <c r="AJ197" s="41">
        <f t="shared" si="28"/>
        <v>2730</v>
      </c>
      <c r="AK197" s="41">
        <f t="shared" si="26"/>
        <v>450</v>
      </c>
      <c r="AL197" s="41">
        <f t="shared" si="26"/>
        <v>0</v>
      </c>
      <c r="AM197" s="41">
        <f t="shared" si="26"/>
        <v>0</v>
      </c>
      <c r="AN197" s="41">
        <f t="shared" si="26"/>
        <v>1000</v>
      </c>
      <c r="AO197" s="41">
        <f t="shared" si="26"/>
        <v>0</v>
      </c>
      <c r="AP197" s="41">
        <f t="shared" si="24"/>
        <v>0</v>
      </c>
      <c r="AQ197" s="41">
        <f t="shared" si="24"/>
        <v>0</v>
      </c>
      <c r="AR197" s="41">
        <f t="shared" si="24"/>
        <v>0</v>
      </c>
      <c r="AS197" s="41">
        <f t="shared" si="24"/>
        <v>0</v>
      </c>
      <c r="AT197" s="41">
        <f t="shared" si="24"/>
        <v>0</v>
      </c>
      <c r="AU197" s="43">
        <f t="shared" si="25"/>
        <v>420</v>
      </c>
      <c r="AV197" s="43">
        <f t="shared" si="25"/>
        <v>120</v>
      </c>
      <c r="AW197" s="43">
        <f t="shared" si="25"/>
        <v>0</v>
      </c>
      <c r="AX197" s="43">
        <f t="shared" si="25"/>
        <v>0</v>
      </c>
      <c r="AY197" s="43">
        <f t="shared" si="25"/>
        <v>200</v>
      </c>
      <c r="AZ197" s="43">
        <f t="shared" si="25"/>
        <v>0</v>
      </c>
      <c r="BA197" s="43">
        <f t="shared" si="25"/>
        <v>0</v>
      </c>
      <c r="BB197" s="43">
        <f t="shared" si="25"/>
        <v>0</v>
      </c>
      <c r="BC197" s="43">
        <f t="shared" si="25"/>
        <v>0</v>
      </c>
      <c r="BD197" s="43">
        <f t="shared" si="25"/>
        <v>0</v>
      </c>
      <c r="BE197" s="43">
        <f t="shared" si="25"/>
        <v>0</v>
      </c>
      <c r="BF197" s="41">
        <f t="shared" si="29"/>
        <v>740</v>
      </c>
      <c r="BG197" s="41" t="str">
        <f t="array" ref="BG197">_xlfn.IFS(
OR(MONTH(A197)=11,MONTH(A197)=12,MONTH(A197)=1,MONTH(A197)=2),"Winter",
OR(MONTH(A197)=3,MONTH(A197)=4),"Spring",
OR(MONTH(A197)=5,MONTH(A197)=6),"Summer",
OR(MONTH(A197)=7,MONTH(A197)=8,MONTH(A197)=9),"Monsoon",
MONTH(A197)=10,"Autumn/Festive",
TRUE,""
)</f>
        <v>Monsoon</v>
      </c>
    </row>
    <row r="198" spans="1:59" x14ac:dyDescent="0.3">
      <c r="A198" s="39">
        <v>45523</v>
      </c>
      <c r="B198" s="40" t="str">
        <f t="shared" si="27"/>
        <v>August</v>
      </c>
      <c r="C198" s="41">
        <v>11</v>
      </c>
      <c r="D198" s="41">
        <v>3</v>
      </c>
      <c r="E198" s="41">
        <v>0</v>
      </c>
      <c r="F198" s="41">
        <v>2</v>
      </c>
      <c r="G198" s="41">
        <v>4</v>
      </c>
      <c r="H198" s="41">
        <v>0</v>
      </c>
      <c r="I198" s="41">
        <v>0</v>
      </c>
      <c r="J198" s="41">
        <v>0</v>
      </c>
      <c r="K198" s="41">
        <v>0</v>
      </c>
      <c r="L198" s="41">
        <v>0</v>
      </c>
      <c r="M198" s="41">
        <v>0</v>
      </c>
      <c r="N198" s="42">
        <v>110</v>
      </c>
      <c r="O198" s="42">
        <v>110</v>
      </c>
      <c r="P198" s="42">
        <v>26</v>
      </c>
      <c r="Q198" s="42">
        <v>65</v>
      </c>
      <c r="R198" s="42">
        <v>200</v>
      </c>
      <c r="S198" s="42">
        <v>230</v>
      </c>
      <c r="T198" s="42">
        <v>250</v>
      </c>
      <c r="U198" s="42">
        <v>170</v>
      </c>
      <c r="V198" s="42">
        <v>25</v>
      </c>
      <c r="W198" s="42">
        <v>4</v>
      </c>
      <c r="X198" s="42">
        <v>265</v>
      </c>
      <c r="Y198" s="43">
        <v>130</v>
      </c>
      <c r="Z198" s="43">
        <v>150</v>
      </c>
      <c r="AA198" s="43">
        <v>30</v>
      </c>
      <c r="AB198" s="43">
        <v>95</v>
      </c>
      <c r="AC198" s="43">
        <v>250</v>
      </c>
      <c r="AD198" s="43">
        <v>260</v>
      </c>
      <c r="AE198" s="43">
        <v>280</v>
      </c>
      <c r="AF198" s="43">
        <v>200</v>
      </c>
      <c r="AG198" s="43">
        <v>30</v>
      </c>
      <c r="AH198" s="43">
        <v>6</v>
      </c>
      <c r="AI198" s="43">
        <v>300</v>
      </c>
      <c r="AJ198" s="41">
        <f t="shared" si="28"/>
        <v>1430</v>
      </c>
      <c r="AK198" s="41">
        <f t="shared" si="26"/>
        <v>450</v>
      </c>
      <c r="AL198" s="41">
        <f t="shared" si="26"/>
        <v>0</v>
      </c>
      <c r="AM198" s="41">
        <f t="shared" si="26"/>
        <v>190</v>
      </c>
      <c r="AN198" s="41">
        <f t="shared" si="26"/>
        <v>1000</v>
      </c>
      <c r="AO198" s="41">
        <f t="shared" si="26"/>
        <v>0</v>
      </c>
      <c r="AP198" s="41">
        <f t="shared" si="24"/>
        <v>0</v>
      </c>
      <c r="AQ198" s="41">
        <f t="shared" si="24"/>
        <v>0</v>
      </c>
      <c r="AR198" s="41">
        <f t="shared" si="24"/>
        <v>0</v>
      </c>
      <c r="AS198" s="41">
        <f t="shared" si="24"/>
        <v>0</v>
      </c>
      <c r="AT198" s="41">
        <f t="shared" si="24"/>
        <v>0</v>
      </c>
      <c r="AU198" s="43">
        <f t="shared" si="25"/>
        <v>220</v>
      </c>
      <c r="AV198" s="43">
        <f t="shared" si="25"/>
        <v>120</v>
      </c>
      <c r="AW198" s="43">
        <f t="shared" si="25"/>
        <v>0</v>
      </c>
      <c r="AX198" s="43">
        <f t="shared" si="25"/>
        <v>60</v>
      </c>
      <c r="AY198" s="43">
        <f t="shared" si="25"/>
        <v>200</v>
      </c>
      <c r="AZ198" s="43">
        <f t="shared" si="25"/>
        <v>0</v>
      </c>
      <c r="BA198" s="43">
        <f t="shared" si="25"/>
        <v>0</v>
      </c>
      <c r="BB198" s="43">
        <f t="shared" si="25"/>
        <v>0</v>
      </c>
      <c r="BC198" s="43">
        <f t="shared" si="25"/>
        <v>0</v>
      </c>
      <c r="BD198" s="43">
        <f t="shared" si="25"/>
        <v>0</v>
      </c>
      <c r="BE198" s="43">
        <f t="shared" si="25"/>
        <v>0</v>
      </c>
      <c r="BF198" s="41">
        <f t="shared" si="29"/>
        <v>600</v>
      </c>
      <c r="BG198" s="41" t="str">
        <f t="array" ref="BG198">_xlfn.IFS(
OR(MONTH(A198)=11,MONTH(A198)=12,MONTH(A198)=1,MONTH(A198)=2),"Winter",
OR(MONTH(A198)=3,MONTH(A198)=4),"Spring",
OR(MONTH(A198)=5,MONTH(A198)=6),"Summer",
OR(MONTH(A198)=7,MONTH(A198)=8,MONTH(A198)=9),"Monsoon",
MONTH(A198)=10,"Autumn/Festive",
TRUE,""
)</f>
        <v>Monsoon</v>
      </c>
    </row>
    <row r="199" spans="1:59" x14ac:dyDescent="0.3">
      <c r="A199" s="39">
        <v>45524</v>
      </c>
      <c r="B199" s="40" t="str">
        <f t="shared" si="27"/>
        <v>August</v>
      </c>
      <c r="C199" s="41">
        <v>22</v>
      </c>
      <c r="D199" s="41">
        <v>0</v>
      </c>
      <c r="E199" s="41">
        <v>0</v>
      </c>
      <c r="F199" s="41">
        <v>0</v>
      </c>
      <c r="G199" s="41">
        <v>0</v>
      </c>
      <c r="H199" s="41">
        <v>0</v>
      </c>
      <c r="I199" s="41">
        <v>0</v>
      </c>
      <c r="J199" s="41">
        <v>0</v>
      </c>
      <c r="K199" s="41">
        <v>0</v>
      </c>
      <c r="L199" s="41">
        <v>0</v>
      </c>
      <c r="M199" s="41">
        <v>0</v>
      </c>
      <c r="N199" s="42">
        <v>110</v>
      </c>
      <c r="O199" s="42">
        <v>110</v>
      </c>
      <c r="P199" s="42">
        <v>26</v>
      </c>
      <c r="Q199" s="42">
        <v>65</v>
      </c>
      <c r="R199" s="42">
        <v>200</v>
      </c>
      <c r="S199" s="42">
        <v>230</v>
      </c>
      <c r="T199" s="42">
        <v>250</v>
      </c>
      <c r="U199" s="42">
        <v>170</v>
      </c>
      <c r="V199" s="42">
        <v>25</v>
      </c>
      <c r="W199" s="42">
        <v>4</v>
      </c>
      <c r="X199" s="42">
        <v>265</v>
      </c>
      <c r="Y199" s="43">
        <v>130</v>
      </c>
      <c r="Z199" s="43">
        <v>150</v>
      </c>
      <c r="AA199" s="43">
        <v>30</v>
      </c>
      <c r="AB199" s="43">
        <v>95</v>
      </c>
      <c r="AC199" s="43">
        <v>250</v>
      </c>
      <c r="AD199" s="43">
        <v>260</v>
      </c>
      <c r="AE199" s="43">
        <v>280</v>
      </c>
      <c r="AF199" s="43">
        <v>200</v>
      </c>
      <c r="AG199" s="43">
        <v>30</v>
      </c>
      <c r="AH199" s="43">
        <v>6</v>
      </c>
      <c r="AI199" s="43">
        <v>300</v>
      </c>
      <c r="AJ199" s="41">
        <f t="shared" si="28"/>
        <v>2860</v>
      </c>
      <c r="AK199" s="41">
        <f t="shared" si="26"/>
        <v>0</v>
      </c>
      <c r="AL199" s="41">
        <f t="shared" si="26"/>
        <v>0</v>
      </c>
      <c r="AM199" s="41">
        <f t="shared" si="26"/>
        <v>0</v>
      </c>
      <c r="AN199" s="41">
        <f t="shared" si="26"/>
        <v>0</v>
      </c>
      <c r="AO199" s="41">
        <f t="shared" si="26"/>
        <v>0</v>
      </c>
      <c r="AP199" s="41">
        <f t="shared" si="24"/>
        <v>0</v>
      </c>
      <c r="AQ199" s="41">
        <f t="shared" si="24"/>
        <v>0</v>
      </c>
      <c r="AR199" s="41">
        <f t="shared" si="24"/>
        <v>0</v>
      </c>
      <c r="AS199" s="41">
        <f t="shared" si="24"/>
        <v>0</v>
      </c>
      <c r="AT199" s="41">
        <f t="shared" si="24"/>
        <v>0</v>
      </c>
      <c r="AU199" s="43">
        <f t="shared" si="25"/>
        <v>440</v>
      </c>
      <c r="AV199" s="43">
        <f t="shared" si="25"/>
        <v>0</v>
      </c>
      <c r="AW199" s="43">
        <f t="shared" si="25"/>
        <v>0</v>
      </c>
      <c r="AX199" s="43">
        <f t="shared" si="25"/>
        <v>0</v>
      </c>
      <c r="AY199" s="43">
        <f t="shared" si="25"/>
        <v>0</v>
      </c>
      <c r="AZ199" s="43">
        <f t="shared" si="25"/>
        <v>0</v>
      </c>
      <c r="BA199" s="43">
        <f t="shared" si="25"/>
        <v>0</v>
      </c>
      <c r="BB199" s="43">
        <f t="shared" si="25"/>
        <v>0</v>
      </c>
      <c r="BC199" s="43">
        <f t="shared" si="25"/>
        <v>0</v>
      </c>
      <c r="BD199" s="43">
        <f t="shared" si="25"/>
        <v>0</v>
      </c>
      <c r="BE199" s="43">
        <f t="shared" si="25"/>
        <v>0</v>
      </c>
      <c r="BF199" s="41">
        <f t="shared" si="29"/>
        <v>440</v>
      </c>
      <c r="BG199" s="41" t="str">
        <f t="array" ref="BG199">_xlfn.IFS(
OR(MONTH(A199)=11,MONTH(A199)=12,MONTH(A199)=1,MONTH(A199)=2),"Winter",
OR(MONTH(A199)=3,MONTH(A199)=4),"Spring",
OR(MONTH(A199)=5,MONTH(A199)=6),"Summer",
OR(MONTH(A199)=7,MONTH(A199)=8,MONTH(A199)=9),"Monsoon",
MONTH(A199)=10,"Autumn/Festive",
TRUE,""
)</f>
        <v>Monsoon</v>
      </c>
    </row>
    <row r="200" spans="1:59" x14ac:dyDescent="0.3">
      <c r="A200" s="39">
        <v>45525</v>
      </c>
      <c r="B200" s="40" t="str">
        <f t="shared" si="27"/>
        <v>August</v>
      </c>
      <c r="C200" s="41">
        <v>9</v>
      </c>
      <c r="D200" s="41">
        <v>2</v>
      </c>
      <c r="E200" s="41">
        <v>0</v>
      </c>
      <c r="F200" s="41">
        <v>0</v>
      </c>
      <c r="G200" s="41">
        <v>2</v>
      </c>
      <c r="H200" s="41">
        <v>0</v>
      </c>
      <c r="I200" s="41">
        <v>0</v>
      </c>
      <c r="J200" s="41">
        <v>0</v>
      </c>
      <c r="K200" s="41">
        <v>0</v>
      </c>
      <c r="L200" s="41">
        <v>0</v>
      </c>
      <c r="M200" s="41">
        <v>0</v>
      </c>
      <c r="N200" s="42">
        <v>110</v>
      </c>
      <c r="O200" s="42">
        <v>110</v>
      </c>
      <c r="P200" s="42">
        <v>26</v>
      </c>
      <c r="Q200" s="42">
        <v>65</v>
      </c>
      <c r="R200" s="42">
        <v>200</v>
      </c>
      <c r="S200" s="42">
        <v>230</v>
      </c>
      <c r="T200" s="42">
        <v>250</v>
      </c>
      <c r="U200" s="42">
        <v>170</v>
      </c>
      <c r="V200" s="42">
        <v>25</v>
      </c>
      <c r="W200" s="42">
        <v>4</v>
      </c>
      <c r="X200" s="42">
        <v>265</v>
      </c>
      <c r="Y200" s="43">
        <v>130</v>
      </c>
      <c r="Z200" s="43">
        <v>150</v>
      </c>
      <c r="AA200" s="43">
        <v>30</v>
      </c>
      <c r="AB200" s="43">
        <v>95</v>
      </c>
      <c r="AC200" s="43">
        <v>250</v>
      </c>
      <c r="AD200" s="43">
        <v>260</v>
      </c>
      <c r="AE200" s="43">
        <v>280</v>
      </c>
      <c r="AF200" s="43">
        <v>200</v>
      </c>
      <c r="AG200" s="43">
        <v>30</v>
      </c>
      <c r="AH200" s="43">
        <v>6</v>
      </c>
      <c r="AI200" s="43">
        <v>300</v>
      </c>
      <c r="AJ200" s="41">
        <f t="shared" si="28"/>
        <v>1170</v>
      </c>
      <c r="AK200" s="41">
        <f t="shared" si="26"/>
        <v>300</v>
      </c>
      <c r="AL200" s="41">
        <f t="shared" si="26"/>
        <v>0</v>
      </c>
      <c r="AM200" s="41">
        <f t="shared" si="26"/>
        <v>0</v>
      </c>
      <c r="AN200" s="41">
        <f t="shared" si="26"/>
        <v>500</v>
      </c>
      <c r="AO200" s="41">
        <f t="shared" si="26"/>
        <v>0</v>
      </c>
      <c r="AP200" s="41">
        <f t="shared" si="24"/>
        <v>0</v>
      </c>
      <c r="AQ200" s="41">
        <f t="shared" si="24"/>
        <v>0</v>
      </c>
      <c r="AR200" s="41">
        <f t="shared" si="24"/>
        <v>0</v>
      </c>
      <c r="AS200" s="41">
        <f t="shared" si="24"/>
        <v>0</v>
      </c>
      <c r="AT200" s="41">
        <f t="shared" si="24"/>
        <v>0</v>
      </c>
      <c r="AU200" s="43">
        <f t="shared" si="25"/>
        <v>180</v>
      </c>
      <c r="AV200" s="43">
        <f t="shared" si="25"/>
        <v>80</v>
      </c>
      <c r="AW200" s="43">
        <f t="shared" si="25"/>
        <v>0</v>
      </c>
      <c r="AX200" s="43">
        <f t="shared" si="25"/>
        <v>0</v>
      </c>
      <c r="AY200" s="43">
        <f t="shared" si="25"/>
        <v>100</v>
      </c>
      <c r="AZ200" s="43">
        <f t="shared" si="25"/>
        <v>0</v>
      </c>
      <c r="BA200" s="43">
        <f t="shared" si="25"/>
        <v>0</v>
      </c>
      <c r="BB200" s="43">
        <f t="shared" si="25"/>
        <v>0</v>
      </c>
      <c r="BC200" s="43">
        <f t="shared" si="25"/>
        <v>0</v>
      </c>
      <c r="BD200" s="43">
        <f t="shared" si="25"/>
        <v>0</v>
      </c>
      <c r="BE200" s="43">
        <f t="shared" si="25"/>
        <v>0</v>
      </c>
      <c r="BF200" s="41">
        <f t="shared" si="29"/>
        <v>360</v>
      </c>
      <c r="BG200" s="41" t="str">
        <f t="array" ref="BG200">_xlfn.IFS(
OR(MONTH(A200)=11,MONTH(A200)=12,MONTH(A200)=1,MONTH(A200)=2),"Winter",
OR(MONTH(A200)=3,MONTH(A200)=4),"Spring",
OR(MONTH(A200)=5,MONTH(A200)=6),"Summer",
OR(MONTH(A200)=7,MONTH(A200)=8,MONTH(A200)=9),"Monsoon",
MONTH(A200)=10,"Autumn/Festive",
TRUE,""
)</f>
        <v>Monsoon</v>
      </c>
    </row>
    <row r="201" spans="1:59" x14ac:dyDescent="0.3">
      <c r="A201" s="39">
        <v>45526</v>
      </c>
      <c r="B201" s="40" t="str">
        <f t="shared" si="27"/>
        <v>August</v>
      </c>
      <c r="C201" s="41">
        <v>6</v>
      </c>
      <c r="D201" s="41">
        <v>2</v>
      </c>
      <c r="E201" s="41">
        <v>0</v>
      </c>
      <c r="F201" s="41">
        <v>0</v>
      </c>
      <c r="G201" s="41">
        <v>5</v>
      </c>
      <c r="H201" s="41">
        <v>0</v>
      </c>
      <c r="I201" s="41">
        <v>0</v>
      </c>
      <c r="J201" s="41">
        <v>0</v>
      </c>
      <c r="K201" s="41">
        <v>0</v>
      </c>
      <c r="L201" s="41">
        <v>0</v>
      </c>
      <c r="M201" s="41">
        <v>0</v>
      </c>
      <c r="N201" s="42">
        <v>110</v>
      </c>
      <c r="O201" s="42">
        <v>110</v>
      </c>
      <c r="P201" s="42">
        <v>26</v>
      </c>
      <c r="Q201" s="42">
        <v>65</v>
      </c>
      <c r="R201" s="42">
        <v>200</v>
      </c>
      <c r="S201" s="42">
        <v>230</v>
      </c>
      <c r="T201" s="42">
        <v>250</v>
      </c>
      <c r="U201" s="42">
        <v>170</v>
      </c>
      <c r="V201" s="42">
        <v>25</v>
      </c>
      <c r="W201" s="42">
        <v>4</v>
      </c>
      <c r="X201" s="42">
        <v>265</v>
      </c>
      <c r="Y201" s="43">
        <v>130</v>
      </c>
      <c r="Z201" s="43">
        <v>150</v>
      </c>
      <c r="AA201" s="43">
        <v>30</v>
      </c>
      <c r="AB201" s="43">
        <v>95</v>
      </c>
      <c r="AC201" s="43">
        <v>250</v>
      </c>
      <c r="AD201" s="43">
        <v>260</v>
      </c>
      <c r="AE201" s="43">
        <v>280</v>
      </c>
      <c r="AF201" s="43">
        <v>200</v>
      </c>
      <c r="AG201" s="43">
        <v>30</v>
      </c>
      <c r="AH201" s="43">
        <v>6</v>
      </c>
      <c r="AI201" s="43">
        <v>300</v>
      </c>
      <c r="AJ201" s="41">
        <f t="shared" si="28"/>
        <v>780</v>
      </c>
      <c r="AK201" s="41">
        <f t="shared" si="26"/>
        <v>300</v>
      </c>
      <c r="AL201" s="41">
        <f t="shared" si="26"/>
        <v>0</v>
      </c>
      <c r="AM201" s="41">
        <f t="shared" si="26"/>
        <v>0</v>
      </c>
      <c r="AN201" s="41">
        <f t="shared" si="26"/>
        <v>1250</v>
      </c>
      <c r="AO201" s="41">
        <f t="shared" si="26"/>
        <v>0</v>
      </c>
      <c r="AP201" s="41">
        <f t="shared" si="24"/>
        <v>0</v>
      </c>
      <c r="AQ201" s="41">
        <f t="shared" si="24"/>
        <v>0</v>
      </c>
      <c r="AR201" s="41">
        <f t="shared" si="24"/>
        <v>0</v>
      </c>
      <c r="AS201" s="41">
        <f t="shared" si="24"/>
        <v>0</v>
      </c>
      <c r="AT201" s="41">
        <f t="shared" si="24"/>
        <v>0</v>
      </c>
      <c r="AU201" s="43">
        <f t="shared" si="25"/>
        <v>120</v>
      </c>
      <c r="AV201" s="43">
        <f t="shared" si="25"/>
        <v>80</v>
      </c>
      <c r="AW201" s="43">
        <f t="shared" si="25"/>
        <v>0</v>
      </c>
      <c r="AX201" s="43">
        <f t="shared" si="25"/>
        <v>0</v>
      </c>
      <c r="AY201" s="43">
        <f t="shared" si="25"/>
        <v>250</v>
      </c>
      <c r="AZ201" s="43">
        <f t="shared" si="25"/>
        <v>0</v>
      </c>
      <c r="BA201" s="43">
        <f t="shared" si="25"/>
        <v>0</v>
      </c>
      <c r="BB201" s="43">
        <f t="shared" si="25"/>
        <v>0</v>
      </c>
      <c r="BC201" s="43">
        <f t="shared" si="25"/>
        <v>0</v>
      </c>
      <c r="BD201" s="43">
        <f t="shared" si="25"/>
        <v>0</v>
      </c>
      <c r="BE201" s="43">
        <f t="shared" si="25"/>
        <v>0</v>
      </c>
      <c r="BF201" s="41">
        <f t="shared" si="29"/>
        <v>450</v>
      </c>
      <c r="BG201" s="41" t="str">
        <f t="array" ref="BG201">_xlfn.IFS(
OR(MONTH(A201)=11,MONTH(A201)=12,MONTH(A201)=1,MONTH(A201)=2),"Winter",
OR(MONTH(A201)=3,MONTH(A201)=4),"Spring",
OR(MONTH(A201)=5,MONTH(A201)=6),"Summer",
OR(MONTH(A201)=7,MONTH(A201)=8,MONTH(A201)=9),"Monsoon",
MONTH(A201)=10,"Autumn/Festive",
TRUE,""
)</f>
        <v>Monsoon</v>
      </c>
    </row>
    <row r="202" spans="1:59" x14ac:dyDescent="0.3">
      <c r="A202" s="39">
        <v>45527</v>
      </c>
      <c r="B202" s="40" t="str">
        <f t="shared" si="27"/>
        <v>August</v>
      </c>
      <c r="C202" s="41">
        <v>0</v>
      </c>
      <c r="D202" s="41">
        <v>0</v>
      </c>
      <c r="E202" s="41">
        <v>0</v>
      </c>
      <c r="F202" s="41">
        <v>0</v>
      </c>
      <c r="G202" s="41">
        <v>0</v>
      </c>
      <c r="H202" s="41">
        <v>0</v>
      </c>
      <c r="I202" s="41">
        <v>0</v>
      </c>
      <c r="J202" s="41">
        <v>0</v>
      </c>
      <c r="K202" s="41">
        <v>0</v>
      </c>
      <c r="L202" s="41">
        <v>0</v>
      </c>
      <c r="M202" s="41">
        <v>0</v>
      </c>
      <c r="N202" s="42">
        <v>110</v>
      </c>
      <c r="O202" s="42">
        <v>110</v>
      </c>
      <c r="P202" s="42">
        <v>26</v>
      </c>
      <c r="Q202" s="42">
        <v>65</v>
      </c>
      <c r="R202" s="42">
        <v>200</v>
      </c>
      <c r="S202" s="42">
        <v>230</v>
      </c>
      <c r="T202" s="42">
        <v>250</v>
      </c>
      <c r="U202" s="42">
        <v>170</v>
      </c>
      <c r="V202" s="42">
        <v>25</v>
      </c>
      <c r="W202" s="42">
        <v>4</v>
      </c>
      <c r="X202" s="42">
        <v>265</v>
      </c>
      <c r="Y202" s="43">
        <v>130</v>
      </c>
      <c r="Z202" s="43">
        <v>150</v>
      </c>
      <c r="AA202" s="43">
        <v>30</v>
      </c>
      <c r="AB202" s="43">
        <v>95</v>
      </c>
      <c r="AC202" s="43">
        <v>250</v>
      </c>
      <c r="AD202" s="43">
        <v>260</v>
      </c>
      <c r="AE202" s="43">
        <v>280</v>
      </c>
      <c r="AF202" s="43">
        <v>200</v>
      </c>
      <c r="AG202" s="43">
        <v>30</v>
      </c>
      <c r="AH202" s="43">
        <v>6</v>
      </c>
      <c r="AI202" s="43">
        <v>300</v>
      </c>
      <c r="AJ202" s="41">
        <f t="shared" si="28"/>
        <v>0</v>
      </c>
      <c r="AK202" s="41">
        <f t="shared" si="26"/>
        <v>0</v>
      </c>
      <c r="AL202" s="41">
        <f t="shared" si="26"/>
        <v>0</v>
      </c>
      <c r="AM202" s="41">
        <f t="shared" si="26"/>
        <v>0</v>
      </c>
      <c r="AN202" s="41">
        <f t="shared" si="26"/>
        <v>0</v>
      </c>
      <c r="AO202" s="41">
        <f t="shared" si="26"/>
        <v>0</v>
      </c>
      <c r="AP202" s="41">
        <f t="shared" si="24"/>
        <v>0</v>
      </c>
      <c r="AQ202" s="41">
        <f t="shared" si="24"/>
        <v>0</v>
      </c>
      <c r="AR202" s="41">
        <f t="shared" si="24"/>
        <v>0</v>
      </c>
      <c r="AS202" s="41">
        <f t="shared" si="24"/>
        <v>0</v>
      </c>
      <c r="AT202" s="41">
        <f t="shared" si="24"/>
        <v>0</v>
      </c>
      <c r="AU202" s="43">
        <f t="shared" si="25"/>
        <v>0</v>
      </c>
      <c r="AV202" s="43">
        <f t="shared" si="25"/>
        <v>0</v>
      </c>
      <c r="AW202" s="43">
        <f t="shared" si="25"/>
        <v>0</v>
      </c>
      <c r="AX202" s="43">
        <f t="shared" si="25"/>
        <v>0</v>
      </c>
      <c r="AY202" s="43">
        <f t="shared" si="25"/>
        <v>0</v>
      </c>
      <c r="AZ202" s="43">
        <f t="shared" si="25"/>
        <v>0</v>
      </c>
      <c r="BA202" s="43">
        <f t="shared" si="25"/>
        <v>0</v>
      </c>
      <c r="BB202" s="43">
        <f t="shared" si="25"/>
        <v>0</v>
      </c>
      <c r="BC202" s="43">
        <f t="shared" si="25"/>
        <v>0</v>
      </c>
      <c r="BD202" s="43">
        <f t="shared" si="25"/>
        <v>0</v>
      </c>
      <c r="BE202" s="43">
        <f t="shared" si="25"/>
        <v>0</v>
      </c>
      <c r="BF202" s="41">
        <f t="shared" si="29"/>
        <v>0</v>
      </c>
      <c r="BG202" s="41" t="str">
        <f t="array" ref="BG202">_xlfn.IFS(
OR(MONTH(A202)=11,MONTH(A202)=12,MONTH(A202)=1,MONTH(A202)=2),"Winter",
OR(MONTH(A202)=3,MONTH(A202)=4),"Spring",
OR(MONTH(A202)=5,MONTH(A202)=6),"Summer",
OR(MONTH(A202)=7,MONTH(A202)=8,MONTH(A202)=9),"Monsoon",
MONTH(A202)=10,"Autumn/Festive",
TRUE,""
)</f>
        <v>Monsoon</v>
      </c>
    </row>
    <row r="203" spans="1:59" x14ac:dyDescent="0.3">
      <c r="A203" s="39">
        <v>45528</v>
      </c>
      <c r="B203" s="40" t="str">
        <f t="shared" si="27"/>
        <v>August</v>
      </c>
      <c r="C203" s="41">
        <v>0</v>
      </c>
      <c r="D203" s="41">
        <v>0</v>
      </c>
      <c r="E203" s="41">
        <v>0</v>
      </c>
      <c r="F203" s="41">
        <v>0</v>
      </c>
      <c r="G203" s="41">
        <v>0</v>
      </c>
      <c r="H203" s="41">
        <v>0</v>
      </c>
      <c r="I203" s="41">
        <v>0</v>
      </c>
      <c r="J203" s="41">
        <v>0</v>
      </c>
      <c r="K203" s="41">
        <v>0</v>
      </c>
      <c r="L203" s="41">
        <v>0</v>
      </c>
      <c r="M203" s="41">
        <v>0</v>
      </c>
      <c r="N203" s="42">
        <v>110</v>
      </c>
      <c r="O203" s="42">
        <v>110</v>
      </c>
      <c r="P203" s="42">
        <v>26</v>
      </c>
      <c r="Q203" s="42">
        <v>65</v>
      </c>
      <c r="R203" s="42">
        <v>200</v>
      </c>
      <c r="S203" s="42">
        <v>230</v>
      </c>
      <c r="T203" s="42">
        <v>250</v>
      </c>
      <c r="U203" s="42">
        <v>170</v>
      </c>
      <c r="V203" s="42">
        <v>25</v>
      </c>
      <c r="W203" s="42">
        <v>4</v>
      </c>
      <c r="X203" s="42">
        <v>265</v>
      </c>
      <c r="Y203" s="43">
        <v>130</v>
      </c>
      <c r="Z203" s="43">
        <v>150</v>
      </c>
      <c r="AA203" s="43">
        <v>30</v>
      </c>
      <c r="AB203" s="43">
        <v>95</v>
      </c>
      <c r="AC203" s="43">
        <v>250</v>
      </c>
      <c r="AD203" s="43">
        <v>260</v>
      </c>
      <c r="AE203" s="43">
        <v>280</v>
      </c>
      <c r="AF203" s="43">
        <v>200</v>
      </c>
      <c r="AG203" s="43">
        <v>30</v>
      </c>
      <c r="AH203" s="43">
        <v>6</v>
      </c>
      <c r="AI203" s="43">
        <v>300</v>
      </c>
      <c r="AJ203" s="41">
        <f t="shared" si="28"/>
        <v>0</v>
      </c>
      <c r="AK203" s="41">
        <f t="shared" si="26"/>
        <v>0</v>
      </c>
      <c r="AL203" s="41">
        <f t="shared" si="26"/>
        <v>0</v>
      </c>
      <c r="AM203" s="41">
        <f t="shared" si="26"/>
        <v>0</v>
      </c>
      <c r="AN203" s="41">
        <f t="shared" si="26"/>
        <v>0</v>
      </c>
      <c r="AO203" s="41">
        <f t="shared" si="26"/>
        <v>0</v>
      </c>
      <c r="AP203" s="41">
        <f t="shared" si="24"/>
        <v>0</v>
      </c>
      <c r="AQ203" s="41">
        <f t="shared" si="24"/>
        <v>0</v>
      </c>
      <c r="AR203" s="41">
        <f t="shared" si="24"/>
        <v>0</v>
      </c>
      <c r="AS203" s="41">
        <f t="shared" si="24"/>
        <v>0</v>
      </c>
      <c r="AT203" s="41">
        <f t="shared" si="24"/>
        <v>0</v>
      </c>
      <c r="AU203" s="43">
        <f t="shared" si="25"/>
        <v>0</v>
      </c>
      <c r="AV203" s="43">
        <f t="shared" si="25"/>
        <v>0</v>
      </c>
      <c r="AW203" s="43">
        <f t="shared" si="25"/>
        <v>0</v>
      </c>
      <c r="AX203" s="43">
        <f t="shared" si="25"/>
        <v>0</v>
      </c>
      <c r="AY203" s="43">
        <f t="shared" si="25"/>
        <v>0</v>
      </c>
      <c r="AZ203" s="43">
        <f t="shared" si="25"/>
        <v>0</v>
      </c>
      <c r="BA203" s="43">
        <f t="shared" si="25"/>
        <v>0</v>
      </c>
      <c r="BB203" s="43">
        <f t="shared" si="25"/>
        <v>0</v>
      </c>
      <c r="BC203" s="43">
        <f t="shared" si="25"/>
        <v>0</v>
      </c>
      <c r="BD203" s="43">
        <f t="shared" si="25"/>
        <v>0</v>
      </c>
      <c r="BE203" s="43">
        <f t="shared" si="25"/>
        <v>0</v>
      </c>
      <c r="BF203" s="41">
        <f t="shared" si="29"/>
        <v>0</v>
      </c>
      <c r="BG203" s="41" t="str">
        <f t="array" ref="BG203">_xlfn.IFS(
OR(MONTH(A203)=11,MONTH(A203)=12,MONTH(A203)=1,MONTH(A203)=2),"Winter",
OR(MONTH(A203)=3,MONTH(A203)=4),"Spring",
OR(MONTH(A203)=5,MONTH(A203)=6),"Summer",
OR(MONTH(A203)=7,MONTH(A203)=8,MONTH(A203)=9),"Monsoon",
MONTH(A203)=10,"Autumn/Festive",
TRUE,""
)</f>
        <v>Monsoon</v>
      </c>
    </row>
    <row r="204" spans="1:59" x14ac:dyDescent="0.3">
      <c r="A204" s="39">
        <v>45529</v>
      </c>
      <c r="B204" s="40" t="str">
        <f t="shared" si="27"/>
        <v>August</v>
      </c>
      <c r="C204" s="41">
        <v>0</v>
      </c>
      <c r="D204" s="41">
        <v>0</v>
      </c>
      <c r="E204" s="41">
        <v>0</v>
      </c>
      <c r="F204" s="41">
        <v>0</v>
      </c>
      <c r="G204" s="41">
        <v>0</v>
      </c>
      <c r="H204" s="41">
        <v>0</v>
      </c>
      <c r="I204" s="41">
        <v>0</v>
      </c>
      <c r="J204" s="41">
        <v>0</v>
      </c>
      <c r="K204" s="41">
        <v>0</v>
      </c>
      <c r="L204" s="41">
        <v>0</v>
      </c>
      <c r="M204" s="41">
        <v>0</v>
      </c>
      <c r="N204" s="42">
        <v>110</v>
      </c>
      <c r="O204" s="42">
        <v>110</v>
      </c>
      <c r="P204" s="42">
        <v>26</v>
      </c>
      <c r="Q204" s="42">
        <v>65</v>
      </c>
      <c r="R204" s="42">
        <v>200</v>
      </c>
      <c r="S204" s="42">
        <v>230</v>
      </c>
      <c r="T204" s="42">
        <v>250</v>
      </c>
      <c r="U204" s="42">
        <v>170</v>
      </c>
      <c r="V204" s="42">
        <v>25</v>
      </c>
      <c r="W204" s="42">
        <v>4</v>
      </c>
      <c r="X204" s="42">
        <v>265</v>
      </c>
      <c r="Y204" s="43">
        <v>130</v>
      </c>
      <c r="Z204" s="43">
        <v>150</v>
      </c>
      <c r="AA204" s="43">
        <v>30</v>
      </c>
      <c r="AB204" s="43">
        <v>95</v>
      </c>
      <c r="AC204" s="43">
        <v>250</v>
      </c>
      <c r="AD204" s="43">
        <v>260</v>
      </c>
      <c r="AE204" s="43">
        <v>280</v>
      </c>
      <c r="AF204" s="43">
        <v>200</v>
      </c>
      <c r="AG204" s="43">
        <v>30</v>
      </c>
      <c r="AH204" s="43">
        <v>6</v>
      </c>
      <c r="AI204" s="43">
        <v>300</v>
      </c>
      <c r="AJ204" s="41">
        <f t="shared" si="28"/>
        <v>0</v>
      </c>
      <c r="AK204" s="41">
        <f t="shared" si="26"/>
        <v>0</v>
      </c>
      <c r="AL204" s="41">
        <f t="shared" si="26"/>
        <v>0</v>
      </c>
      <c r="AM204" s="41">
        <f t="shared" si="26"/>
        <v>0</v>
      </c>
      <c r="AN204" s="41">
        <f t="shared" si="26"/>
        <v>0</v>
      </c>
      <c r="AO204" s="41">
        <f t="shared" si="26"/>
        <v>0</v>
      </c>
      <c r="AP204" s="41">
        <f t="shared" si="24"/>
        <v>0</v>
      </c>
      <c r="AQ204" s="41">
        <f t="shared" si="24"/>
        <v>0</v>
      </c>
      <c r="AR204" s="41">
        <f t="shared" si="24"/>
        <v>0</v>
      </c>
      <c r="AS204" s="41">
        <f t="shared" si="24"/>
        <v>0</v>
      </c>
      <c r="AT204" s="41">
        <f t="shared" si="24"/>
        <v>0</v>
      </c>
      <c r="AU204" s="43">
        <f t="shared" si="25"/>
        <v>0</v>
      </c>
      <c r="AV204" s="43">
        <f t="shared" si="25"/>
        <v>0</v>
      </c>
      <c r="AW204" s="43">
        <f t="shared" si="25"/>
        <v>0</v>
      </c>
      <c r="AX204" s="43">
        <f t="shared" si="25"/>
        <v>0</v>
      </c>
      <c r="AY204" s="43">
        <f t="shared" si="25"/>
        <v>0</v>
      </c>
      <c r="AZ204" s="43">
        <f t="shared" si="25"/>
        <v>0</v>
      </c>
      <c r="BA204" s="43">
        <f t="shared" si="25"/>
        <v>0</v>
      </c>
      <c r="BB204" s="43">
        <f t="shared" si="25"/>
        <v>0</v>
      </c>
      <c r="BC204" s="43">
        <f t="shared" si="25"/>
        <v>0</v>
      </c>
      <c r="BD204" s="43">
        <f t="shared" si="25"/>
        <v>0</v>
      </c>
      <c r="BE204" s="43">
        <f t="shared" si="25"/>
        <v>0</v>
      </c>
      <c r="BF204" s="41">
        <f t="shared" si="29"/>
        <v>0</v>
      </c>
      <c r="BG204" s="41" t="str">
        <f t="array" ref="BG204">_xlfn.IFS(
OR(MONTH(A204)=11,MONTH(A204)=12,MONTH(A204)=1,MONTH(A204)=2),"Winter",
OR(MONTH(A204)=3,MONTH(A204)=4),"Spring",
OR(MONTH(A204)=5,MONTH(A204)=6),"Summer",
OR(MONTH(A204)=7,MONTH(A204)=8,MONTH(A204)=9),"Monsoon",
MONTH(A204)=10,"Autumn/Festive",
TRUE,""
)</f>
        <v>Monsoon</v>
      </c>
    </row>
    <row r="205" spans="1:59" x14ac:dyDescent="0.3">
      <c r="A205" s="39">
        <v>45530</v>
      </c>
      <c r="B205" s="40" t="str">
        <f t="shared" si="27"/>
        <v>August</v>
      </c>
      <c r="C205" s="41">
        <v>0</v>
      </c>
      <c r="D205" s="41">
        <v>0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1">
        <v>0</v>
      </c>
      <c r="L205" s="41">
        <v>0</v>
      </c>
      <c r="M205" s="41">
        <v>0</v>
      </c>
      <c r="N205" s="42">
        <v>110</v>
      </c>
      <c r="O205" s="42">
        <v>110</v>
      </c>
      <c r="P205" s="42">
        <v>26</v>
      </c>
      <c r="Q205" s="42">
        <v>65</v>
      </c>
      <c r="R205" s="42">
        <v>200</v>
      </c>
      <c r="S205" s="42">
        <v>230</v>
      </c>
      <c r="T205" s="42">
        <v>250</v>
      </c>
      <c r="U205" s="42">
        <v>170</v>
      </c>
      <c r="V205" s="42">
        <v>25</v>
      </c>
      <c r="W205" s="42">
        <v>4</v>
      </c>
      <c r="X205" s="42">
        <v>265</v>
      </c>
      <c r="Y205" s="43">
        <v>130</v>
      </c>
      <c r="Z205" s="43">
        <v>150</v>
      </c>
      <c r="AA205" s="43">
        <v>30</v>
      </c>
      <c r="AB205" s="43">
        <v>95</v>
      </c>
      <c r="AC205" s="43">
        <v>250</v>
      </c>
      <c r="AD205" s="43">
        <v>260</v>
      </c>
      <c r="AE205" s="43">
        <v>280</v>
      </c>
      <c r="AF205" s="43">
        <v>200</v>
      </c>
      <c r="AG205" s="43">
        <v>30</v>
      </c>
      <c r="AH205" s="43">
        <v>6</v>
      </c>
      <c r="AI205" s="43">
        <v>300</v>
      </c>
      <c r="AJ205" s="41">
        <f t="shared" si="28"/>
        <v>0</v>
      </c>
      <c r="AK205" s="41">
        <f t="shared" si="26"/>
        <v>0</v>
      </c>
      <c r="AL205" s="41">
        <f t="shared" si="26"/>
        <v>0</v>
      </c>
      <c r="AM205" s="41">
        <f t="shared" si="26"/>
        <v>0</v>
      </c>
      <c r="AN205" s="41">
        <f t="shared" si="26"/>
        <v>0</v>
      </c>
      <c r="AO205" s="41">
        <f t="shared" si="26"/>
        <v>0</v>
      </c>
      <c r="AP205" s="41">
        <f t="shared" si="24"/>
        <v>0</v>
      </c>
      <c r="AQ205" s="41">
        <f t="shared" si="24"/>
        <v>0</v>
      </c>
      <c r="AR205" s="41">
        <f t="shared" si="24"/>
        <v>0</v>
      </c>
      <c r="AS205" s="41">
        <f t="shared" si="24"/>
        <v>0</v>
      </c>
      <c r="AT205" s="41">
        <f t="shared" si="24"/>
        <v>0</v>
      </c>
      <c r="AU205" s="43">
        <f t="shared" si="25"/>
        <v>0</v>
      </c>
      <c r="AV205" s="43">
        <f t="shared" si="25"/>
        <v>0</v>
      </c>
      <c r="AW205" s="43">
        <f t="shared" ref="AW205:BE268" si="30">AL205-(E205*P205)</f>
        <v>0</v>
      </c>
      <c r="AX205" s="43">
        <f t="shared" si="30"/>
        <v>0</v>
      </c>
      <c r="AY205" s="43">
        <f t="shared" si="30"/>
        <v>0</v>
      </c>
      <c r="AZ205" s="43">
        <f t="shared" si="30"/>
        <v>0</v>
      </c>
      <c r="BA205" s="43">
        <f t="shared" si="30"/>
        <v>0</v>
      </c>
      <c r="BB205" s="43">
        <f t="shared" si="30"/>
        <v>0</v>
      </c>
      <c r="BC205" s="43">
        <f t="shared" si="30"/>
        <v>0</v>
      </c>
      <c r="BD205" s="43">
        <f t="shared" si="30"/>
        <v>0</v>
      </c>
      <c r="BE205" s="43">
        <f t="shared" si="30"/>
        <v>0</v>
      </c>
      <c r="BF205" s="41">
        <f t="shared" si="29"/>
        <v>0</v>
      </c>
      <c r="BG205" s="41" t="str">
        <f t="array" ref="BG205">_xlfn.IFS(
OR(MONTH(A205)=11,MONTH(A205)=12,MONTH(A205)=1,MONTH(A205)=2),"Winter",
OR(MONTH(A205)=3,MONTH(A205)=4),"Spring",
OR(MONTH(A205)=5,MONTH(A205)=6),"Summer",
OR(MONTH(A205)=7,MONTH(A205)=8,MONTH(A205)=9),"Monsoon",
MONTH(A205)=10,"Autumn/Festive",
TRUE,""
)</f>
        <v>Monsoon</v>
      </c>
    </row>
    <row r="206" spans="1:59" x14ac:dyDescent="0.3">
      <c r="A206" s="39">
        <v>45531</v>
      </c>
      <c r="B206" s="40" t="str">
        <f t="shared" si="27"/>
        <v>August</v>
      </c>
      <c r="C206" s="41">
        <v>18</v>
      </c>
      <c r="D206" s="41">
        <v>4</v>
      </c>
      <c r="E206" s="41">
        <v>0</v>
      </c>
      <c r="F206" s="41">
        <v>0</v>
      </c>
      <c r="G206" s="41">
        <v>0</v>
      </c>
      <c r="H206" s="41">
        <v>0</v>
      </c>
      <c r="I206" s="41">
        <v>0</v>
      </c>
      <c r="J206" s="41">
        <v>0</v>
      </c>
      <c r="K206" s="41">
        <v>0</v>
      </c>
      <c r="L206" s="41">
        <v>0</v>
      </c>
      <c r="M206" s="41">
        <v>0</v>
      </c>
      <c r="N206" s="42">
        <v>110</v>
      </c>
      <c r="O206" s="42">
        <v>110</v>
      </c>
      <c r="P206" s="42">
        <v>26</v>
      </c>
      <c r="Q206" s="42">
        <v>65</v>
      </c>
      <c r="R206" s="42">
        <v>200</v>
      </c>
      <c r="S206" s="42">
        <v>230</v>
      </c>
      <c r="T206" s="42">
        <v>250</v>
      </c>
      <c r="U206" s="42">
        <v>170</v>
      </c>
      <c r="V206" s="42">
        <v>25</v>
      </c>
      <c r="W206" s="42">
        <v>4</v>
      </c>
      <c r="X206" s="42">
        <v>265</v>
      </c>
      <c r="Y206" s="43">
        <v>130</v>
      </c>
      <c r="Z206" s="43">
        <v>150</v>
      </c>
      <c r="AA206" s="43">
        <v>30</v>
      </c>
      <c r="AB206" s="43">
        <v>95</v>
      </c>
      <c r="AC206" s="43">
        <v>250</v>
      </c>
      <c r="AD206" s="43">
        <v>260</v>
      </c>
      <c r="AE206" s="43">
        <v>280</v>
      </c>
      <c r="AF206" s="43">
        <v>200</v>
      </c>
      <c r="AG206" s="43">
        <v>30</v>
      </c>
      <c r="AH206" s="43">
        <v>6</v>
      </c>
      <c r="AI206" s="43">
        <v>300</v>
      </c>
      <c r="AJ206" s="41">
        <f t="shared" si="28"/>
        <v>2340</v>
      </c>
      <c r="AK206" s="41">
        <f t="shared" si="26"/>
        <v>600</v>
      </c>
      <c r="AL206" s="41">
        <f t="shared" si="26"/>
        <v>0</v>
      </c>
      <c r="AM206" s="41">
        <f t="shared" si="26"/>
        <v>0</v>
      </c>
      <c r="AN206" s="41">
        <f t="shared" si="26"/>
        <v>0</v>
      </c>
      <c r="AO206" s="41">
        <f t="shared" si="26"/>
        <v>0</v>
      </c>
      <c r="AP206" s="41">
        <f t="shared" si="24"/>
        <v>0</v>
      </c>
      <c r="AQ206" s="41">
        <f t="shared" si="24"/>
        <v>0</v>
      </c>
      <c r="AR206" s="41">
        <f t="shared" si="24"/>
        <v>0</v>
      </c>
      <c r="AS206" s="41">
        <f t="shared" si="24"/>
        <v>0</v>
      </c>
      <c r="AT206" s="41">
        <f t="shared" si="24"/>
        <v>0</v>
      </c>
      <c r="AU206" s="43">
        <f t="shared" ref="AU206:AY269" si="31">AJ206-(C206*N206)</f>
        <v>360</v>
      </c>
      <c r="AV206" s="43">
        <f t="shared" si="31"/>
        <v>160</v>
      </c>
      <c r="AW206" s="43">
        <f t="shared" si="30"/>
        <v>0</v>
      </c>
      <c r="AX206" s="43">
        <f t="shared" si="30"/>
        <v>0</v>
      </c>
      <c r="AY206" s="43">
        <f t="shared" si="30"/>
        <v>0</v>
      </c>
      <c r="AZ206" s="43">
        <f t="shared" si="30"/>
        <v>0</v>
      </c>
      <c r="BA206" s="43">
        <f t="shared" si="30"/>
        <v>0</v>
      </c>
      <c r="BB206" s="43">
        <f t="shared" si="30"/>
        <v>0</v>
      </c>
      <c r="BC206" s="43">
        <f t="shared" si="30"/>
        <v>0</v>
      </c>
      <c r="BD206" s="43">
        <f t="shared" si="30"/>
        <v>0</v>
      </c>
      <c r="BE206" s="43">
        <f t="shared" si="30"/>
        <v>0</v>
      </c>
      <c r="BF206" s="41">
        <f t="shared" si="29"/>
        <v>520</v>
      </c>
      <c r="BG206" s="41" t="str">
        <f t="array" ref="BG206">_xlfn.IFS(
OR(MONTH(A206)=11,MONTH(A206)=12,MONTH(A206)=1,MONTH(A206)=2),"Winter",
OR(MONTH(A206)=3,MONTH(A206)=4),"Spring",
OR(MONTH(A206)=5,MONTH(A206)=6),"Summer",
OR(MONTH(A206)=7,MONTH(A206)=8,MONTH(A206)=9),"Monsoon",
MONTH(A206)=10,"Autumn/Festive",
TRUE,""
)</f>
        <v>Monsoon</v>
      </c>
    </row>
    <row r="207" spans="1:59" x14ac:dyDescent="0.3">
      <c r="A207" s="39">
        <v>45532</v>
      </c>
      <c r="B207" s="40" t="str">
        <f t="shared" si="27"/>
        <v>August</v>
      </c>
      <c r="C207" s="41">
        <v>20</v>
      </c>
      <c r="D207" s="41">
        <v>0</v>
      </c>
      <c r="E207" s="41">
        <v>0</v>
      </c>
      <c r="F207" s="41">
        <v>0</v>
      </c>
      <c r="G207" s="41">
        <v>3</v>
      </c>
      <c r="H207" s="41">
        <v>0</v>
      </c>
      <c r="I207" s="41">
        <v>0</v>
      </c>
      <c r="J207" s="41">
        <v>0</v>
      </c>
      <c r="K207" s="41">
        <v>0</v>
      </c>
      <c r="L207" s="41">
        <v>0</v>
      </c>
      <c r="M207" s="41">
        <v>0</v>
      </c>
      <c r="N207" s="42">
        <v>110</v>
      </c>
      <c r="O207" s="42">
        <v>110</v>
      </c>
      <c r="P207" s="42">
        <v>26</v>
      </c>
      <c r="Q207" s="42">
        <v>65</v>
      </c>
      <c r="R207" s="42">
        <v>200</v>
      </c>
      <c r="S207" s="42">
        <v>230</v>
      </c>
      <c r="T207" s="42">
        <v>250</v>
      </c>
      <c r="U207" s="42">
        <v>170</v>
      </c>
      <c r="V207" s="42">
        <v>25</v>
      </c>
      <c r="W207" s="42">
        <v>4</v>
      </c>
      <c r="X207" s="42">
        <v>265</v>
      </c>
      <c r="Y207" s="43">
        <v>130</v>
      </c>
      <c r="Z207" s="43">
        <v>150</v>
      </c>
      <c r="AA207" s="43">
        <v>30</v>
      </c>
      <c r="AB207" s="43">
        <v>95</v>
      </c>
      <c r="AC207" s="43">
        <v>250</v>
      </c>
      <c r="AD207" s="43">
        <v>260</v>
      </c>
      <c r="AE207" s="43">
        <v>280</v>
      </c>
      <c r="AF207" s="43">
        <v>200</v>
      </c>
      <c r="AG207" s="43">
        <v>30</v>
      </c>
      <c r="AH207" s="43">
        <v>6</v>
      </c>
      <c r="AI207" s="43">
        <v>300</v>
      </c>
      <c r="AJ207" s="41">
        <f t="shared" si="28"/>
        <v>2600</v>
      </c>
      <c r="AK207" s="41">
        <f t="shared" si="26"/>
        <v>0</v>
      </c>
      <c r="AL207" s="41">
        <f t="shared" si="26"/>
        <v>0</v>
      </c>
      <c r="AM207" s="41">
        <f t="shared" si="26"/>
        <v>0</v>
      </c>
      <c r="AN207" s="41">
        <f t="shared" si="26"/>
        <v>750</v>
      </c>
      <c r="AO207" s="41">
        <f t="shared" si="26"/>
        <v>0</v>
      </c>
      <c r="AP207" s="41">
        <f t="shared" si="24"/>
        <v>0</v>
      </c>
      <c r="AQ207" s="41">
        <f t="shared" si="24"/>
        <v>0</v>
      </c>
      <c r="AR207" s="41">
        <f t="shared" si="24"/>
        <v>0</v>
      </c>
      <c r="AS207" s="41">
        <f t="shared" si="24"/>
        <v>0</v>
      </c>
      <c r="AT207" s="41">
        <f t="shared" si="24"/>
        <v>0</v>
      </c>
      <c r="AU207" s="43">
        <f t="shared" si="31"/>
        <v>400</v>
      </c>
      <c r="AV207" s="43">
        <f t="shared" si="31"/>
        <v>0</v>
      </c>
      <c r="AW207" s="43">
        <f t="shared" si="30"/>
        <v>0</v>
      </c>
      <c r="AX207" s="43">
        <f t="shared" si="30"/>
        <v>0</v>
      </c>
      <c r="AY207" s="43">
        <f t="shared" si="30"/>
        <v>150</v>
      </c>
      <c r="AZ207" s="43">
        <f t="shared" si="30"/>
        <v>0</v>
      </c>
      <c r="BA207" s="43">
        <f t="shared" si="30"/>
        <v>0</v>
      </c>
      <c r="BB207" s="43">
        <f t="shared" si="30"/>
        <v>0</v>
      </c>
      <c r="BC207" s="43">
        <f t="shared" si="30"/>
        <v>0</v>
      </c>
      <c r="BD207" s="43">
        <f t="shared" si="30"/>
        <v>0</v>
      </c>
      <c r="BE207" s="43">
        <f t="shared" si="30"/>
        <v>0</v>
      </c>
      <c r="BF207" s="41">
        <f t="shared" si="29"/>
        <v>550</v>
      </c>
      <c r="BG207" s="41" t="str">
        <f t="array" ref="BG207">_xlfn.IFS(
OR(MONTH(A207)=11,MONTH(A207)=12,MONTH(A207)=1,MONTH(A207)=2),"Winter",
OR(MONTH(A207)=3,MONTH(A207)=4),"Spring",
OR(MONTH(A207)=5,MONTH(A207)=6),"Summer",
OR(MONTH(A207)=7,MONTH(A207)=8,MONTH(A207)=9),"Monsoon",
MONTH(A207)=10,"Autumn/Festive",
TRUE,""
)</f>
        <v>Monsoon</v>
      </c>
    </row>
    <row r="208" spans="1:59" x14ac:dyDescent="0.3">
      <c r="A208" s="39">
        <v>45533</v>
      </c>
      <c r="B208" s="40" t="str">
        <f t="shared" si="27"/>
        <v>August</v>
      </c>
      <c r="C208" s="41">
        <v>5</v>
      </c>
      <c r="D208" s="41">
        <v>10</v>
      </c>
      <c r="E208" s="41">
        <v>0</v>
      </c>
      <c r="F208" s="41">
        <v>0</v>
      </c>
      <c r="G208" s="41">
        <v>2</v>
      </c>
      <c r="H208" s="41">
        <v>0</v>
      </c>
      <c r="I208" s="41">
        <v>0</v>
      </c>
      <c r="J208" s="41">
        <v>0</v>
      </c>
      <c r="K208" s="41">
        <v>0</v>
      </c>
      <c r="L208" s="41">
        <v>0</v>
      </c>
      <c r="M208" s="41">
        <v>0</v>
      </c>
      <c r="N208" s="42">
        <v>110</v>
      </c>
      <c r="O208" s="42">
        <v>110</v>
      </c>
      <c r="P208" s="42">
        <v>26</v>
      </c>
      <c r="Q208" s="42">
        <v>65</v>
      </c>
      <c r="R208" s="42">
        <v>200</v>
      </c>
      <c r="S208" s="42">
        <v>230</v>
      </c>
      <c r="T208" s="42">
        <v>250</v>
      </c>
      <c r="U208" s="42">
        <v>170</v>
      </c>
      <c r="V208" s="42">
        <v>25</v>
      </c>
      <c r="W208" s="42">
        <v>4</v>
      </c>
      <c r="X208" s="42">
        <v>265</v>
      </c>
      <c r="Y208" s="43">
        <v>130</v>
      </c>
      <c r="Z208" s="43">
        <v>150</v>
      </c>
      <c r="AA208" s="43">
        <v>30</v>
      </c>
      <c r="AB208" s="43">
        <v>95</v>
      </c>
      <c r="AC208" s="43">
        <v>250</v>
      </c>
      <c r="AD208" s="43">
        <v>260</v>
      </c>
      <c r="AE208" s="43">
        <v>280</v>
      </c>
      <c r="AF208" s="43">
        <v>200</v>
      </c>
      <c r="AG208" s="43">
        <v>30</v>
      </c>
      <c r="AH208" s="43">
        <v>6</v>
      </c>
      <c r="AI208" s="43">
        <v>300</v>
      </c>
      <c r="AJ208" s="41">
        <f t="shared" si="28"/>
        <v>650</v>
      </c>
      <c r="AK208" s="41">
        <f t="shared" si="26"/>
        <v>1500</v>
      </c>
      <c r="AL208" s="41">
        <f t="shared" si="26"/>
        <v>0</v>
      </c>
      <c r="AM208" s="41">
        <f t="shared" si="26"/>
        <v>0</v>
      </c>
      <c r="AN208" s="41">
        <f t="shared" si="26"/>
        <v>500</v>
      </c>
      <c r="AO208" s="41">
        <f t="shared" si="26"/>
        <v>0</v>
      </c>
      <c r="AP208" s="41">
        <f t="shared" si="24"/>
        <v>0</v>
      </c>
      <c r="AQ208" s="41">
        <f t="shared" si="24"/>
        <v>0</v>
      </c>
      <c r="AR208" s="41">
        <f t="shared" si="24"/>
        <v>0</v>
      </c>
      <c r="AS208" s="41">
        <f t="shared" si="24"/>
        <v>0</v>
      </c>
      <c r="AT208" s="41">
        <f t="shared" si="24"/>
        <v>0</v>
      </c>
      <c r="AU208" s="43">
        <f t="shared" si="31"/>
        <v>100</v>
      </c>
      <c r="AV208" s="43">
        <f t="shared" si="31"/>
        <v>400</v>
      </c>
      <c r="AW208" s="43">
        <f t="shared" si="30"/>
        <v>0</v>
      </c>
      <c r="AX208" s="43">
        <f t="shared" si="30"/>
        <v>0</v>
      </c>
      <c r="AY208" s="43">
        <f t="shared" si="30"/>
        <v>100</v>
      </c>
      <c r="AZ208" s="43">
        <f t="shared" si="30"/>
        <v>0</v>
      </c>
      <c r="BA208" s="43">
        <f t="shared" si="30"/>
        <v>0</v>
      </c>
      <c r="BB208" s="43">
        <f t="shared" si="30"/>
        <v>0</v>
      </c>
      <c r="BC208" s="43">
        <f t="shared" si="30"/>
        <v>0</v>
      </c>
      <c r="BD208" s="43">
        <f t="shared" si="30"/>
        <v>0</v>
      </c>
      <c r="BE208" s="43">
        <f t="shared" si="30"/>
        <v>0</v>
      </c>
      <c r="BF208" s="41">
        <f t="shared" si="29"/>
        <v>600</v>
      </c>
      <c r="BG208" s="41" t="str">
        <f t="array" ref="BG208">_xlfn.IFS(
OR(MONTH(A208)=11,MONTH(A208)=12,MONTH(A208)=1,MONTH(A208)=2),"Winter",
OR(MONTH(A208)=3,MONTH(A208)=4),"Spring",
OR(MONTH(A208)=5,MONTH(A208)=6),"Summer",
OR(MONTH(A208)=7,MONTH(A208)=8,MONTH(A208)=9),"Monsoon",
MONTH(A208)=10,"Autumn/Festive",
TRUE,""
)</f>
        <v>Monsoon</v>
      </c>
    </row>
    <row r="209" spans="1:59" x14ac:dyDescent="0.3">
      <c r="A209" s="39">
        <v>45534</v>
      </c>
      <c r="B209" s="40" t="str">
        <f t="shared" si="27"/>
        <v>August</v>
      </c>
      <c r="C209" s="41">
        <v>20</v>
      </c>
      <c r="D209" s="41">
        <v>6</v>
      </c>
      <c r="E209" s="41">
        <v>0</v>
      </c>
      <c r="F209" s="41">
        <v>0</v>
      </c>
      <c r="G209" s="41">
        <v>2</v>
      </c>
      <c r="H209" s="41">
        <v>0</v>
      </c>
      <c r="I209" s="41">
        <v>0</v>
      </c>
      <c r="J209" s="41">
        <v>0</v>
      </c>
      <c r="K209" s="41">
        <v>0</v>
      </c>
      <c r="L209" s="41">
        <v>0</v>
      </c>
      <c r="M209" s="41">
        <v>0</v>
      </c>
      <c r="N209" s="42">
        <v>110</v>
      </c>
      <c r="O209" s="42">
        <v>110</v>
      </c>
      <c r="P209" s="42">
        <v>26</v>
      </c>
      <c r="Q209" s="42">
        <v>65</v>
      </c>
      <c r="R209" s="42">
        <v>200</v>
      </c>
      <c r="S209" s="42">
        <v>230</v>
      </c>
      <c r="T209" s="42">
        <v>250</v>
      </c>
      <c r="U209" s="42">
        <v>170</v>
      </c>
      <c r="V209" s="42">
        <v>25</v>
      </c>
      <c r="W209" s="42">
        <v>4</v>
      </c>
      <c r="X209" s="42">
        <v>265</v>
      </c>
      <c r="Y209" s="43">
        <v>130</v>
      </c>
      <c r="Z209" s="43">
        <v>150</v>
      </c>
      <c r="AA209" s="43">
        <v>30</v>
      </c>
      <c r="AB209" s="43">
        <v>95</v>
      </c>
      <c r="AC209" s="43">
        <v>250</v>
      </c>
      <c r="AD209" s="43">
        <v>260</v>
      </c>
      <c r="AE209" s="43">
        <v>280</v>
      </c>
      <c r="AF209" s="43">
        <v>200</v>
      </c>
      <c r="AG209" s="43">
        <v>30</v>
      </c>
      <c r="AH209" s="43">
        <v>6</v>
      </c>
      <c r="AI209" s="43">
        <v>300</v>
      </c>
      <c r="AJ209" s="41">
        <f t="shared" si="28"/>
        <v>2600</v>
      </c>
      <c r="AK209" s="41">
        <f t="shared" si="26"/>
        <v>900</v>
      </c>
      <c r="AL209" s="41">
        <f t="shared" si="26"/>
        <v>0</v>
      </c>
      <c r="AM209" s="41">
        <f t="shared" si="26"/>
        <v>0</v>
      </c>
      <c r="AN209" s="41">
        <f t="shared" si="26"/>
        <v>500</v>
      </c>
      <c r="AO209" s="41">
        <f t="shared" si="26"/>
        <v>0</v>
      </c>
      <c r="AP209" s="41">
        <f t="shared" si="24"/>
        <v>0</v>
      </c>
      <c r="AQ209" s="41">
        <f t="shared" si="24"/>
        <v>0</v>
      </c>
      <c r="AR209" s="41">
        <f t="shared" si="24"/>
        <v>0</v>
      </c>
      <c r="AS209" s="41">
        <f t="shared" si="24"/>
        <v>0</v>
      </c>
      <c r="AT209" s="41">
        <f t="shared" si="24"/>
        <v>0</v>
      </c>
      <c r="AU209" s="43">
        <f t="shared" si="31"/>
        <v>400</v>
      </c>
      <c r="AV209" s="43">
        <f t="shared" si="31"/>
        <v>240</v>
      </c>
      <c r="AW209" s="43">
        <f t="shared" si="30"/>
        <v>0</v>
      </c>
      <c r="AX209" s="43">
        <f t="shared" si="30"/>
        <v>0</v>
      </c>
      <c r="AY209" s="43">
        <f t="shared" si="30"/>
        <v>100</v>
      </c>
      <c r="AZ209" s="43">
        <f t="shared" si="30"/>
        <v>0</v>
      </c>
      <c r="BA209" s="43">
        <f t="shared" si="30"/>
        <v>0</v>
      </c>
      <c r="BB209" s="43">
        <f t="shared" si="30"/>
        <v>0</v>
      </c>
      <c r="BC209" s="43">
        <f t="shared" si="30"/>
        <v>0</v>
      </c>
      <c r="BD209" s="43">
        <f t="shared" si="30"/>
        <v>0</v>
      </c>
      <c r="BE209" s="43">
        <f t="shared" si="30"/>
        <v>0</v>
      </c>
      <c r="BF209" s="41">
        <f t="shared" si="29"/>
        <v>740</v>
      </c>
      <c r="BG209" s="41" t="str">
        <f t="array" ref="BG209">_xlfn.IFS(
OR(MONTH(A209)=11,MONTH(A209)=12,MONTH(A209)=1,MONTH(A209)=2),"Winter",
OR(MONTH(A209)=3,MONTH(A209)=4),"Spring",
OR(MONTH(A209)=5,MONTH(A209)=6),"Summer",
OR(MONTH(A209)=7,MONTH(A209)=8,MONTH(A209)=9),"Monsoon",
MONTH(A209)=10,"Autumn/Festive",
TRUE,""
)</f>
        <v>Monsoon</v>
      </c>
    </row>
    <row r="210" spans="1:59" x14ac:dyDescent="0.3">
      <c r="A210" s="39">
        <v>45535</v>
      </c>
      <c r="B210" s="40" t="str">
        <f t="shared" si="27"/>
        <v>August</v>
      </c>
      <c r="C210" s="41">
        <v>0</v>
      </c>
      <c r="D210" s="41">
        <v>0</v>
      </c>
      <c r="E210" s="41">
        <v>0</v>
      </c>
      <c r="F210" s="41">
        <v>0</v>
      </c>
      <c r="G210" s="41">
        <v>0</v>
      </c>
      <c r="H210" s="41">
        <v>0</v>
      </c>
      <c r="I210" s="41">
        <v>0</v>
      </c>
      <c r="J210" s="41">
        <v>0</v>
      </c>
      <c r="K210" s="41">
        <v>0</v>
      </c>
      <c r="L210" s="41">
        <v>0</v>
      </c>
      <c r="M210" s="41">
        <v>0</v>
      </c>
      <c r="N210" s="42">
        <v>110</v>
      </c>
      <c r="O210" s="42">
        <v>110</v>
      </c>
      <c r="P210" s="42">
        <v>26</v>
      </c>
      <c r="Q210" s="42">
        <v>65</v>
      </c>
      <c r="R210" s="42">
        <v>200</v>
      </c>
      <c r="S210" s="42">
        <v>230</v>
      </c>
      <c r="T210" s="42">
        <v>250</v>
      </c>
      <c r="U210" s="42">
        <v>170</v>
      </c>
      <c r="V210" s="42">
        <v>25</v>
      </c>
      <c r="W210" s="42">
        <v>4</v>
      </c>
      <c r="X210" s="42">
        <v>265</v>
      </c>
      <c r="Y210" s="43">
        <v>130</v>
      </c>
      <c r="Z210" s="43">
        <v>150</v>
      </c>
      <c r="AA210" s="43">
        <v>30</v>
      </c>
      <c r="AB210" s="43">
        <v>95</v>
      </c>
      <c r="AC210" s="43">
        <v>250</v>
      </c>
      <c r="AD210" s="43">
        <v>260</v>
      </c>
      <c r="AE210" s="43">
        <v>280</v>
      </c>
      <c r="AF210" s="43">
        <v>200</v>
      </c>
      <c r="AG210" s="43">
        <v>30</v>
      </c>
      <c r="AH210" s="43">
        <v>6</v>
      </c>
      <c r="AI210" s="43">
        <v>300</v>
      </c>
      <c r="AJ210" s="41">
        <f t="shared" si="28"/>
        <v>0</v>
      </c>
      <c r="AK210" s="41">
        <f t="shared" si="26"/>
        <v>0</v>
      </c>
      <c r="AL210" s="41">
        <f t="shared" si="26"/>
        <v>0</v>
      </c>
      <c r="AM210" s="41">
        <f t="shared" si="26"/>
        <v>0</v>
      </c>
      <c r="AN210" s="41">
        <f t="shared" si="26"/>
        <v>0</v>
      </c>
      <c r="AO210" s="41">
        <f t="shared" si="26"/>
        <v>0</v>
      </c>
      <c r="AP210" s="41">
        <f t="shared" si="24"/>
        <v>0</v>
      </c>
      <c r="AQ210" s="41">
        <f t="shared" si="24"/>
        <v>0</v>
      </c>
      <c r="AR210" s="41">
        <f t="shared" si="24"/>
        <v>0</v>
      </c>
      <c r="AS210" s="41">
        <f t="shared" si="24"/>
        <v>0</v>
      </c>
      <c r="AT210" s="41">
        <f t="shared" si="24"/>
        <v>0</v>
      </c>
      <c r="AU210" s="43">
        <f t="shared" si="31"/>
        <v>0</v>
      </c>
      <c r="AV210" s="43">
        <f t="shared" si="31"/>
        <v>0</v>
      </c>
      <c r="AW210" s="43">
        <f t="shared" si="30"/>
        <v>0</v>
      </c>
      <c r="AX210" s="43">
        <f t="shared" si="30"/>
        <v>0</v>
      </c>
      <c r="AY210" s="43">
        <f t="shared" si="30"/>
        <v>0</v>
      </c>
      <c r="AZ210" s="43">
        <f t="shared" si="30"/>
        <v>0</v>
      </c>
      <c r="BA210" s="43">
        <f t="shared" si="30"/>
        <v>0</v>
      </c>
      <c r="BB210" s="43">
        <f t="shared" si="30"/>
        <v>0</v>
      </c>
      <c r="BC210" s="43">
        <f t="shared" si="30"/>
        <v>0</v>
      </c>
      <c r="BD210" s="43">
        <f t="shared" si="30"/>
        <v>0</v>
      </c>
      <c r="BE210" s="43">
        <f t="shared" si="30"/>
        <v>0</v>
      </c>
      <c r="BF210" s="41">
        <f t="shared" si="29"/>
        <v>0</v>
      </c>
      <c r="BG210" s="41" t="str">
        <f t="array" ref="BG210">_xlfn.IFS(
OR(MONTH(A210)=11,MONTH(A210)=12,MONTH(A210)=1,MONTH(A210)=2),"Winter",
OR(MONTH(A210)=3,MONTH(A210)=4),"Spring",
OR(MONTH(A210)=5,MONTH(A210)=6),"Summer",
OR(MONTH(A210)=7,MONTH(A210)=8,MONTH(A210)=9),"Monsoon",
MONTH(A210)=10,"Autumn/Festive",
TRUE,""
)</f>
        <v>Monsoon</v>
      </c>
    </row>
    <row r="211" spans="1:59" x14ac:dyDescent="0.3">
      <c r="A211" s="39">
        <v>45536</v>
      </c>
      <c r="B211" s="40" t="str">
        <f t="shared" si="27"/>
        <v>September</v>
      </c>
      <c r="C211" s="41">
        <v>2</v>
      </c>
      <c r="D211" s="41">
        <v>0</v>
      </c>
      <c r="E211" s="41">
        <v>0</v>
      </c>
      <c r="F211" s="41">
        <v>0</v>
      </c>
      <c r="G211" s="41">
        <v>0</v>
      </c>
      <c r="H211" s="41">
        <v>0</v>
      </c>
      <c r="I211" s="41">
        <v>0</v>
      </c>
      <c r="J211" s="41">
        <v>0</v>
      </c>
      <c r="K211" s="41">
        <v>0</v>
      </c>
      <c r="L211" s="41">
        <v>0</v>
      </c>
      <c r="M211" s="41">
        <v>0</v>
      </c>
      <c r="N211" s="42">
        <v>110</v>
      </c>
      <c r="O211" s="42">
        <v>110</v>
      </c>
      <c r="P211" s="42">
        <v>26</v>
      </c>
      <c r="Q211" s="42">
        <v>65</v>
      </c>
      <c r="R211" s="42">
        <v>200</v>
      </c>
      <c r="S211" s="42">
        <v>230</v>
      </c>
      <c r="T211" s="42">
        <v>250</v>
      </c>
      <c r="U211" s="42">
        <v>170</v>
      </c>
      <c r="V211" s="42">
        <v>25</v>
      </c>
      <c r="W211" s="42">
        <v>4</v>
      </c>
      <c r="X211" s="42">
        <v>265</v>
      </c>
      <c r="Y211" s="43">
        <v>130</v>
      </c>
      <c r="Z211" s="43">
        <v>150</v>
      </c>
      <c r="AA211" s="43">
        <v>30</v>
      </c>
      <c r="AB211" s="43">
        <v>95</v>
      </c>
      <c r="AC211" s="43">
        <v>250</v>
      </c>
      <c r="AD211" s="43">
        <v>260</v>
      </c>
      <c r="AE211" s="43">
        <v>280</v>
      </c>
      <c r="AF211" s="43">
        <v>200</v>
      </c>
      <c r="AG211" s="43">
        <v>30</v>
      </c>
      <c r="AH211" s="43">
        <v>6</v>
      </c>
      <c r="AI211" s="43">
        <v>300</v>
      </c>
      <c r="AJ211" s="41">
        <f t="shared" si="28"/>
        <v>260</v>
      </c>
      <c r="AK211" s="41">
        <f t="shared" si="26"/>
        <v>0</v>
      </c>
      <c r="AL211" s="41">
        <f t="shared" si="26"/>
        <v>0</v>
      </c>
      <c r="AM211" s="41">
        <f t="shared" si="26"/>
        <v>0</v>
      </c>
      <c r="AN211" s="41">
        <f t="shared" si="26"/>
        <v>0</v>
      </c>
      <c r="AO211" s="41">
        <f t="shared" si="26"/>
        <v>0</v>
      </c>
      <c r="AP211" s="41">
        <f t="shared" si="24"/>
        <v>0</v>
      </c>
      <c r="AQ211" s="41">
        <f t="shared" si="24"/>
        <v>0</v>
      </c>
      <c r="AR211" s="41">
        <f t="shared" si="24"/>
        <v>0</v>
      </c>
      <c r="AS211" s="41">
        <f t="shared" si="24"/>
        <v>0</v>
      </c>
      <c r="AT211" s="41">
        <f t="shared" si="24"/>
        <v>0</v>
      </c>
      <c r="AU211" s="43">
        <f t="shared" si="31"/>
        <v>40</v>
      </c>
      <c r="AV211" s="43">
        <f t="shared" si="31"/>
        <v>0</v>
      </c>
      <c r="AW211" s="43">
        <f t="shared" si="30"/>
        <v>0</v>
      </c>
      <c r="AX211" s="43">
        <f t="shared" si="30"/>
        <v>0</v>
      </c>
      <c r="AY211" s="43">
        <f t="shared" si="30"/>
        <v>0</v>
      </c>
      <c r="AZ211" s="43">
        <f t="shared" si="30"/>
        <v>0</v>
      </c>
      <c r="BA211" s="43">
        <f t="shared" si="30"/>
        <v>0</v>
      </c>
      <c r="BB211" s="43">
        <f t="shared" si="30"/>
        <v>0</v>
      </c>
      <c r="BC211" s="43">
        <f t="shared" si="30"/>
        <v>0</v>
      </c>
      <c r="BD211" s="43">
        <f t="shared" si="30"/>
        <v>0</v>
      </c>
      <c r="BE211" s="43">
        <f t="shared" si="30"/>
        <v>0</v>
      </c>
      <c r="BF211" s="41">
        <f t="shared" si="29"/>
        <v>40</v>
      </c>
      <c r="BG211" s="41" t="str">
        <f t="array" ref="BG211">_xlfn.IFS(
OR(MONTH(A211)=11,MONTH(A211)=12,MONTH(A211)=1,MONTH(A211)=2),"Winter",
OR(MONTH(A211)=3,MONTH(A211)=4),"Spring",
OR(MONTH(A211)=5,MONTH(A211)=6),"Summer",
OR(MONTH(A211)=7,MONTH(A211)=8,MONTH(A211)=9),"Monsoon",
MONTH(A211)=10,"Autumn/Festive",
TRUE,""
)</f>
        <v>Monsoon</v>
      </c>
    </row>
    <row r="212" spans="1:59" x14ac:dyDescent="0.3">
      <c r="A212" s="39">
        <v>45537</v>
      </c>
      <c r="B212" s="40" t="str">
        <f t="shared" si="27"/>
        <v>September</v>
      </c>
      <c r="C212" s="41">
        <v>0</v>
      </c>
      <c r="D212" s="41">
        <v>0</v>
      </c>
      <c r="E212" s="41">
        <v>0</v>
      </c>
      <c r="F212" s="41">
        <v>0</v>
      </c>
      <c r="G212" s="41">
        <v>0</v>
      </c>
      <c r="H212" s="41">
        <v>0</v>
      </c>
      <c r="I212" s="41">
        <v>0</v>
      </c>
      <c r="J212" s="41">
        <v>0</v>
      </c>
      <c r="K212" s="41">
        <v>0</v>
      </c>
      <c r="L212" s="41">
        <v>0</v>
      </c>
      <c r="M212" s="41">
        <v>0</v>
      </c>
      <c r="N212" s="42">
        <v>110</v>
      </c>
      <c r="O212" s="42">
        <v>110</v>
      </c>
      <c r="P212" s="42">
        <v>26</v>
      </c>
      <c r="Q212" s="42">
        <v>65</v>
      </c>
      <c r="R212" s="42">
        <v>200</v>
      </c>
      <c r="S212" s="42">
        <v>230</v>
      </c>
      <c r="T212" s="42">
        <v>250</v>
      </c>
      <c r="U212" s="42">
        <v>170</v>
      </c>
      <c r="V212" s="42">
        <v>25</v>
      </c>
      <c r="W212" s="42">
        <v>4</v>
      </c>
      <c r="X212" s="42">
        <v>265</v>
      </c>
      <c r="Y212" s="43">
        <v>130</v>
      </c>
      <c r="Z212" s="43">
        <v>150</v>
      </c>
      <c r="AA212" s="43">
        <v>30</v>
      </c>
      <c r="AB212" s="43">
        <v>95</v>
      </c>
      <c r="AC212" s="43">
        <v>250</v>
      </c>
      <c r="AD212" s="43">
        <v>260</v>
      </c>
      <c r="AE212" s="43">
        <v>280</v>
      </c>
      <c r="AF212" s="43">
        <v>200</v>
      </c>
      <c r="AG212" s="43">
        <v>30</v>
      </c>
      <c r="AH212" s="43">
        <v>6</v>
      </c>
      <c r="AI212" s="43">
        <v>300</v>
      </c>
      <c r="AJ212" s="41">
        <f t="shared" si="28"/>
        <v>0</v>
      </c>
      <c r="AK212" s="41">
        <f t="shared" si="26"/>
        <v>0</v>
      </c>
      <c r="AL212" s="41">
        <f t="shared" si="26"/>
        <v>0</v>
      </c>
      <c r="AM212" s="41">
        <f t="shared" si="26"/>
        <v>0</v>
      </c>
      <c r="AN212" s="41">
        <f t="shared" si="26"/>
        <v>0</v>
      </c>
      <c r="AO212" s="41">
        <f t="shared" si="26"/>
        <v>0</v>
      </c>
      <c r="AP212" s="41">
        <f t="shared" si="24"/>
        <v>0</v>
      </c>
      <c r="AQ212" s="41">
        <f t="shared" si="24"/>
        <v>0</v>
      </c>
      <c r="AR212" s="41">
        <f t="shared" si="24"/>
        <v>0</v>
      </c>
      <c r="AS212" s="41">
        <f t="shared" si="24"/>
        <v>0</v>
      </c>
      <c r="AT212" s="41">
        <f t="shared" si="24"/>
        <v>0</v>
      </c>
      <c r="AU212" s="43">
        <f t="shared" si="31"/>
        <v>0</v>
      </c>
      <c r="AV212" s="43">
        <f t="shared" si="31"/>
        <v>0</v>
      </c>
      <c r="AW212" s="43">
        <f t="shared" si="30"/>
        <v>0</v>
      </c>
      <c r="AX212" s="43">
        <f t="shared" si="30"/>
        <v>0</v>
      </c>
      <c r="AY212" s="43">
        <f t="shared" si="30"/>
        <v>0</v>
      </c>
      <c r="AZ212" s="43">
        <f t="shared" si="30"/>
        <v>0</v>
      </c>
      <c r="BA212" s="43">
        <f t="shared" si="30"/>
        <v>0</v>
      </c>
      <c r="BB212" s="43">
        <f t="shared" si="30"/>
        <v>0</v>
      </c>
      <c r="BC212" s="43">
        <f t="shared" si="30"/>
        <v>0</v>
      </c>
      <c r="BD212" s="43">
        <f t="shared" si="30"/>
        <v>0</v>
      </c>
      <c r="BE212" s="43">
        <f t="shared" si="30"/>
        <v>0</v>
      </c>
      <c r="BF212" s="41">
        <f t="shared" si="29"/>
        <v>0</v>
      </c>
      <c r="BG212" s="41" t="str">
        <f t="array" ref="BG212">_xlfn.IFS(
OR(MONTH(A212)=11,MONTH(A212)=12,MONTH(A212)=1,MONTH(A212)=2),"Winter",
OR(MONTH(A212)=3,MONTH(A212)=4),"Spring",
OR(MONTH(A212)=5,MONTH(A212)=6),"Summer",
OR(MONTH(A212)=7,MONTH(A212)=8,MONTH(A212)=9),"Monsoon",
MONTH(A212)=10,"Autumn/Festive",
TRUE,""
)</f>
        <v>Monsoon</v>
      </c>
    </row>
    <row r="213" spans="1:59" x14ac:dyDescent="0.3">
      <c r="A213" s="39">
        <v>45538</v>
      </c>
      <c r="B213" s="40" t="str">
        <f t="shared" si="27"/>
        <v>September</v>
      </c>
      <c r="C213" s="41">
        <v>0</v>
      </c>
      <c r="D213" s="41">
        <v>0</v>
      </c>
      <c r="E213" s="41">
        <v>0</v>
      </c>
      <c r="F213" s="41">
        <v>0</v>
      </c>
      <c r="G213" s="41">
        <v>0</v>
      </c>
      <c r="H213" s="41">
        <v>0</v>
      </c>
      <c r="I213" s="41">
        <v>2</v>
      </c>
      <c r="J213" s="41">
        <v>0</v>
      </c>
      <c r="K213" s="41">
        <v>0</v>
      </c>
      <c r="L213" s="41">
        <v>0</v>
      </c>
      <c r="M213" s="41">
        <v>0</v>
      </c>
      <c r="N213" s="42">
        <v>110</v>
      </c>
      <c r="O213" s="42">
        <v>110</v>
      </c>
      <c r="P213" s="42">
        <v>26</v>
      </c>
      <c r="Q213" s="42">
        <v>65</v>
      </c>
      <c r="R213" s="42">
        <v>200</v>
      </c>
      <c r="S213" s="42">
        <v>230</v>
      </c>
      <c r="T213" s="42">
        <v>250</v>
      </c>
      <c r="U213" s="42">
        <v>170</v>
      </c>
      <c r="V213" s="42">
        <v>25</v>
      </c>
      <c r="W213" s="42">
        <v>4</v>
      </c>
      <c r="X213" s="42">
        <v>265</v>
      </c>
      <c r="Y213" s="43">
        <v>130</v>
      </c>
      <c r="Z213" s="43">
        <v>150</v>
      </c>
      <c r="AA213" s="43">
        <v>30</v>
      </c>
      <c r="AB213" s="43">
        <v>95</v>
      </c>
      <c r="AC213" s="43">
        <v>250</v>
      </c>
      <c r="AD213" s="43">
        <v>260</v>
      </c>
      <c r="AE213" s="43">
        <v>280</v>
      </c>
      <c r="AF213" s="43">
        <v>200</v>
      </c>
      <c r="AG213" s="43">
        <v>30</v>
      </c>
      <c r="AH213" s="43">
        <v>6</v>
      </c>
      <c r="AI213" s="43">
        <v>300</v>
      </c>
      <c r="AJ213" s="41">
        <f t="shared" si="28"/>
        <v>0</v>
      </c>
      <c r="AK213" s="41">
        <f t="shared" si="26"/>
        <v>0</v>
      </c>
      <c r="AL213" s="41">
        <f t="shared" si="26"/>
        <v>0</v>
      </c>
      <c r="AM213" s="41">
        <f t="shared" si="26"/>
        <v>0</v>
      </c>
      <c r="AN213" s="41">
        <f t="shared" si="26"/>
        <v>0</v>
      </c>
      <c r="AO213" s="41">
        <f t="shared" si="26"/>
        <v>0</v>
      </c>
      <c r="AP213" s="41">
        <f t="shared" si="24"/>
        <v>560</v>
      </c>
      <c r="AQ213" s="41">
        <f t="shared" si="24"/>
        <v>0</v>
      </c>
      <c r="AR213" s="41">
        <f t="shared" si="24"/>
        <v>0</v>
      </c>
      <c r="AS213" s="41">
        <f t="shared" si="24"/>
        <v>0</v>
      </c>
      <c r="AT213" s="41">
        <f t="shared" si="24"/>
        <v>0</v>
      </c>
      <c r="AU213" s="43">
        <f t="shared" si="31"/>
        <v>0</v>
      </c>
      <c r="AV213" s="43">
        <f t="shared" si="31"/>
        <v>0</v>
      </c>
      <c r="AW213" s="43">
        <f t="shared" si="30"/>
        <v>0</v>
      </c>
      <c r="AX213" s="43">
        <f t="shared" si="30"/>
        <v>0</v>
      </c>
      <c r="AY213" s="43">
        <f t="shared" si="30"/>
        <v>0</v>
      </c>
      <c r="AZ213" s="43">
        <f t="shared" si="30"/>
        <v>0</v>
      </c>
      <c r="BA213" s="43">
        <f t="shared" si="30"/>
        <v>60</v>
      </c>
      <c r="BB213" s="43">
        <f t="shared" si="30"/>
        <v>0</v>
      </c>
      <c r="BC213" s="43">
        <f t="shared" si="30"/>
        <v>0</v>
      </c>
      <c r="BD213" s="43">
        <f t="shared" si="30"/>
        <v>0</v>
      </c>
      <c r="BE213" s="43">
        <f t="shared" si="30"/>
        <v>0</v>
      </c>
      <c r="BF213" s="41">
        <f t="shared" si="29"/>
        <v>60</v>
      </c>
      <c r="BG213" s="41" t="str">
        <f t="array" ref="BG213">_xlfn.IFS(
OR(MONTH(A213)=11,MONTH(A213)=12,MONTH(A213)=1,MONTH(A213)=2),"Winter",
OR(MONTH(A213)=3,MONTH(A213)=4),"Spring",
OR(MONTH(A213)=5,MONTH(A213)=6),"Summer",
OR(MONTH(A213)=7,MONTH(A213)=8,MONTH(A213)=9),"Monsoon",
MONTH(A213)=10,"Autumn/Festive",
TRUE,""
)</f>
        <v>Monsoon</v>
      </c>
    </row>
    <row r="214" spans="1:59" x14ac:dyDescent="0.3">
      <c r="A214" s="39">
        <v>45539</v>
      </c>
      <c r="B214" s="40" t="str">
        <f t="shared" si="27"/>
        <v>September</v>
      </c>
      <c r="C214" s="41">
        <v>0</v>
      </c>
      <c r="D214" s="41">
        <v>0</v>
      </c>
      <c r="E214" s="41">
        <v>0</v>
      </c>
      <c r="F214" s="41">
        <v>0</v>
      </c>
      <c r="G214" s="41">
        <v>0</v>
      </c>
      <c r="H214" s="41">
        <v>0</v>
      </c>
      <c r="I214" s="41">
        <v>0</v>
      </c>
      <c r="J214" s="41">
        <v>2</v>
      </c>
      <c r="K214" s="41">
        <v>0</v>
      </c>
      <c r="L214" s="41">
        <v>0</v>
      </c>
      <c r="M214" s="41">
        <v>0</v>
      </c>
      <c r="N214" s="42">
        <v>110</v>
      </c>
      <c r="O214" s="42">
        <v>110</v>
      </c>
      <c r="P214" s="42">
        <v>26</v>
      </c>
      <c r="Q214" s="42">
        <v>65</v>
      </c>
      <c r="R214" s="42">
        <v>200</v>
      </c>
      <c r="S214" s="42">
        <v>230</v>
      </c>
      <c r="T214" s="42">
        <v>250</v>
      </c>
      <c r="U214" s="42">
        <v>170</v>
      </c>
      <c r="V214" s="42">
        <v>25</v>
      </c>
      <c r="W214" s="42">
        <v>4</v>
      </c>
      <c r="X214" s="42">
        <v>265</v>
      </c>
      <c r="Y214" s="43">
        <v>130</v>
      </c>
      <c r="Z214" s="43">
        <v>150</v>
      </c>
      <c r="AA214" s="43">
        <v>30</v>
      </c>
      <c r="AB214" s="43">
        <v>95</v>
      </c>
      <c r="AC214" s="43">
        <v>250</v>
      </c>
      <c r="AD214" s="43">
        <v>260</v>
      </c>
      <c r="AE214" s="43">
        <v>280</v>
      </c>
      <c r="AF214" s="43">
        <v>200</v>
      </c>
      <c r="AG214" s="43">
        <v>30</v>
      </c>
      <c r="AH214" s="43">
        <v>6</v>
      </c>
      <c r="AI214" s="43">
        <v>300</v>
      </c>
      <c r="AJ214" s="41">
        <f t="shared" si="28"/>
        <v>0</v>
      </c>
      <c r="AK214" s="41">
        <f t="shared" si="26"/>
        <v>0</v>
      </c>
      <c r="AL214" s="41">
        <f t="shared" si="26"/>
        <v>0</v>
      </c>
      <c r="AM214" s="41">
        <f t="shared" si="26"/>
        <v>0</v>
      </c>
      <c r="AN214" s="41">
        <f t="shared" si="26"/>
        <v>0</v>
      </c>
      <c r="AO214" s="41">
        <f t="shared" si="26"/>
        <v>0</v>
      </c>
      <c r="AP214" s="41">
        <f t="shared" si="24"/>
        <v>0</v>
      </c>
      <c r="AQ214" s="41">
        <f t="shared" si="24"/>
        <v>400</v>
      </c>
      <c r="AR214" s="41">
        <f t="shared" si="24"/>
        <v>0</v>
      </c>
      <c r="AS214" s="41">
        <f t="shared" si="24"/>
        <v>0</v>
      </c>
      <c r="AT214" s="41">
        <f t="shared" si="24"/>
        <v>0</v>
      </c>
      <c r="AU214" s="43">
        <f t="shared" si="31"/>
        <v>0</v>
      </c>
      <c r="AV214" s="43">
        <f t="shared" si="31"/>
        <v>0</v>
      </c>
      <c r="AW214" s="43">
        <f t="shared" si="30"/>
        <v>0</v>
      </c>
      <c r="AX214" s="43">
        <f t="shared" si="30"/>
        <v>0</v>
      </c>
      <c r="AY214" s="43">
        <f t="shared" si="30"/>
        <v>0</v>
      </c>
      <c r="AZ214" s="43">
        <f t="shared" si="30"/>
        <v>0</v>
      </c>
      <c r="BA214" s="43">
        <f t="shared" si="30"/>
        <v>0</v>
      </c>
      <c r="BB214" s="43">
        <f t="shared" si="30"/>
        <v>60</v>
      </c>
      <c r="BC214" s="43">
        <f t="shared" si="30"/>
        <v>0</v>
      </c>
      <c r="BD214" s="43">
        <f t="shared" si="30"/>
        <v>0</v>
      </c>
      <c r="BE214" s="43">
        <f t="shared" si="30"/>
        <v>0</v>
      </c>
      <c r="BF214" s="41">
        <f t="shared" si="29"/>
        <v>60</v>
      </c>
      <c r="BG214" s="41" t="str">
        <f t="array" ref="BG214">_xlfn.IFS(
OR(MONTH(A214)=11,MONTH(A214)=12,MONTH(A214)=1,MONTH(A214)=2),"Winter",
OR(MONTH(A214)=3,MONTH(A214)=4),"Spring",
OR(MONTH(A214)=5,MONTH(A214)=6),"Summer",
OR(MONTH(A214)=7,MONTH(A214)=8,MONTH(A214)=9),"Monsoon",
MONTH(A214)=10,"Autumn/Festive",
TRUE,""
)</f>
        <v>Monsoon</v>
      </c>
    </row>
    <row r="215" spans="1:59" x14ac:dyDescent="0.3">
      <c r="A215" s="39">
        <v>45540</v>
      </c>
      <c r="B215" s="40" t="str">
        <f t="shared" si="27"/>
        <v>September</v>
      </c>
      <c r="C215" s="41">
        <v>0</v>
      </c>
      <c r="D215" s="41">
        <v>3</v>
      </c>
      <c r="E215" s="41">
        <v>0</v>
      </c>
      <c r="F215" s="41">
        <v>0</v>
      </c>
      <c r="G215" s="41">
        <v>5</v>
      </c>
      <c r="H215" s="41">
        <v>0</v>
      </c>
      <c r="I215" s="41">
        <v>0</v>
      </c>
      <c r="J215" s="41">
        <v>0</v>
      </c>
      <c r="K215" s="41">
        <v>0</v>
      </c>
      <c r="L215" s="41">
        <v>0</v>
      </c>
      <c r="M215" s="41">
        <v>0</v>
      </c>
      <c r="N215" s="42">
        <v>110</v>
      </c>
      <c r="O215" s="42">
        <v>110</v>
      </c>
      <c r="P215" s="42">
        <v>26</v>
      </c>
      <c r="Q215" s="42">
        <v>65</v>
      </c>
      <c r="R215" s="42">
        <v>200</v>
      </c>
      <c r="S215" s="42">
        <v>230</v>
      </c>
      <c r="T215" s="42">
        <v>250</v>
      </c>
      <c r="U215" s="42">
        <v>170</v>
      </c>
      <c r="V215" s="42">
        <v>25</v>
      </c>
      <c r="W215" s="42">
        <v>4</v>
      </c>
      <c r="X215" s="42">
        <v>265</v>
      </c>
      <c r="Y215" s="43">
        <v>130</v>
      </c>
      <c r="Z215" s="43">
        <v>150</v>
      </c>
      <c r="AA215" s="43">
        <v>30</v>
      </c>
      <c r="AB215" s="43">
        <v>95</v>
      </c>
      <c r="AC215" s="43">
        <v>250</v>
      </c>
      <c r="AD215" s="43">
        <v>260</v>
      </c>
      <c r="AE215" s="43">
        <v>280</v>
      </c>
      <c r="AF215" s="43">
        <v>200</v>
      </c>
      <c r="AG215" s="43">
        <v>30</v>
      </c>
      <c r="AH215" s="43">
        <v>6</v>
      </c>
      <c r="AI215" s="43">
        <v>300</v>
      </c>
      <c r="AJ215" s="41">
        <f t="shared" si="28"/>
        <v>0</v>
      </c>
      <c r="AK215" s="41">
        <f t="shared" si="26"/>
        <v>450</v>
      </c>
      <c r="AL215" s="41">
        <f t="shared" si="26"/>
        <v>0</v>
      </c>
      <c r="AM215" s="41">
        <f t="shared" si="26"/>
        <v>0</v>
      </c>
      <c r="AN215" s="41">
        <f t="shared" si="26"/>
        <v>1250</v>
      </c>
      <c r="AO215" s="41">
        <f t="shared" si="26"/>
        <v>0</v>
      </c>
      <c r="AP215" s="41">
        <f t="shared" si="24"/>
        <v>0</v>
      </c>
      <c r="AQ215" s="41">
        <f t="shared" si="24"/>
        <v>0</v>
      </c>
      <c r="AR215" s="41">
        <f t="shared" si="24"/>
        <v>0</v>
      </c>
      <c r="AS215" s="41">
        <f t="shared" si="24"/>
        <v>0</v>
      </c>
      <c r="AT215" s="41">
        <f t="shared" si="24"/>
        <v>0</v>
      </c>
      <c r="AU215" s="43">
        <f t="shared" si="31"/>
        <v>0</v>
      </c>
      <c r="AV215" s="43">
        <f t="shared" si="31"/>
        <v>120</v>
      </c>
      <c r="AW215" s="43">
        <f t="shared" si="30"/>
        <v>0</v>
      </c>
      <c r="AX215" s="43">
        <f t="shared" si="30"/>
        <v>0</v>
      </c>
      <c r="AY215" s="43">
        <f t="shared" si="30"/>
        <v>250</v>
      </c>
      <c r="AZ215" s="43">
        <f t="shared" si="30"/>
        <v>0</v>
      </c>
      <c r="BA215" s="43">
        <f t="shared" si="30"/>
        <v>0</v>
      </c>
      <c r="BB215" s="43">
        <f t="shared" si="30"/>
        <v>0</v>
      </c>
      <c r="BC215" s="43">
        <f t="shared" si="30"/>
        <v>0</v>
      </c>
      <c r="BD215" s="43">
        <f t="shared" si="30"/>
        <v>0</v>
      </c>
      <c r="BE215" s="43">
        <f t="shared" si="30"/>
        <v>0</v>
      </c>
      <c r="BF215" s="41">
        <f t="shared" si="29"/>
        <v>370</v>
      </c>
      <c r="BG215" s="41" t="str">
        <f t="array" ref="BG215">_xlfn.IFS(
OR(MONTH(A215)=11,MONTH(A215)=12,MONTH(A215)=1,MONTH(A215)=2),"Winter",
OR(MONTH(A215)=3,MONTH(A215)=4),"Spring",
OR(MONTH(A215)=5,MONTH(A215)=6),"Summer",
OR(MONTH(A215)=7,MONTH(A215)=8,MONTH(A215)=9),"Monsoon",
MONTH(A215)=10,"Autumn/Festive",
TRUE,""
)</f>
        <v>Monsoon</v>
      </c>
    </row>
    <row r="216" spans="1:59" x14ac:dyDescent="0.3">
      <c r="A216" s="39">
        <v>45541</v>
      </c>
      <c r="B216" s="40" t="str">
        <f t="shared" si="27"/>
        <v>September</v>
      </c>
      <c r="C216" s="41">
        <v>3</v>
      </c>
      <c r="D216" s="41">
        <v>0</v>
      </c>
      <c r="E216" s="41">
        <v>0</v>
      </c>
      <c r="F216" s="41">
        <v>0</v>
      </c>
      <c r="G216" s="41">
        <v>0</v>
      </c>
      <c r="H216" s="41">
        <v>0</v>
      </c>
      <c r="I216" s="41">
        <v>0</v>
      </c>
      <c r="J216" s="41">
        <v>0</v>
      </c>
      <c r="K216" s="41">
        <v>0</v>
      </c>
      <c r="L216" s="41">
        <v>0</v>
      </c>
      <c r="M216" s="41">
        <v>0</v>
      </c>
      <c r="N216" s="42">
        <v>110</v>
      </c>
      <c r="O216" s="42">
        <v>110</v>
      </c>
      <c r="P216" s="42">
        <v>26</v>
      </c>
      <c r="Q216" s="42">
        <v>65</v>
      </c>
      <c r="R216" s="42">
        <v>200</v>
      </c>
      <c r="S216" s="42">
        <v>230</v>
      </c>
      <c r="T216" s="42">
        <v>250</v>
      </c>
      <c r="U216" s="42">
        <v>170</v>
      </c>
      <c r="V216" s="42">
        <v>25</v>
      </c>
      <c r="W216" s="42">
        <v>4</v>
      </c>
      <c r="X216" s="42">
        <v>265</v>
      </c>
      <c r="Y216" s="43">
        <v>130</v>
      </c>
      <c r="Z216" s="43">
        <v>150</v>
      </c>
      <c r="AA216" s="43">
        <v>30</v>
      </c>
      <c r="AB216" s="43">
        <v>95</v>
      </c>
      <c r="AC216" s="43">
        <v>250</v>
      </c>
      <c r="AD216" s="43">
        <v>260</v>
      </c>
      <c r="AE216" s="43">
        <v>280</v>
      </c>
      <c r="AF216" s="43">
        <v>200</v>
      </c>
      <c r="AG216" s="43">
        <v>30</v>
      </c>
      <c r="AH216" s="43">
        <v>6</v>
      </c>
      <c r="AI216" s="43">
        <v>300</v>
      </c>
      <c r="AJ216" s="41">
        <f t="shared" si="28"/>
        <v>390</v>
      </c>
      <c r="AK216" s="41">
        <f t="shared" si="26"/>
        <v>0</v>
      </c>
      <c r="AL216" s="41">
        <f t="shared" si="26"/>
        <v>0</v>
      </c>
      <c r="AM216" s="41">
        <f t="shared" si="26"/>
        <v>0</v>
      </c>
      <c r="AN216" s="41">
        <f t="shared" si="26"/>
        <v>0</v>
      </c>
      <c r="AO216" s="41">
        <f t="shared" si="26"/>
        <v>0</v>
      </c>
      <c r="AP216" s="41">
        <f t="shared" si="24"/>
        <v>0</v>
      </c>
      <c r="AQ216" s="41">
        <f t="shared" si="24"/>
        <v>0</v>
      </c>
      <c r="AR216" s="41">
        <f t="shared" si="24"/>
        <v>0</v>
      </c>
      <c r="AS216" s="41">
        <f t="shared" si="24"/>
        <v>0</v>
      </c>
      <c r="AT216" s="41">
        <f t="shared" si="24"/>
        <v>0</v>
      </c>
      <c r="AU216" s="43">
        <f t="shared" si="31"/>
        <v>60</v>
      </c>
      <c r="AV216" s="43">
        <f t="shared" si="31"/>
        <v>0</v>
      </c>
      <c r="AW216" s="43">
        <f t="shared" si="30"/>
        <v>0</v>
      </c>
      <c r="AX216" s="43">
        <f t="shared" si="30"/>
        <v>0</v>
      </c>
      <c r="AY216" s="43">
        <f t="shared" si="30"/>
        <v>0</v>
      </c>
      <c r="AZ216" s="43">
        <f t="shared" si="30"/>
        <v>0</v>
      </c>
      <c r="BA216" s="43">
        <f t="shared" si="30"/>
        <v>0</v>
      </c>
      <c r="BB216" s="43">
        <f t="shared" si="30"/>
        <v>0</v>
      </c>
      <c r="BC216" s="43">
        <f t="shared" si="30"/>
        <v>0</v>
      </c>
      <c r="BD216" s="43">
        <f t="shared" si="30"/>
        <v>0</v>
      </c>
      <c r="BE216" s="43">
        <f t="shared" si="30"/>
        <v>0</v>
      </c>
      <c r="BF216" s="41">
        <f t="shared" si="29"/>
        <v>60</v>
      </c>
      <c r="BG216" s="41" t="str">
        <f t="array" ref="BG216">_xlfn.IFS(
OR(MONTH(A216)=11,MONTH(A216)=12,MONTH(A216)=1,MONTH(A216)=2),"Winter",
OR(MONTH(A216)=3,MONTH(A216)=4),"Spring",
OR(MONTH(A216)=5,MONTH(A216)=6),"Summer",
OR(MONTH(A216)=7,MONTH(A216)=8,MONTH(A216)=9),"Monsoon",
MONTH(A216)=10,"Autumn/Festive",
TRUE,""
)</f>
        <v>Monsoon</v>
      </c>
    </row>
    <row r="217" spans="1:59" x14ac:dyDescent="0.3">
      <c r="A217" s="39">
        <v>45542</v>
      </c>
      <c r="B217" s="40" t="str">
        <f t="shared" si="27"/>
        <v>September</v>
      </c>
      <c r="C217" s="41">
        <v>0</v>
      </c>
      <c r="D217" s="41">
        <v>0</v>
      </c>
      <c r="E217" s="41">
        <v>0</v>
      </c>
      <c r="F217" s="41">
        <v>2</v>
      </c>
      <c r="G217" s="41">
        <v>0</v>
      </c>
      <c r="H217" s="41">
        <v>0</v>
      </c>
      <c r="I217" s="41">
        <v>0</v>
      </c>
      <c r="J217" s="41">
        <v>0</v>
      </c>
      <c r="K217" s="41">
        <v>0</v>
      </c>
      <c r="L217" s="41">
        <v>0</v>
      </c>
      <c r="M217" s="41">
        <v>0</v>
      </c>
      <c r="N217" s="42">
        <v>110</v>
      </c>
      <c r="O217" s="42">
        <v>110</v>
      </c>
      <c r="P217" s="42">
        <v>26</v>
      </c>
      <c r="Q217" s="42">
        <v>65</v>
      </c>
      <c r="R217" s="42">
        <v>200</v>
      </c>
      <c r="S217" s="42">
        <v>230</v>
      </c>
      <c r="T217" s="42">
        <v>250</v>
      </c>
      <c r="U217" s="42">
        <v>170</v>
      </c>
      <c r="V217" s="42">
        <v>25</v>
      </c>
      <c r="W217" s="42">
        <v>4</v>
      </c>
      <c r="X217" s="42">
        <v>265</v>
      </c>
      <c r="Y217" s="43">
        <v>130</v>
      </c>
      <c r="Z217" s="43">
        <v>150</v>
      </c>
      <c r="AA217" s="43">
        <v>30</v>
      </c>
      <c r="AB217" s="43">
        <v>95</v>
      </c>
      <c r="AC217" s="43">
        <v>250</v>
      </c>
      <c r="AD217" s="43">
        <v>260</v>
      </c>
      <c r="AE217" s="43">
        <v>280</v>
      </c>
      <c r="AF217" s="43">
        <v>200</v>
      </c>
      <c r="AG217" s="43">
        <v>30</v>
      </c>
      <c r="AH217" s="43">
        <v>6</v>
      </c>
      <c r="AI217" s="43">
        <v>300</v>
      </c>
      <c r="AJ217" s="41">
        <f t="shared" si="28"/>
        <v>0</v>
      </c>
      <c r="AK217" s="41">
        <f t="shared" si="26"/>
        <v>0</v>
      </c>
      <c r="AL217" s="41">
        <f t="shared" si="26"/>
        <v>0</v>
      </c>
      <c r="AM217" s="41">
        <f t="shared" si="26"/>
        <v>190</v>
      </c>
      <c r="AN217" s="41">
        <f t="shared" si="26"/>
        <v>0</v>
      </c>
      <c r="AO217" s="41">
        <f t="shared" si="26"/>
        <v>0</v>
      </c>
      <c r="AP217" s="41">
        <f t="shared" si="24"/>
        <v>0</v>
      </c>
      <c r="AQ217" s="41">
        <f t="shared" si="24"/>
        <v>0</v>
      </c>
      <c r="AR217" s="41">
        <f t="shared" si="24"/>
        <v>0</v>
      </c>
      <c r="AS217" s="41">
        <f t="shared" si="24"/>
        <v>0</v>
      </c>
      <c r="AT217" s="41">
        <f t="shared" si="24"/>
        <v>0</v>
      </c>
      <c r="AU217" s="43">
        <f t="shared" si="31"/>
        <v>0</v>
      </c>
      <c r="AV217" s="43">
        <f t="shared" si="31"/>
        <v>0</v>
      </c>
      <c r="AW217" s="43">
        <f t="shared" si="30"/>
        <v>0</v>
      </c>
      <c r="AX217" s="43">
        <f t="shared" si="30"/>
        <v>60</v>
      </c>
      <c r="AY217" s="43">
        <f t="shared" si="30"/>
        <v>0</v>
      </c>
      <c r="AZ217" s="43">
        <f t="shared" si="30"/>
        <v>0</v>
      </c>
      <c r="BA217" s="43">
        <f t="shared" si="30"/>
        <v>0</v>
      </c>
      <c r="BB217" s="43">
        <f t="shared" si="30"/>
        <v>0</v>
      </c>
      <c r="BC217" s="43">
        <f t="shared" si="30"/>
        <v>0</v>
      </c>
      <c r="BD217" s="43">
        <f t="shared" si="30"/>
        <v>0</v>
      </c>
      <c r="BE217" s="43">
        <f t="shared" si="30"/>
        <v>0</v>
      </c>
      <c r="BF217" s="41">
        <f t="shared" si="29"/>
        <v>60</v>
      </c>
      <c r="BG217" s="41" t="str">
        <f t="array" ref="BG217">_xlfn.IFS(
OR(MONTH(A217)=11,MONTH(A217)=12,MONTH(A217)=1,MONTH(A217)=2),"Winter",
OR(MONTH(A217)=3,MONTH(A217)=4),"Spring",
OR(MONTH(A217)=5,MONTH(A217)=6),"Summer",
OR(MONTH(A217)=7,MONTH(A217)=8,MONTH(A217)=9),"Monsoon",
MONTH(A217)=10,"Autumn/Festive",
TRUE,""
)</f>
        <v>Monsoon</v>
      </c>
    </row>
    <row r="218" spans="1:59" x14ac:dyDescent="0.3">
      <c r="A218" s="39">
        <v>45543</v>
      </c>
      <c r="B218" s="40" t="str">
        <f t="shared" si="27"/>
        <v>September</v>
      </c>
      <c r="C218" s="41">
        <v>0</v>
      </c>
      <c r="D218" s="41">
        <v>0</v>
      </c>
      <c r="E218" s="41">
        <v>0</v>
      </c>
      <c r="F218" s="41">
        <v>0</v>
      </c>
      <c r="G218" s="41">
        <v>0</v>
      </c>
      <c r="H218" s="41">
        <v>2</v>
      </c>
      <c r="I218" s="41">
        <v>0</v>
      </c>
      <c r="J218" s="41">
        <v>0</v>
      </c>
      <c r="K218" s="41">
        <v>0</v>
      </c>
      <c r="L218" s="41">
        <v>0</v>
      </c>
      <c r="M218" s="41">
        <v>0</v>
      </c>
      <c r="N218" s="42">
        <v>110</v>
      </c>
      <c r="O218" s="42">
        <v>110</v>
      </c>
      <c r="P218" s="42">
        <v>26</v>
      </c>
      <c r="Q218" s="42">
        <v>65</v>
      </c>
      <c r="R218" s="42">
        <v>200</v>
      </c>
      <c r="S218" s="42">
        <v>230</v>
      </c>
      <c r="T218" s="42">
        <v>250</v>
      </c>
      <c r="U218" s="42">
        <v>170</v>
      </c>
      <c r="V218" s="42">
        <v>25</v>
      </c>
      <c r="W218" s="42">
        <v>4</v>
      </c>
      <c r="X218" s="42">
        <v>265</v>
      </c>
      <c r="Y218" s="43">
        <v>130</v>
      </c>
      <c r="Z218" s="43">
        <v>150</v>
      </c>
      <c r="AA218" s="43">
        <v>30</v>
      </c>
      <c r="AB218" s="43">
        <v>95</v>
      </c>
      <c r="AC218" s="43">
        <v>250</v>
      </c>
      <c r="AD218" s="43">
        <v>260</v>
      </c>
      <c r="AE218" s="43">
        <v>280</v>
      </c>
      <c r="AF218" s="43">
        <v>200</v>
      </c>
      <c r="AG218" s="43">
        <v>30</v>
      </c>
      <c r="AH218" s="43">
        <v>6</v>
      </c>
      <c r="AI218" s="43">
        <v>300</v>
      </c>
      <c r="AJ218" s="41">
        <f t="shared" si="28"/>
        <v>0</v>
      </c>
      <c r="AK218" s="41">
        <f t="shared" si="26"/>
        <v>0</v>
      </c>
      <c r="AL218" s="41">
        <f t="shared" si="26"/>
        <v>0</v>
      </c>
      <c r="AM218" s="41">
        <f t="shared" si="26"/>
        <v>0</v>
      </c>
      <c r="AN218" s="41">
        <f t="shared" si="26"/>
        <v>0</v>
      </c>
      <c r="AO218" s="41">
        <f t="shared" si="26"/>
        <v>520</v>
      </c>
      <c r="AP218" s="41">
        <f t="shared" si="24"/>
        <v>0</v>
      </c>
      <c r="AQ218" s="41">
        <f t="shared" si="24"/>
        <v>0</v>
      </c>
      <c r="AR218" s="41">
        <f t="shared" si="24"/>
        <v>0</v>
      </c>
      <c r="AS218" s="41">
        <f t="shared" si="24"/>
        <v>0</v>
      </c>
      <c r="AT218" s="41">
        <f t="shared" si="24"/>
        <v>0</v>
      </c>
      <c r="AU218" s="43">
        <f t="shared" si="31"/>
        <v>0</v>
      </c>
      <c r="AV218" s="43">
        <f t="shared" si="31"/>
        <v>0</v>
      </c>
      <c r="AW218" s="43">
        <f t="shared" si="30"/>
        <v>0</v>
      </c>
      <c r="AX218" s="43">
        <f t="shared" si="30"/>
        <v>0</v>
      </c>
      <c r="AY218" s="43">
        <f t="shared" si="30"/>
        <v>0</v>
      </c>
      <c r="AZ218" s="43">
        <f t="shared" si="30"/>
        <v>60</v>
      </c>
      <c r="BA218" s="43">
        <f t="shared" si="30"/>
        <v>0</v>
      </c>
      <c r="BB218" s="43">
        <f t="shared" si="30"/>
        <v>0</v>
      </c>
      <c r="BC218" s="43">
        <f t="shared" si="30"/>
        <v>0</v>
      </c>
      <c r="BD218" s="43">
        <f t="shared" si="30"/>
        <v>0</v>
      </c>
      <c r="BE218" s="43">
        <f t="shared" si="30"/>
        <v>0</v>
      </c>
      <c r="BF218" s="41">
        <f t="shared" si="29"/>
        <v>60</v>
      </c>
      <c r="BG218" s="41" t="str">
        <f t="array" ref="BG218">_xlfn.IFS(
OR(MONTH(A218)=11,MONTH(A218)=12,MONTH(A218)=1,MONTH(A218)=2),"Winter",
OR(MONTH(A218)=3,MONTH(A218)=4),"Spring",
OR(MONTH(A218)=5,MONTH(A218)=6),"Summer",
OR(MONTH(A218)=7,MONTH(A218)=8,MONTH(A218)=9),"Monsoon",
MONTH(A218)=10,"Autumn/Festive",
TRUE,""
)</f>
        <v>Monsoon</v>
      </c>
    </row>
    <row r="219" spans="1:59" x14ac:dyDescent="0.3">
      <c r="A219" s="39">
        <v>45544</v>
      </c>
      <c r="B219" s="40" t="str">
        <f t="shared" si="27"/>
        <v>September</v>
      </c>
      <c r="C219" s="41">
        <v>6</v>
      </c>
      <c r="D219" s="41">
        <v>0</v>
      </c>
      <c r="E219" s="41">
        <v>0</v>
      </c>
      <c r="F219" s="41">
        <v>0</v>
      </c>
      <c r="G219" s="41">
        <v>0</v>
      </c>
      <c r="H219" s="41">
        <v>0</v>
      </c>
      <c r="I219" s="41">
        <v>0</v>
      </c>
      <c r="J219" s="41">
        <v>0</v>
      </c>
      <c r="K219" s="41">
        <v>0</v>
      </c>
      <c r="L219" s="41">
        <v>0</v>
      </c>
      <c r="M219" s="41">
        <v>0</v>
      </c>
      <c r="N219" s="42">
        <v>110</v>
      </c>
      <c r="O219" s="42">
        <v>110</v>
      </c>
      <c r="P219" s="42">
        <v>26</v>
      </c>
      <c r="Q219" s="42">
        <v>65</v>
      </c>
      <c r="R219" s="42">
        <v>200</v>
      </c>
      <c r="S219" s="42">
        <v>230</v>
      </c>
      <c r="T219" s="42">
        <v>250</v>
      </c>
      <c r="U219" s="42">
        <v>170</v>
      </c>
      <c r="V219" s="42">
        <v>25</v>
      </c>
      <c r="W219" s="42">
        <v>4</v>
      </c>
      <c r="X219" s="42">
        <v>265</v>
      </c>
      <c r="Y219" s="43">
        <v>130</v>
      </c>
      <c r="Z219" s="43">
        <v>150</v>
      </c>
      <c r="AA219" s="43">
        <v>30</v>
      </c>
      <c r="AB219" s="43">
        <v>95</v>
      </c>
      <c r="AC219" s="43">
        <v>250</v>
      </c>
      <c r="AD219" s="43">
        <v>260</v>
      </c>
      <c r="AE219" s="43">
        <v>280</v>
      </c>
      <c r="AF219" s="43">
        <v>200</v>
      </c>
      <c r="AG219" s="43">
        <v>30</v>
      </c>
      <c r="AH219" s="43">
        <v>6</v>
      </c>
      <c r="AI219" s="43">
        <v>300</v>
      </c>
      <c r="AJ219" s="41">
        <f t="shared" si="28"/>
        <v>780</v>
      </c>
      <c r="AK219" s="41">
        <f t="shared" si="26"/>
        <v>0</v>
      </c>
      <c r="AL219" s="41">
        <f t="shared" si="26"/>
        <v>0</v>
      </c>
      <c r="AM219" s="41">
        <f t="shared" si="26"/>
        <v>0</v>
      </c>
      <c r="AN219" s="41">
        <f t="shared" si="26"/>
        <v>0</v>
      </c>
      <c r="AO219" s="41">
        <f t="shared" si="26"/>
        <v>0</v>
      </c>
      <c r="AP219" s="41">
        <f t="shared" si="24"/>
        <v>0</v>
      </c>
      <c r="AQ219" s="41">
        <f t="shared" si="24"/>
        <v>0</v>
      </c>
      <c r="AR219" s="41">
        <f t="shared" si="24"/>
        <v>0</v>
      </c>
      <c r="AS219" s="41">
        <f t="shared" si="24"/>
        <v>0</v>
      </c>
      <c r="AT219" s="41">
        <f t="shared" si="24"/>
        <v>0</v>
      </c>
      <c r="AU219" s="43">
        <f t="shared" si="31"/>
        <v>120</v>
      </c>
      <c r="AV219" s="43">
        <f t="shared" si="31"/>
        <v>0</v>
      </c>
      <c r="AW219" s="43">
        <f t="shared" si="30"/>
        <v>0</v>
      </c>
      <c r="AX219" s="43">
        <f t="shared" si="30"/>
        <v>0</v>
      </c>
      <c r="AY219" s="43">
        <f t="shared" si="30"/>
        <v>0</v>
      </c>
      <c r="AZ219" s="43">
        <f t="shared" si="30"/>
        <v>0</v>
      </c>
      <c r="BA219" s="43">
        <f t="shared" si="30"/>
        <v>0</v>
      </c>
      <c r="BB219" s="43">
        <f t="shared" si="30"/>
        <v>0</v>
      </c>
      <c r="BC219" s="43">
        <f t="shared" si="30"/>
        <v>0</v>
      </c>
      <c r="BD219" s="43">
        <f t="shared" si="30"/>
        <v>0</v>
      </c>
      <c r="BE219" s="43">
        <f t="shared" si="30"/>
        <v>0</v>
      </c>
      <c r="BF219" s="41">
        <f t="shared" si="29"/>
        <v>120</v>
      </c>
      <c r="BG219" s="41" t="str">
        <f t="array" ref="BG219">_xlfn.IFS(
OR(MONTH(A219)=11,MONTH(A219)=12,MONTH(A219)=1,MONTH(A219)=2),"Winter",
OR(MONTH(A219)=3,MONTH(A219)=4),"Spring",
OR(MONTH(A219)=5,MONTH(A219)=6),"Summer",
OR(MONTH(A219)=7,MONTH(A219)=8,MONTH(A219)=9),"Monsoon",
MONTH(A219)=10,"Autumn/Festive",
TRUE,""
)</f>
        <v>Monsoon</v>
      </c>
    </row>
    <row r="220" spans="1:59" x14ac:dyDescent="0.3">
      <c r="A220" s="39">
        <v>45545</v>
      </c>
      <c r="B220" s="40" t="str">
        <f t="shared" si="27"/>
        <v>September</v>
      </c>
      <c r="C220" s="41">
        <v>0</v>
      </c>
      <c r="D220" s="41">
        <v>0</v>
      </c>
      <c r="E220" s="41">
        <v>0</v>
      </c>
      <c r="F220" s="41">
        <v>0</v>
      </c>
      <c r="G220" s="41">
        <v>0</v>
      </c>
      <c r="H220" s="41">
        <v>0</v>
      </c>
      <c r="I220" s="41">
        <v>3</v>
      </c>
      <c r="J220" s="41">
        <v>0</v>
      </c>
      <c r="K220" s="41">
        <v>0</v>
      </c>
      <c r="L220" s="41">
        <v>0</v>
      </c>
      <c r="M220" s="41">
        <v>0</v>
      </c>
      <c r="N220" s="42">
        <v>110</v>
      </c>
      <c r="O220" s="42">
        <v>110</v>
      </c>
      <c r="P220" s="42">
        <v>26</v>
      </c>
      <c r="Q220" s="42">
        <v>65</v>
      </c>
      <c r="R220" s="42">
        <v>200</v>
      </c>
      <c r="S220" s="42">
        <v>230</v>
      </c>
      <c r="T220" s="42">
        <v>250</v>
      </c>
      <c r="U220" s="42">
        <v>170</v>
      </c>
      <c r="V220" s="42">
        <v>25</v>
      </c>
      <c r="W220" s="42">
        <v>4</v>
      </c>
      <c r="X220" s="42">
        <v>265</v>
      </c>
      <c r="Y220" s="43">
        <v>130</v>
      </c>
      <c r="Z220" s="43">
        <v>150</v>
      </c>
      <c r="AA220" s="43">
        <v>30</v>
      </c>
      <c r="AB220" s="43">
        <v>95</v>
      </c>
      <c r="AC220" s="43">
        <v>250</v>
      </c>
      <c r="AD220" s="43">
        <v>260</v>
      </c>
      <c r="AE220" s="43">
        <v>280</v>
      </c>
      <c r="AF220" s="43">
        <v>200</v>
      </c>
      <c r="AG220" s="43">
        <v>30</v>
      </c>
      <c r="AH220" s="43">
        <v>6</v>
      </c>
      <c r="AI220" s="43">
        <v>300</v>
      </c>
      <c r="AJ220" s="41">
        <f t="shared" si="28"/>
        <v>0</v>
      </c>
      <c r="AK220" s="41">
        <f t="shared" si="26"/>
        <v>0</v>
      </c>
      <c r="AL220" s="41">
        <f t="shared" si="26"/>
        <v>0</v>
      </c>
      <c r="AM220" s="41">
        <f t="shared" si="26"/>
        <v>0</v>
      </c>
      <c r="AN220" s="41">
        <f t="shared" si="26"/>
        <v>0</v>
      </c>
      <c r="AO220" s="41">
        <f t="shared" si="26"/>
        <v>0</v>
      </c>
      <c r="AP220" s="41">
        <f t="shared" si="24"/>
        <v>840</v>
      </c>
      <c r="AQ220" s="41">
        <f t="shared" si="24"/>
        <v>0</v>
      </c>
      <c r="AR220" s="41">
        <f t="shared" si="24"/>
        <v>0</v>
      </c>
      <c r="AS220" s="41">
        <f t="shared" si="24"/>
        <v>0</v>
      </c>
      <c r="AT220" s="41">
        <f t="shared" si="24"/>
        <v>0</v>
      </c>
      <c r="AU220" s="43">
        <f t="shared" si="31"/>
        <v>0</v>
      </c>
      <c r="AV220" s="43">
        <f t="shared" si="31"/>
        <v>0</v>
      </c>
      <c r="AW220" s="43">
        <f t="shared" si="30"/>
        <v>0</v>
      </c>
      <c r="AX220" s="43">
        <f t="shared" si="30"/>
        <v>0</v>
      </c>
      <c r="AY220" s="43">
        <f t="shared" si="30"/>
        <v>0</v>
      </c>
      <c r="AZ220" s="43">
        <f t="shared" si="30"/>
        <v>0</v>
      </c>
      <c r="BA220" s="43">
        <f t="shared" si="30"/>
        <v>90</v>
      </c>
      <c r="BB220" s="43">
        <f t="shared" si="30"/>
        <v>0</v>
      </c>
      <c r="BC220" s="43">
        <f t="shared" si="30"/>
        <v>0</v>
      </c>
      <c r="BD220" s="43">
        <f t="shared" si="30"/>
        <v>0</v>
      </c>
      <c r="BE220" s="43">
        <f t="shared" si="30"/>
        <v>0</v>
      </c>
      <c r="BF220" s="41">
        <f t="shared" si="29"/>
        <v>90</v>
      </c>
      <c r="BG220" s="41" t="str">
        <f t="array" ref="BG220">_xlfn.IFS(
OR(MONTH(A220)=11,MONTH(A220)=12,MONTH(A220)=1,MONTH(A220)=2),"Winter",
OR(MONTH(A220)=3,MONTH(A220)=4),"Spring",
OR(MONTH(A220)=5,MONTH(A220)=6),"Summer",
OR(MONTH(A220)=7,MONTH(A220)=8,MONTH(A220)=9),"Monsoon",
MONTH(A220)=10,"Autumn/Festive",
TRUE,""
)</f>
        <v>Monsoon</v>
      </c>
    </row>
    <row r="221" spans="1:59" x14ac:dyDescent="0.3">
      <c r="A221" s="39">
        <v>45546</v>
      </c>
      <c r="B221" s="40" t="str">
        <f t="shared" si="27"/>
        <v>September</v>
      </c>
      <c r="C221" s="41">
        <v>0</v>
      </c>
      <c r="D221" s="41">
        <v>0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1">
        <v>0</v>
      </c>
      <c r="L221" s="41">
        <v>0</v>
      </c>
      <c r="M221" s="41">
        <v>0</v>
      </c>
      <c r="N221" s="42">
        <v>110</v>
      </c>
      <c r="O221" s="42">
        <v>110</v>
      </c>
      <c r="P221" s="42">
        <v>26</v>
      </c>
      <c r="Q221" s="42">
        <v>65</v>
      </c>
      <c r="R221" s="42">
        <v>200</v>
      </c>
      <c r="S221" s="42">
        <v>230</v>
      </c>
      <c r="T221" s="42">
        <v>250</v>
      </c>
      <c r="U221" s="42">
        <v>170</v>
      </c>
      <c r="V221" s="42">
        <v>25</v>
      </c>
      <c r="W221" s="42">
        <v>4</v>
      </c>
      <c r="X221" s="42">
        <v>265</v>
      </c>
      <c r="Y221" s="43">
        <v>130</v>
      </c>
      <c r="Z221" s="43">
        <v>150</v>
      </c>
      <c r="AA221" s="43">
        <v>30</v>
      </c>
      <c r="AB221" s="43">
        <v>95</v>
      </c>
      <c r="AC221" s="43">
        <v>250</v>
      </c>
      <c r="AD221" s="43">
        <v>260</v>
      </c>
      <c r="AE221" s="43">
        <v>280</v>
      </c>
      <c r="AF221" s="43">
        <v>200</v>
      </c>
      <c r="AG221" s="43">
        <v>30</v>
      </c>
      <c r="AH221" s="43">
        <v>6</v>
      </c>
      <c r="AI221" s="43">
        <v>300</v>
      </c>
      <c r="AJ221" s="41">
        <f t="shared" si="28"/>
        <v>0</v>
      </c>
      <c r="AK221" s="41">
        <f t="shared" si="26"/>
        <v>0</v>
      </c>
      <c r="AL221" s="41">
        <f t="shared" si="26"/>
        <v>0</v>
      </c>
      <c r="AM221" s="41">
        <f t="shared" si="26"/>
        <v>0</v>
      </c>
      <c r="AN221" s="41">
        <f t="shared" si="26"/>
        <v>0</v>
      </c>
      <c r="AO221" s="41">
        <f t="shared" si="26"/>
        <v>0</v>
      </c>
      <c r="AP221" s="41">
        <f t="shared" si="24"/>
        <v>0</v>
      </c>
      <c r="AQ221" s="41">
        <f t="shared" si="24"/>
        <v>0</v>
      </c>
      <c r="AR221" s="41">
        <f t="shared" si="24"/>
        <v>0</v>
      </c>
      <c r="AS221" s="41">
        <f t="shared" si="24"/>
        <v>0</v>
      </c>
      <c r="AT221" s="41">
        <f t="shared" si="24"/>
        <v>0</v>
      </c>
      <c r="AU221" s="43">
        <f t="shared" si="31"/>
        <v>0</v>
      </c>
      <c r="AV221" s="43">
        <f t="shared" si="31"/>
        <v>0</v>
      </c>
      <c r="AW221" s="43">
        <f t="shared" si="30"/>
        <v>0</v>
      </c>
      <c r="AX221" s="43">
        <f t="shared" si="30"/>
        <v>0</v>
      </c>
      <c r="AY221" s="43">
        <f t="shared" si="30"/>
        <v>0</v>
      </c>
      <c r="AZ221" s="43">
        <f t="shared" si="30"/>
        <v>0</v>
      </c>
      <c r="BA221" s="43">
        <f t="shared" si="30"/>
        <v>0</v>
      </c>
      <c r="BB221" s="43">
        <f t="shared" si="30"/>
        <v>0</v>
      </c>
      <c r="BC221" s="43">
        <f t="shared" si="30"/>
        <v>0</v>
      </c>
      <c r="BD221" s="43">
        <f t="shared" si="30"/>
        <v>0</v>
      </c>
      <c r="BE221" s="43">
        <f t="shared" si="30"/>
        <v>0</v>
      </c>
      <c r="BF221" s="41">
        <f t="shared" si="29"/>
        <v>0</v>
      </c>
      <c r="BG221" s="41" t="str">
        <f t="array" ref="BG221">_xlfn.IFS(
OR(MONTH(A221)=11,MONTH(A221)=12,MONTH(A221)=1,MONTH(A221)=2),"Winter",
OR(MONTH(A221)=3,MONTH(A221)=4),"Spring",
OR(MONTH(A221)=5,MONTH(A221)=6),"Summer",
OR(MONTH(A221)=7,MONTH(A221)=8,MONTH(A221)=9),"Monsoon",
MONTH(A221)=10,"Autumn/Festive",
TRUE,""
)</f>
        <v>Monsoon</v>
      </c>
    </row>
    <row r="222" spans="1:59" x14ac:dyDescent="0.3">
      <c r="A222" s="39">
        <v>45547</v>
      </c>
      <c r="B222" s="40" t="str">
        <f t="shared" si="27"/>
        <v>September</v>
      </c>
      <c r="C222" s="41">
        <v>0</v>
      </c>
      <c r="D222" s="41">
        <v>0</v>
      </c>
      <c r="E222" s="41">
        <v>0</v>
      </c>
      <c r="F222" s="41">
        <v>0</v>
      </c>
      <c r="G222" s="41">
        <v>2</v>
      </c>
      <c r="H222" s="41">
        <v>0</v>
      </c>
      <c r="I222" s="41">
        <v>0</v>
      </c>
      <c r="J222" s="41">
        <v>0</v>
      </c>
      <c r="K222" s="41">
        <v>0</v>
      </c>
      <c r="L222" s="41">
        <v>0</v>
      </c>
      <c r="M222" s="41">
        <v>0</v>
      </c>
      <c r="N222" s="42">
        <v>110</v>
      </c>
      <c r="O222" s="42">
        <v>110</v>
      </c>
      <c r="P222" s="42">
        <v>26</v>
      </c>
      <c r="Q222" s="42">
        <v>65</v>
      </c>
      <c r="R222" s="42">
        <v>200</v>
      </c>
      <c r="S222" s="42">
        <v>230</v>
      </c>
      <c r="T222" s="42">
        <v>250</v>
      </c>
      <c r="U222" s="42">
        <v>170</v>
      </c>
      <c r="V222" s="42">
        <v>25</v>
      </c>
      <c r="W222" s="42">
        <v>4</v>
      </c>
      <c r="X222" s="42">
        <v>265</v>
      </c>
      <c r="Y222" s="43">
        <v>130</v>
      </c>
      <c r="Z222" s="43">
        <v>150</v>
      </c>
      <c r="AA222" s="43">
        <v>30</v>
      </c>
      <c r="AB222" s="43">
        <v>95</v>
      </c>
      <c r="AC222" s="43">
        <v>250</v>
      </c>
      <c r="AD222" s="43">
        <v>260</v>
      </c>
      <c r="AE222" s="43">
        <v>280</v>
      </c>
      <c r="AF222" s="43">
        <v>200</v>
      </c>
      <c r="AG222" s="43">
        <v>30</v>
      </c>
      <c r="AH222" s="43">
        <v>6</v>
      </c>
      <c r="AI222" s="43">
        <v>300</v>
      </c>
      <c r="AJ222" s="41">
        <f t="shared" si="28"/>
        <v>0</v>
      </c>
      <c r="AK222" s="41">
        <f t="shared" si="26"/>
        <v>0</v>
      </c>
      <c r="AL222" s="41">
        <f t="shared" si="26"/>
        <v>0</v>
      </c>
      <c r="AM222" s="41">
        <f t="shared" si="26"/>
        <v>0</v>
      </c>
      <c r="AN222" s="41">
        <f t="shared" si="26"/>
        <v>500</v>
      </c>
      <c r="AO222" s="41">
        <f t="shared" si="26"/>
        <v>0</v>
      </c>
      <c r="AP222" s="41">
        <f t="shared" si="24"/>
        <v>0</v>
      </c>
      <c r="AQ222" s="41">
        <f t="shared" si="24"/>
        <v>0</v>
      </c>
      <c r="AR222" s="41">
        <f t="shared" si="24"/>
        <v>0</v>
      </c>
      <c r="AS222" s="41">
        <f t="shared" si="24"/>
        <v>0</v>
      </c>
      <c r="AT222" s="41">
        <f t="shared" si="24"/>
        <v>0</v>
      </c>
      <c r="AU222" s="43">
        <f t="shared" si="31"/>
        <v>0</v>
      </c>
      <c r="AV222" s="43">
        <f t="shared" si="31"/>
        <v>0</v>
      </c>
      <c r="AW222" s="43">
        <f t="shared" si="30"/>
        <v>0</v>
      </c>
      <c r="AX222" s="43">
        <f t="shared" si="30"/>
        <v>0</v>
      </c>
      <c r="AY222" s="43">
        <f t="shared" si="30"/>
        <v>100</v>
      </c>
      <c r="AZ222" s="43">
        <f t="shared" si="30"/>
        <v>0</v>
      </c>
      <c r="BA222" s="43">
        <f t="shared" si="30"/>
        <v>0</v>
      </c>
      <c r="BB222" s="43">
        <f t="shared" si="30"/>
        <v>0</v>
      </c>
      <c r="BC222" s="43">
        <f t="shared" si="30"/>
        <v>0</v>
      </c>
      <c r="BD222" s="43">
        <f t="shared" si="30"/>
        <v>0</v>
      </c>
      <c r="BE222" s="43">
        <f t="shared" si="30"/>
        <v>0</v>
      </c>
      <c r="BF222" s="41">
        <f t="shared" si="29"/>
        <v>100</v>
      </c>
      <c r="BG222" s="41" t="str">
        <f t="array" ref="BG222">_xlfn.IFS(
OR(MONTH(A222)=11,MONTH(A222)=12,MONTH(A222)=1,MONTH(A222)=2),"Winter",
OR(MONTH(A222)=3,MONTH(A222)=4),"Spring",
OR(MONTH(A222)=5,MONTH(A222)=6),"Summer",
OR(MONTH(A222)=7,MONTH(A222)=8,MONTH(A222)=9),"Monsoon",
MONTH(A222)=10,"Autumn/Festive",
TRUE,""
)</f>
        <v>Monsoon</v>
      </c>
    </row>
    <row r="223" spans="1:59" x14ac:dyDescent="0.3">
      <c r="A223" s="39">
        <v>45548</v>
      </c>
      <c r="B223" s="40" t="str">
        <f t="shared" si="27"/>
        <v>September</v>
      </c>
      <c r="C223" s="41">
        <v>0</v>
      </c>
      <c r="D223" s="41">
        <v>0</v>
      </c>
      <c r="E223" s="41">
        <v>0</v>
      </c>
      <c r="F223" s="41">
        <v>2</v>
      </c>
      <c r="G223" s="41">
        <v>0</v>
      </c>
      <c r="H223" s="41">
        <v>0</v>
      </c>
      <c r="I223" s="41">
        <v>0</v>
      </c>
      <c r="J223" s="41">
        <v>0</v>
      </c>
      <c r="K223" s="41">
        <v>0</v>
      </c>
      <c r="L223" s="41">
        <v>0</v>
      </c>
      <c r="M223" s="41">
        <v>0</v>
      </c>
      <c r="N223" s="42">
        <v>110</v>
      </c>
      <c r="O223" s="42">
        <v>110</v>
      </c>
      <c r="P223" s="42">
        <v>26</v>
      </c>
      <c r="Q223" s="42">
        <v>65</v>
      </c>
      <c r="R223" s="42">
        <v>200</v>
      </c>
      <c r="S223" s="42">
        <v>230</v>
      </c>
      <c r="T223" s="42">
        <v>250</v>
      </c>
      <c r="U223" s="42">
        <v>170</v>
      </c>
      <c r="V223" s="42">
        <v>25</v>
      </c>
      <c r="W223" s="42">
        <v>4</v>
      </c>
      <c r="X223" s="42">
        <v>265</v>
      </c>
      <c r="Y223" s="43">
        <v>130</v>
      </c>
      <c r="Z223" s="43">
        <v>150</v>
      </c>
      <c r="AA223" s="43">
        <v>30</v>
      </c>
      <c r="AB223" s="43">
        <v>95</v>
      </c>
      <c r="AC223" s="43">
        <v>250</v>
      </c>
      <c r="AD223" s="43">
        <v>260</v>
      </c>
      <c r="AE223" s="43">
        <v>280</v>
      </c>
      <c r="AF223" s="43">
        <v>200</v>
      </c>
      <c r="AG223" s="43">
        <v>30</v>
      </c>
      <c r="AH223" s="43">
        <v>6</v>
      </c>
      <c r="AI223" s="43">
        <v>300</v>
      </c>
      <c r="AJ223" s="41">
        <f t="shared" si="28"/>
        <v>0</v>
      </c>
      <c r="AK223" s="41">
        <f t="shared" si="26"/>
        <v>0</v>
      </c>
      <c r="AL223" s="41">
        <f t="shared" si="26"/>
        <v>0</v>
      </c>
      <c r="AM223" s="41">
        <f t="shared" si="26"/>
        <v>190</v>
      </c>
      <c r="AN223" s="41">
        <f t="shared" si="26"/>
        <v>0</v>
      </c>
      <c r="AO223" s="41">
        <f t="shared" si="26"/>
        <v>0</v>
      </c>
      <c r="AP223" s="41">
        <f t="shared" si="24"/>
        <v>0</v>
      </c>
      <c r="AQ223" s="41">
        <f t="shared" si="24"/>
        <v>0</v>
      </c>
      <c r="AR223" s="41">
        <f t="shared" si="24"/>
        <v>0</v>
      </c>
      <c r="AS223" s="41">
        <f t="shared" si="24"/>
        <v>0</v>
      </c>
      <c r="AT223" s="41">
        <f t="shared" si="24"/>
        <v>0</v>
      </c>
      <c r="AU223" s="43">
        <f t="shared" si="31"/>
        <v>0</v>
      </c>
      <c r="AV223" s="43">
        <f t="shared" si="31"/>
        <v>0</v>
      </c>
      <c r="AW223" s="43">
        <f t="shared" si="30"/>
        <v>0</v>
      </c>
      <c r="AX223" s="43">
        <f t="shared" si="30"/>
        <v>60</v>
      </c>
      <c r="AY223" s="43">
        <f t="shared" si="30"/>
        <v>0</v>
      </c>
      <c r="AZ223" s="43">
        <f t="shared" si="30"/>
        <v>0</v>
      </c>
      <c r="BA223" s="43">
        <f t="shared" si="30"/>
        <v>0</v>
      </c>
      <c r="BB223" s="43">
        <f t="shared" si="30"/>
        <v>0</v>
      </c>
      <c r="BC223" s="43">
        <f t="shared" si="30"/>
        <v>0</v>
      </c>
      <c r="BD223" s="43">
        <f t="shared" si="30"/>
        <v>0</v>
      </c>
      <c r="BE223" s="43">
        <f t="shared" si="30"/>
        <v>0</v>
      </c>
      <c r="BF223" s="41">
        <f t="shared" si="29"/>
        <v>60</v>
      </c>
      <c r="BG223" s="41" t="str">
        <f t="array" ref="BG223">_xlfn.IFS(
OR(MONTH(A223)=11,MONTH(A223)=12,MONTH(A223)=1,MONTH(A223)=2),"Winter",
OR(MONTH(A223)=3,MONTH(A223)=4),"Spring",
OR(MONTH(A223)=5,MONTH(A223)=6),"Summer",
OR(MONTH(A223)=7,MONTH(A223)=8,MONTH(A223)=9),"Monsoon",
MONTH(A223)=10,"Autumn/Festive",
TRUE,""
)</f>
        <v>Monsoon</v>
      </c>
    </row>
    <row r="224" spans="1:59" x14ac:dyDescent="0.3">
      <c r="A224" s="39">
        <v>45549</v>
      </c>
      <c r="B224" s="40" t="str">
        <f t="shared" si="27"/>
        <v>September</v>
      </c>
      <c r="C224" s="41">
        <v>0</v>
      </c>
      <c r="D224" s="41">
        <v>0</v>
      </c>
      <c r="E224" s="41">
        <v>0</v>
      </c>
      <c r="F224" s="41">
        <v>0</v>
      </c>
      <c r="G224" s="41">
        <v>0</v>
      </c>
      <c r="H224" s="41">
        <v>1.5</v>
      </c>
      <c r="I224" s="41">
        <v>0</v>
      </c>
      <c r="J224" s="41">
        <v>0</v>
      </c>
      <c r="K224" s="41">
        <v>0</v>
      </c>
      <c r="L224" s="41">
        <v>0</v>
      </c>
      <c r="M224" s="41">
        <v>0</v>
      </c>
      <c r="N224" s="42">
        <v>110</v>
      </c>
      <c r="O224" s="42">
        <v>110</v>
      </c>
      <c r="P224" s="42">
        <v>26</v>
      </c>
      <c r="Q224" s="42">
        <v>65</v>
      </c>
      <c r="R224" s="42">
        <v>200</v>
      </c>
      <c r="S224" s="42">
        <v>230</v>
      </c>
      <c r="T224" s="42">
        <v>250</v>
      </c>
      <c r="U224" s="42">
        <v>170</v>
      </c>
      <c r="V224" s="42">
        <v>25</v>
      </c>
      <c r="W224" s="42">
        <v>4</v>
      </c>
      <c r="X224" s="42">
        <v>265</v>
      </c>
      <c r="Y224" s="43">
        <v>130</v>
      </c>
      <c r="Z224" s="43">
        <v>150</v>
      </c>
      <c r="AA224" s="43">
        <v>30</v>
      </c>
      <c r="AB224" s="43">
        <v>95</v>
      </c>
      <c r="AC224" s="43">
        <v>250</v>
      </c>
      <c r="AD224" s="43">
        <v>260</v>
      </c>
      <c r="AE224" s="43">
        <v>280</v>
      </c>
      <c r="AF224" s="43">
        <v>200</v>
      </c>
      <c r="AG224" s="43">
        <v>30</v>
      </c>
      <c r="AH224" s="43">
        <v>6</v>
      </c>
      <c r="AI224" s="43">
        <v>300</v>
      </c>
      <c r="AJ224" s="41">
        <f t="shared" si="28"/>
        <v>0</v>
      </c>
      <c r="AK224" s="41">
        <f t="shared" si="26"/>
        <v>0</v>
      </c>
      <c r="AL224" s="41">
        <f t="shared" si="26"/>
        <v>0</v>
      </c>
      <c r="AM224" s="41">
        <f t="shared" si="26"/>
        <v>0</v>
      </c>
      <c r="AN224" s="41">
        <f t="shared" si="26"/>
        <v>0</v>
      </c>
      <c r="AO224" s="41">
        <f t="shared" si="26"/>
        <v>390</v>
      </c>
      <c r="AP224" s="41">
        <f t="shared" si="24"/>
        <v>0</v>
      </c>
      <c r="AQ224" s="41">
        <f t="shared" si="24"/>
        <v>0</v>
      </c>
      <c r="AR224" s="41">
        <f t="shared" si="24"/>
        <v>0</v>
      </c>
      <c r="AS224" s="41">
        <f t="shared" si="24"/>
        <v>0</v>
      </c>
      <c r="AT224" s="41">
        <f t="shared" si="24"/>
        <v>0</v>
      </c>
      <c r="AU224" s="43">
        <f t="shared" si="31"/>
        <v>0</v>
      </c>
      <c r="AV224" s="43">
        <f t="shared" si="31"/>
        <v>0</v>
      </c>
      <c r="AW224" s="43">
        <f t="shared" si="30"/>
        <v>0</v>
      </c>
      <c r="AX224" s="43">
        <f t="shared" si="30"/>
        <v>0</v>
      </c>
      <c r="AY224" s="43">
        <f t="shared" si="30"/>
        <v>0</v>
      </c>
      <c r="AZ224" s="43">
        <f t="shared" si="30"/>
        <v>45</v>
      </c>
      <c r="BA224" s="43">
        <f t="shared" si="30"/>
        <v>0</v>
      </c>
      <c r="BB224" s="43">
        <f t="shared" si="30"/>
        <v>0</v>
      </c>
      <c r="BC224" s="43">
        <f t="shared" si="30"/>
        <v>0</v>
      </c>
      <c r="BD224" s="43">
        <f t="shared" si="30"/>
        <v>0</v>
      </c>
      <c r="BE224" s="43">
        <f t="shared" si="30"/>
        <v>0</v>
      </c>
      <c r="BF224" s="41">
        <f t="shared" si="29"/>
        <v>45</v>
      </c>
      <c r="BG224" s="41" t="str">
        <f t="array" ref="BG224">_xlfn.IFS(
OR(MONTH(A224)=11,MONTH(A224)=12,MONTH(A224)=1,MONTH(A224)=2),"Winter",
OR(MONTH(A224)=3,MONTH(A224)=4),"Spring",
OR(MONTH(A224)=5,MONTH(A224)=6),"Summer",
OR(MONTH(A224)=7,MONTH(A224)=8,MONTH(A224)=9),"Monsoon",
MONTH(A224)=10,"Autumn/Festive",
TRUE,""
)</f>
        <v>Monsoon</v>
      </c>
    </row>
    <row r="225" spans="1:59" x14ac:dyDescent="0.3">
      <c r="A225" s="39">
        <v>45550</v>
      </c>
      <c r="B225" s="40" t="str">
        <f t="shared" si="27"/>
        <v>September</v>
      </c>
      <c r="C225" s="41">
        <v>7</v>
      </c>
      <c r="D225" s="41">
        <v>0</v>
      </c>
      <c r="E225" s="41">
        <v>0</v>
      </c>
      <c r="F225" s="41">
        <v>0</v>
      </c>
      <c r="G225" s="41">
        <v>0</v>
      </c>
      <c r="H225" s="41">
        <v>0</v>
      </c>
      <c r="I225" s="41">
        <v>0</v>
      </c>
      <c r="J225" s="41">
        <v>0</v>
      </c>
      <c r="K225" s="41">
        <v>0</v>
      </c>
      <c r="L225" s="41">
        <v>0</v>
      </c>
      <c r="M225" s="41">
        <v>0</v>
      </c>
      <c r="N225" s="42">
        <v>110</v>
      </c>
      <c r="O225" s="42">
        <v>110</v>
      </c>
      <c r="P225" s="42">
        <v>26</v>
      </c>
      <c r="Q225" s="42">
        <v>65</v>
      </c>
      <c r="R225" s="42">
        <v>200</v>
      </c>
      <c r="S225" s="42">
        <v>230</v>
      </c>
      <c r="T225" s="42">
        <v>250</v>
      </c>
      <c r="U225" s="42">
        <v>170</v>
      </c>
      <c r="V225" s="42">
        <v>25</v>
      </c>
      <c r="W225" s="42">
        <v>4</v>
      </c>
      <c r="X225" s="42">
        <v>265</v>
      </c>
      <c r="Y225" s="43">
        <v>130</v>
      </c>
      <c r="Z225" s="43">
        <v>150</v>
      </c>
      <c r="AA225" s="43">
        <v>30</v>
      </c>
      <c r="AB225" s="43">
        <v>95</v>
      </c>
      <c r="AC225" s="43">
        <v>250</v>
      </c>
      <c r="AD225" s="43">
        <v>260</v>
      </c>
      <c r="AE225" s="43">
        <v>280</v>
      </c>
      <c r="AF225" s="43">
        <v>200</v>
      </c>
      <c r="AG225" s="43">
        <v>30</v>
      </c>
      <c r="AH225" s="43">
        <v>6</v>
      </c>
      <c r="AI225" s="43">
        <v>300</v>
      </c>
      <c r="AJ225" s="41">
        <f t="shared" si="28"/>
        <v>910</v>
      </c>
      <c r="AK225" s="41">
        <f t="shared" si="26"/>
        <v>0</v>
      </c>
      <c r="AL225" s="41">
        <f t="shared" si="26"/>
        <v>0</v>
      </c>
      <c r="AM225" s="41">
        <f t="shared" si="26"/>
        <v>0</v>
      </c>
      <c r="AN225" s="41">
        <f t="shared" si="26"/>
        <v>0</v>
      </c>
      <c r="AO225" s="41">
        <f t="shared" si="26"/>
        <v>0</v>
      </c>
      <c r="AP225" s="41">
        <f t="shared" si="24"/>
        <v>0</v>
      </c>
      <c r="AQ225" s="41">
        <f t="shared" si="24"/>
        <v>0</v>
      </c>
      <c r="AR225" s="41">
        <f t="shared" si="24"/>
        <v>0</v>
      </c>
      <c r="AS225" s="41">
        <f t="shared" si="24"/>
        <v>0</v>
      </c>
      <c r="AT225" s="41">
        <f t="shared" si="24"/>
        <v>0</v>
      </c>
      <c r="AU225" s="43">
        <f t="shared" si="31"/>
        <v>140</v>
      </c>
      <c r="AV225" s="43">
        <f t="shared" si="31"/>
        <v>0</v>
      </c>
      <c r="AW225" s="43">
        <f t="shared" si="30"/>
        <v>0</v>
      </c>
      <c r="AX225" s="43">
        <f t="shared" si="30"/>
        <v>0</v>
      </c>
      <c r="AY225" s="43">
        <f t="shared" si="30"/>
        <v>0</v>
      </c>
      <c r="AZ225" s="43">
        <f t="shared" si="30"/>
        <v>0</v>
      </c>
      <c r="BA225" s="43">
        <f t="shared" si="30"/>
        <v>0</v>
      </c>
      <c r="BB225" s="43">
        <f t="shared" si="30"/>
        <v>0</v>
      </c>
      <c r="BC225" s="43">
        <f t="shared" si="30"/>
        <v>0</v>
      </c>
      <c r="BD225" s="43">
        <f t="shared" si="30"/>
        <v>0</v>
      </c>
      <c r="BE225" s="43">
        <f t="shared" si="30"/>
        <v>0</v>
      </c>
      <c r="BF225" s="41">
        <f t="shared" si="29"/>
        <v>140</v>
      </c>
      <c r="BG225" s="41" t="str">
        <f t="array" ref="BG225">_xlfn.IFS(
OR(MONTH(A225)=11,MONTH(A225)=12,MONTH(A225)=1,MONTH(A225)=2),"Winter",
OR(MONTH(A225)=3,MONTH(A225)=4),"Spring",
OR(MONTH(A225)=5,MONTH(A225)=6),"Summer",
OR(MONTH(A225)=7,MONTH(A225)=8,MONTH(A225)=9),"Monsoon",
MONTH(A225)=10,"Autumn/Festive",
TRUE,""
)</f>
        <v>Monsoon</v>
      </c>
    </row>
    <row r="226" spans="1:59" x14ac:dyDescent="0.3">
      <c r="A226" s="39">
        <v>45551</v>
      </c>
      <c r="B226" s="40" t="str">
        <f t="shared" si="27"/>
        <v>September</v>
      </c>
      <c r="C226" s="41">
        <v>8</v>
      </c>
      <c r="D226" s="41">
        <v>3</v>
      </c>
      <c r="E226" s="41">
        <v>0</v>
      </c>
      <c r="F226" s="41">
        <v>0</v>
      </c>
      <c r="G226" s="41">
        <v>0</v>
      </c>
      <c r="H226" s="41">
        <v>0</v>
      </c>
      <c r="I226" s="41">
        <v>0</v>
      </c>
      <c r="J226" s="41">
        <v>0</v>
      </c>
      <c r="K226" s="41">
        <v>0</v>
      </c>
      <c r="L226" s="41">
        <v>0</v>
      </c>
      <c r="M226" s="41">
        <v>2</v>
      </c>
      <c r="N226" s="42">
        <v>110</v>
      </c>
      <c r="O226" s="42">
        <v>110</v>
      </c>
      <c r="P226" s="42">
        <v>26</v>
      </c>
      <c r="Q226" s="42">
        <v>65</v>
      </c>
      <c r="R226" s="42">
        <v>200</v>
      </c>
      <c r="S226" s="42">
        <v>230</v>
      </c>
      <c r="T226" s="42">
        <v>250</v>
      </c>
      <c r="U226" s="42">
        <v>170</v>
      </c>
      <c r="V226" s="42">
        <v>25</v>
      </c>
      <c r="W226" s="42">
        <v>4</v>
      </c>
      <c r="X226" s="42">
        <v>265</v>
      </c>
      <c r="Y226" s="43">
        <v>130</v>
      </c>
      <c r="Z226" s="43">
        <v>150</v>
      </c>
      <c r="AA226" s="43">
        <v>30</v>
      </c>
      <c r="AB226" s="43">
        <v>95</v>
      </c>
      <c r="AC226" s="43">
        <v>250</v>
      </c>
      <c r="AD226" s="43">
        <v>260</v>
      </c>
      <c r="AE226" s="43">
        <v>280</v>
      </c>
      <c r="AF226" s="43">
        <v>200</v>
      </c>
      <c r="AG226" s="43">
        <v>30</v>
      </c>
      <c r="AH226" s="43">
        <v>6</v>
      </c>
      <c r="AI226" s="43">
        <v>300</v>
      </c>
      <c r="AJ226" s="41">
        <f t="shared" si="28"/>
        <v>1040</v>
      </c>
      <c r="AK226" s="41">
        <f t="shared" si="26"/>
        <v>450</v>
      </c>
      <c r="AL226" s="41">
        <f t="shared" si="26"/>
        <v>0</v>
      </c>
      <c r="AM226" s="41">
        <f t="shared" si="26"/>
        <v>0</v>
      </c>
      <c r="AN226" s="41">
        <f t="shared" si="26"/>
        <v>0</v>
      </c>
      <c r="AO226" s="41">
        <f t="shared" si="26"/>
        <v>0</v>
      </c>
      <c r="AP226" s="41">
        <f t="shared" si="24"/>
        <v>0</v>
      </c>
      <c r="AQ226" s="41">
        <f t="shared" si="24"/>
        <v>0</v>
      </c>
      <c r="AR226" s="41">
        <f t="shared" si="24"/>
        <v>0</v>
      </c>
      <c r="AS226" s="41">
        <f t="shared" si="24"/>
        <v>0</v>
      </c>
      <c r="AT226" s="41">
        <f t="shared" si="24"/>
        <v>600</v>
      </c>
      <c r="AU226" s="43">
        <f t="shared" si="31"/>
        <v>160</v>
      </c>
      <c r="AV226" s="43">
        <f t="shared" si="31"/>
        <v>120</v>
      </c>
      <c r="AW226" s="43">
        <f t="shared" si="30"/>
        <v>0</v>
      </c>
      <c r="AX226" s="43">
        <f t="shared" si="30"/>
        <v>0</v>
      </c>
      <c r="AY226" s="43">
        <f t="shared" si="30"/>
        <v>0</v>
      </c>
      <c r="AZ226" s="43">
        <f t="shared" si="30"/>
        <v>0</v>
      </c>
      <c r="BA226" s="43">
        <f t="shared" si="30"/>
        <v>0</v>
      </c>
      <c r="BB226" s="43">
        <f t="shared" si="30"/>
        <v>0</v>
      </c>
      <c r="BC226" s="43">
        <f t="shared" si="30"/>
        <v>0</v>
      </c>
      <c r="BD226" s="43">
        <f t="shared" si="30"/>
        <v>0</v>
      </c>
      <c r="BE226" s="43">
        <f t="shared" si="30"/>
        <v>70</v>
      </c>
      <c r="BF226" s="41">
        <f t="shared" si="29"/>
        <v>350</v>
      </c>
      <c r="BG226" s="41" t="str">
        <f t="array" ref="BG226">_xlfn.IFS(
OR(MONTH(A226)=11,MONTH(A226)=12,MONTH(A226)=1,MONTH(A226)=2),"Winter",
OR(MONTH(A226)=3,MONTH(A226)=4),"Spring",
OR(MONTH(A226)=5,MONTH(A226)=6),"Summer",
OR(MONTH(A226)=7,MONTH(A226)=8,MONTH(A226)=9),"Monsoon",
MONTH(A226)=10,"Autumn/Festive",
TRUE,""
)</f>
        <v>Monsoon</v>
      </c>
    </row>
    <row r="227" spans="1:59" x14ac:dyDescent="0.3">
      <c r="A227" s="39">
        <v>45552</v>
      </c>
      <c r="B227" s="40" t="str">
        <f t="shared" si="27"/>
        <v>September</v>
      </c>
      <c r="C227" s="41">
        <v>3</v>
      </c>
      <c r="D227" s="41">
        <v>2</v>
      </c>
      <c r="E227" s="41">
        <v>0</v>
      </c>
      <c r="F227" s="41">
        <v>2</v>
      </c>
      <c r="G227" s="41">
        <v>2</v>
      </c>
      <c r="H227" s="41">
        <v>0</v>
      </c>
      <c r="I227" s="41">
        <v>0</v>
      </c>
      <c r="J227" s="41">
        <v>0</v>
      </c>
      <c r="K227" s="41">
        <v>0</v>
      </c>
      <c r="L227" s="41">
        <v>0</v>
      </c>
      <c r="M227" s="41">
        <v>0</v>
      </c>
      <c r="N227" s="42">
        <v>110</v>
      </c>
      <c r="O227" s="42">
        <v>110</v>
      </c>
      <c r="P227" s="42">
        <v>26</v>
      </c>
      <c r="Q227" s="42">
        <v>65</v>
      </c>
      <c r="R227" s="42">
        <v>200</v>
      </c>
      <c r="S227" s="42">
        <v>230</v>
      </c>
      <c r="T227" s="42">
        <v>250</v>
      </c>
      <c r="U227" s="42">
        <v>170</v>
      </c>
      <c r="V227" s="42">
        <v>25</v>
      </c>
      <c r="W227" s="42">
        <v>4</v>
      </c>
      <c r="X227" s="42">
        <v>265</v>
      </c>
      <c r="Y227" s="43">
        <v>130</v>
      </c>
      <c r="Z227" s="43">
        <v>150</v>
      </c>
      <c r="AA227" s="43">
        <v>30</v>
      </c>
      <c r="AB227" s="43">
        <v>95</v>
      </c>
      <c r="AC227" s="43">
        <v>250</v>
      </c>
      <c r="AD227" s="43">
        <v>260</v>
      </c>
      <c r="AE227" s="43">
        <v>280</v>
      </c>
      <c r="AF227" s="43">
        <v>200</v>
      </c>
      <c r="AG227" s="43">
        <v>30</v>
      </c>
      <c r="AH227" s="43">
        <v>6</v>
      </c>
      <c r="AI227" s="43">
        <v>300</v>
      </c>
      <c r="AJ227" s="41">
        <f t="shared" si="28"/>
        <v>390</v>
      </c>
      <c r="AK227" s="41">
        <f t="shared" si="26"/>
        <v>300</v>
      </c>
      <c r="AL227" s="41">
        <f t="shared" si="26"/>
        <v>0</v>
      </c>
      <c r="AM227" s="41">
        <f t="shared" si="26"/>
        <v>190</v>
      </c>
      <c r="AN227" s="41">
        <f t="shared" si="26"/>
        <v>500</v>
      </c>
      <c r="AO227" s="41">
        <f t="shared" si="26"/>
        <v>0</v>
      </c>
      <c r="AP227" s="41">
        <f t="shared" si="24"/>
        <v>0</v>
      </c>
      <c r="AQ227" s="41">
        <f t="shared" si="24"/>
        <v>0</v>
      </c>
      <c r="AR227" s="41">
        <f t="shared" si="24"/>
        <v>0</v>
      </c>
      <c r="AS227" s="41">
        <f t="shared" si="24"/>
        <v>0</v>
      </c>
      <c r="AT227" s="41">
        <f t="shared" si="24"/>
        <v>0</v>
      </c>
      <c r="AU227" s="43">
        <f t="shared" si="31"/>
        <v>60</v>
      </c>
      <c r="AV227" s="43">
        <f t="shared" si="31"/>
        <v>80</v>
      </c>
      <c r="AW227" s="43">
        <f t="shared" si="30"/>
        <v>0</v>
      </c>
      <c r="AX227" s="43">
        <f t="shared" si="30"/>
        <v>60</v>
      </c>
      <c r="AY227" s="43">
        <f t="shared" si="30"/>
        <v>100</v>
      </c>
      <c r="AZ227" s="43">
        <f t="shared" si="30"/>
        <v>0</v>
      </c>
      <c r="BA227" s="43">
        <f t="shared" si="30"/>
        <v>0</v>
      </c>
      <c r="BB227" s="43">
        <f t="shared" si="30"/>
        <v>0</v>
      </c>
      <c r="BC227" s="43">
        <f t="shared" si="30"/>
        <v>0</v>
      </c>
      <c r="BD227" s="43">
        <f t="shared" si="30"/>
        <v>0</v>
      </c>
      <c r="BE227" s="43">
        <f t="shared" si="30"/>
        <v>0</v>
      </c>
      <c r="BF227" s="41">
        <f t="shared" si="29"/>
        <v>300</v>
      </c>
      <c r="BG227" s="41" t="str">
        <f t="array" ref="BG227">_xlfn.IFS(
OR(MONTH(A227)=11,MONTH(A227)=12,MONTH(A227)=1,MONTH(A227)=2),"Winter",
OR(MONTH(A227)=3,MONTH(A227)=4),"Spring",
OR(MONTH(A227)=5,MONTH(A227)=6),"Summer",
OR(MONTH(A227)=7,MONTH(A227)=8,MONTH(A227)=9),"Monsoon",
MONTH(A227)=10,"Autumn/Festive",
TRUE,""
)</f>
        <v>Monsoon</v>
      </c>
    </row>
    <row r="228" spans="1:59" x14ac:dyDescent="0.3">
      <c r="A228" s="39">
        <v>45553</v>
      </c>
      <c r="B228" s="40" t="str">
        <f t="shared" si="27"/>
        <v>September</v>
      </c>
      <c r="C228" s="41">
        <v>4</v>
      </c>
      <c r="D228" s="41">
        <v>5</v>
      </c>
      <c r="E228" s="41">
        <v>0</v>
      </c>
      <c r="F228" s="41">
        <v>3</v>
      </c>
      <c r="G228" s="41">
        <v>0</v>
      </c>
      <c r="H228" s="41">
        <v>0</v>
      </c>
      <c r="I228" s="41">
        <v>0</v>
      </c>
      <c r="J228" s="41">
        <v>0</v>
      </c>
      <c r="K228" s="41">
        <v>0</v>
      </c>
      <c r="L228" s="41">
        <v>0</v>
      </c>
      <c r="M228" s="41">
        <v>0</v>
      </c>
      <c r="N228" s="42">
        <v>110</v>
      </c>
      <c r="O228" s="42">
        <v>110</v>
      </c>
      <c r="P228" s="42">
        <v>26</v>
      </c>
      <c r="Q228" s="42">
        <v>65</v>
      </c>
      <c r="R228" s="42">
        <v>200</v>
      </c>
      <c r="S228" s="42">
        <v>230</v>
      </c>
      <c r="T228" s="42">
        <v>250</v>
      </c>
      <c r="U228" s="42">
        <v>170</v>
      </c>
      <c r="V228" s="42">
        <v>25</v>
      </c>
      <c r="W228" s="42">
        <v>4</v>
      </c>
      <c r="X228" s="42">
        <v>265</v>
      </c>
      <c r="Y228" s="43">
        <v>130</v>
      </c>
      <c r="Z228" s="43">
        <v>150</v>
      </c>
      <c r="AA228" s="43">
        <v>30</v>
      </c>
      <c r="AB228" s="43">
        <v>95</v>
      </c>
      <c r="AC228" s="43">
        <v>250</v>
      </c>
      <c r="AD228" s="43">
        <v>260</v>
      </c>
      <c r="AE228" s="43">
        <v>280</v>
      </c>
      <c r="AF228" s="43">
        <v>200</v>
      </c>
      <c r="AG228" s="43">
        <v>30</v>
      </c>
      <c r="AH228" s="43">
        <v>6</v>
      </c>
      <c r="AI228" s="43">
        <v>300</v>
      </c>
      <c r="AJ228" s="41">
        <f t="shared" si="28"/>
        <v>520</v>
      </c>
      <c r="AK228" s="41">
        <f t="shared" si="26"/>
        <v>750</v>
      </c>
      <c r="AL228" s="41">
        <f t="shared" si="26"/>
        <v>0</v>
      </c>
      <c r="AM228" s="41">
        <f t="shared" si="26"/>
        <v>285</v>
      </c>
      <c r="AN228" s="41">
        <f t="shared" si="26"/>
        <v>0</v>
      </c>
      <c r="AO228" s="41">
        <f t="shared" si="26"/>
        <v>0</v>
      </c>
      <c r="AP228" s="41">
        <f t="shared" si="24"/>
        <v>0</v>
      </c>
      <c r="AQ228" s="41">
        <f t="shared" si="24"/>
        <v>0</v>
      </c>
      <c r="AR228" s="41">
        <f t="shared" si="24"/>
        <v>0</v>
      </c>
      <c r="AS228" s="41">
        <f t="shared" si="24"/>
        <v>0</v>
      </c>
      <c r="AT228" s="41">
        <f t="shared" si="24"/>
        <v>0</v>
      </c>
      <c r="AU228" s="43">
        <f t="shared" si="31"/>
        <v>80</v>
      </c>
      <c r="AV228" s="43">
        <f t="shared" si="31"/>
        <v>200</v>
      </c>
      <c r="AW228" s="43">
        <f t="shared" si="30"/>
        <v>0</v>
      </c>
      <c r="AX228" s="43">
        <f t="shared" si="30"/>
        <v>90</v>
      </c>
      <c r="AY228" s="43">
        <f t="shared" si="30"/>
        <v>0</v>
      </c>
      <c r="AZ228" s="43">
        <f t="shared" si="30"/>
        <v>0</v>
      </c>
      <c r="BA228" s="43">
        <f t="shared" si="30"/>
        <v>0</v>
      </c>
      <c r="BB228" s="43">
        <f t="shared" si="30"/>
        <v>0</v>
      </c>
      <c r="BC228" s="43">
        <f t="shared" si="30"/>
        <v>0</v>
      </c>
      <c r="BD228" s="43">
        <f t="shared" si="30"/>
        <v>0</v>
      </c>
      <c r="BE228" s="43">
        <f t="shared" si="30"/>
        <v>0</v>
      </c>
      <c r="BF228" s="41">
        <f t="shared" si="29"/>
        <v>370</v>
      </c>
      <c r="BG228" s="41" t="str">
        <f t="array" ref="BG228">_xlfn.IFS(
OR(MONTH(A228)=11,MONTH(A228)=12,MONTH(A228)=1,MONTH(A228)=2),"Winter",
OR(MONTH(A228)=3,MONTH(A228)=4),"Spring",
OR(MONTH(A228)=5,MONTH(A228)=6),"Summer",
OR(MONTH(A228)=7,MONTH(A228)=8,MONTH(A228)=9),"Monsoon",
MONTH(A228)=10,"Autumn/Festive",
TRUE,""
)</f>
        <v>Monsoon</v>
      </c>
    </row>
    <row r="229" spans="1:59" x14ac:dyDescent="0.3">
      <c r="A229" s="39">
        <v>45554</v>
      </c>
      <c r="B229" s="40" t="str">
        <f t="shared" si="27"/>
        <v>September</v>
      </c>
      <c r="C229" s="41">
        <v>7</v>
      </c>
      <c r="D229" s="41">
        <v>0</v>
      </c>
      <c r="E229" s="41">
        <v>0</v>
      </c>
      <c r="F229" s="41">
        <v>3</v>
      </c>
      <c r="G229" s="41">
        <v>2</v>
      </c>
      <c r="H229" s="41">
        <v>0</v>
      </c>
      <c r="I229" s="41">
        <v>0</v>
      </c>
      <c r="J229" s="41">
        <v>0</v>
      </c>
      <c r="K229" s="41">
        <v>0</v>
      </c>
      <c r="L229" s="41">
        <v>0</v>
      </c>
      <c r="M229" s="41">
        <v>0</v>
      </c>
      <c r="N229" s="42">
        <v>110</v>
      </c>
      <c r="O229" s="42">
        <v>110</v>
      </c>
      <c r="P229" s="42">
        <v>26</v>
      </c>
      <c r="Q229" s="42">
        <v>65</v>
      </c>
      <c r="R229" s="42">
        <v>200</v>
      </c>
      <c r="S229" s="42">
        <v>230</v>
      </c>
      <c r="T229" s="42">
        <v>250</v>
      </c>
      <c r="U229" s="42">
        <v>170</v>
      </c>
      <c r="V229" s="42">
        <v>25</v>
      </c>
      <c r="W229" s="42">
        <v>4</v>
      </c>
      <c r="X229" s="42">
        <v>265</v>
      </c>
      <c r="Y229" s="43">
        <v>130</v>
      </c>
      <c r="Z229" s="43">
        <v>150</v>
      </c>
      <c r="AA229" s="43">
        <v>30</v>
      </c>
      <c r="AB229" s="43">
        <v>95</v>
      </c>
      <c r="AC229" s="43">
        <v>250</v>
      </c>
      <c r="AD229" s="43">
        <v>260</v>
      </c>
      <c r="AE229" s="43">
        <v>280</v>
      </c>
      <c r="AF229" s="43">
        <v>200</v>
      </c>
      <c r="AG229" s="43">
        <v>30</v>
      </c>
      <c r="AH229" s="43">
        <v>6</v>
      </c>
      <c r="AI229" s="43">
        <v>300</v>
      </c>
      <c r="AJ229" s="41">
        <f t="shared" si="28"/>
        <v>910</v>
      </c>
      <c r="AK229" s="41">
        <f t="shared" si="26"/>
        <v>0</v>
      </c>
      <c r="AL229" s="41">
        <f t="shared" si="26"/>
        <v>0</v>
      </c>
      <c r="AM229" s="41">
        <f t="shared" si="26"/>
        <v>285</v>
      </c>
      <c r="AN229" s="41">
        <f t="shared" si="26"/>
        <v>500</v>
      </c>
      <c r="AO229" s="41">
        <f t="shared" si="26"/>
        <v>0</v>
      </c>
      <c r="AP229" s="41">
        <f t="shared" si="24"/>
        <v>0</v>
      </c>
      <c r="AQ229" s="41">
        <f t="shared" si="24"/>
        <v>0</v>
      </c>
      <c r="AR229" s="41">
        <f t="shared" si="24"/>
        <v>0</v>
      </c>
      <c r="AS229" s="41">
        <f t="shared" si="24"/>
        <v>0</v>
      </c>
      <c r="AT229" s="41">
        <f t="shared" si="24"/>
        <v>0</v>
      </c>
      <c r="AU229" s="43">
        <f t="shared" si="31"/>
        <v>140</v>
      </c>
      <c r="AV229" s="43">
        <f t="shared" si="31"/>
        <v>0</v>
      </c>
      <c r="AW229" s="43">
        <f t="shared" si="30"/>
        <v>0</v>
      </c>
      <c r="AX229" s="43">
        <f t="shared" si="30"/>
        <v>90</v>
      </c>
      <c r="AY229" s="43">
        <f t="shared" si="30"/>
        <v>100</v>
      </c>
      <c r="AZ229" s="43">
        <f t="shared" si="30"/>
        <v>0</v>
      </c>
      <c r="BA229" s="43">
        <f t="shared" si="30"/>
        <v>0</v>
      </c>
      <c r="BB229" s="43">
        <f t="shared" si="30"/>
        <v>0</v>
      </c>
      <c r="BC229" s="43">
        <f t="shared" si="30"/>
        <v>0</v>
      </c>
      <c r="BD229" s="43">
        <f t="shared" si="30"/>
        <v>0</v>
      </c>
      <c r="BE229" s="43">
        <f t="shared" si="30"/>
        <v>0</v>
      </c>
      <c r="BF229" s="41">
        <f t="shared" si="29"/>
        <v>330</v>
      </c>
      <c r="BG229" s="41" t="str">
        <f t="array" ref="BG229">_xlfn.IFS(
OR(MONTH(A229)=11,MONTH(A229)=12,MONTH(A229)=1,MONTH(A229)=2),"Winter",
OR(MONTH(A229)=3,MONTH(A229)=4),"Spring",
OR(MONTH(A229)=5,MONTH(A229)=6),"Summer",
OR(MONTH(A229)=7,MONTH(A229)=8,MONTH(A229)=9),"Monsoon",
MONTH(A229)=10,"Autumn/Festive",
TRUE,""
)</f>
        <v>Monsoon</v>
      </c>
    </row>
    <row r="230" spans="1:59" x14ac:dyDescent="0.3">
      <c r="A230" s="39">
        <v>45555</v>
      </c>
      <c r="B230" s="40" t="str">
        <f t="shared" si="27"/>
        <v>September</v>
      </c>
      <c r="C230" s="41">
        <v>10</v>
      </c>
      <c r="D230" s="41">
        <v>3</v>
      </c>
      <c r="E230" s="41">
        <v>0</v>
      </c>
      <c r="F230" s="41">
        <v>0</v>
      </c>
      <c r="G230" s="41">
        <v>2</v>
      </c>
      <c r="H230" s="41">
        <v>0</v>
      </c>
      <c r="I230" s="41">
        <v>0</v>
      </c>
      <c r="J230" s="41">
        <v>0</v>
      </c>
      <c r="K230" s="41">
        <v>0</v>
      </c>
      <c r="L230" s="41">
        <v>0</v>
      </c>
      <c r="M230" s="41">
        <v>0</v>
      </c>
      <c r="N230" s="42">
        <v>110</v>
      </c>
      <c r="O230" s="42">
        <v>110</v>
      </c>
      <c r="P230" s="42">
        <v>26</v>
      </c>
      <c r="Q230" s="42">
        <v>65</v>
      </c>
      <c r="R230" s="42">
        <v>200</v>
      </c>
      <c r="S230" s="42">
        <v>230</v>
      </c>
      <c r="T230" s="42">
        <v>250</v>
      </c>
      <c r="U230" s="42">
        <v>170</v>
      </c>
      <c r="V230" s="42">
        <v>25</v>
      </c>
      <c r="W230" s="42">
        <v>4</v>
      </c>
      <c r="X230" s="42">
        <v>265</v>
      </c>
      <c r="Y230" s="43">
        <v>130</v>
      </c>
      <c r="Z230" s="43">
        <v>150</v>
      </c>
      <c r="AA230" s="43">
        <v>30</v>
      </c>
      <c r="AB230" s="43">
        <v>95</v>
      </c>
      <c r="AC230" s="43">
        <v>250</v>
      </c>
      <c r="AD230" s="43">
        <v>260</v>
      </c>
      <c r="AE230" s="43">
        <v>280</v>
      </c>
      <c r="AF230" s="43">
        <v>200</v>
      </c>
      <c r="AG230" s="43">
        <v>30</v>
      </c>
      <c r="AH230" s="43">
        <v>6</v>
      </c>
      <c r="AI230" s="43">
        <v>300</v>
      </c>
      <c r="AJ230" s="41">
        <f t="shared" si="28"/>
        <v>1300</v>
      </c>
      <c r="AK230" s="41">
        <f t="shared" si="26"/>
        <v>450</v>
      </c>
      <c r="AL230" s="41">
        <f t="shared" si="26"/>
        <v>0</v>
      </c>
      <c r="AM230" s="41">
        <f t="shared" si="26"/>
        <v>0</v>
      </c>
      <c r="AN230" s="41">
        <f t="shared" si="26"/>
        <v>500</v>
      </c>
      <c r="AO230" s="41">
        <f t="shared" si="26"/>
        <v>0</v>
      </c>
      <c r="AP230" s="41">
        <f t="shared" si="24"/>
        <v>0</v>
      </c>
      <c r="AQ230" s="41">
        <f t="shared" si="24"/>
        <v>0</v>
      </c>
      <c r="AR230" s="41">
        <f t="shared" si="24"/>
        <v>0</v>
      </c>
      <c r="AS230" s="41">
        <f t="shared" si="24"/>
        <v>0</v>
      </c>
      <c r="AT230" s="41">
        <f t="shared" si="24"/>
        <v>0</v>
      </c>
      <c r="AU230" s="43">
        <f t="shared" si="31"/>
        <v>200</v>
      </c>
      <c r="AV230" s="43">
        <f t="shared" si="31"/>
        <v>120</v>
      </c>
      <c r="AW230" s="43">
        <f t="shared" si="30"/>
        <v>0</v>
      </c>
      <c r="AX230" s="43">
        <f t="shared" si="30"/>
        <v>0</v>
      </c>
      <c r="AY230" s="43">
        <f t="shared" si="30"/>
        <v>100</v>
      </c>
      <c r="AZ230" s="43">
        <f t="shared" si="30"/>
        <v>0</v>
      </c>
      <c r="BA230" s="43">
        <f t="shared" si="30"/>
        <v>0</v>
      </c>
      <c r="BB230" s="43">
        <f t="shared" si="30"/>
        <v>0</v>
      </c>
      <c r="BC230" s="43">
        <f t="shared" si="30"/>
        <v>0</v>
      </c>
      <c r="BD230" s="43">
        <f t="shared" si="30"/>
        <v>0</v>
      </c>
      <c r="BE230" s="43">
        <f t="shared" si="30"/>
        <v>0</v>
      </c>
      <c r="BF230" s="41">
        <f t="shared" si="29"/>
        <v>420</v>
      </c>
      <c r="BG230" s="41" t="str">
        <f t="array" ref="BG230">_xlfn.IFS(
OR(MONTH(A230)=11,MONTH(A230)=12,MONTH(A230)=1,MONTH(A230)=2),"Winter",
OR(MONTH(A230)=3,MONTH(A230)=4),"Spring",
OR(MONTH(A230)=5,MONTH(A230)=6),"Summer",
OR(MONTH(A230)=7,MONTH(A230)=8,MONTH(A230)=9),"Monsoon",
MONTH(A230)=10,"Autumn/Festive",
TRUE,""
)</f>
        <v>Monsoon</v>
      </c>
    </row>
    <row r="231" spans="1:59" x14ac:dyDescent="0.3">
      <c r="A231" s="39">
        <v>45556</v>
      </c>
      <c r="B231" s="40" t="str">
        <f t="shared" si="27"/>
        <v>September</v>
      </c>
      <c r="C231" s="41">
        <v>7</v>
      </c>
      <c r="D231" s="41">
        <v>0</v>
      </c>
      <c r="E231" s="41">
        <v>0</v>
      </c>
      <c r="F231" s="41">
        <v>3</v>
      </c>
      <c r="G231" s="41">
        <v>4</v>
      </c>
      <c r="H231" s="41">
        <v>0</v>
      </c>
      <c r="I231" s="41">
        <v>0</v>
      </c>
      <c r="J231" s="41">
        <v>0</v>
      </c>
      <c r="K231" s="41">
        <v>0</v>
      </c>
      <c r="L231" s="41">
        <v>0</v>
      </c>
      <c r="M231" s="41">
        <v>0</v>
      </c>
      <c r="N231" s="42">
        <v>110</v>
      </c>
      <c r="O231" s="42">
        <v>110</v>
      </c>
      <c r="P231" s="42">
        <v>26</v>
      </c>
      <c r="Q231" s="42">
        <v>65</v>
      </c>
      <c r="R231" s="42">
        <v>200</v>
      </c>
      <c r="S231" s="42">
        <v>230</v>
      </c>
      <c r="T231" s="42">
        <v>250</v>
      </c>
      <c r="U231" s="42">
        <v>170</v>
      </c>
      <c r="V231" s="42">
        <v>25</v>
      </c>
      <c r="W231" s="42">
        <v>4</v>
      </c>
      <c r="X231" s="42">
        <v>265</v>
      </c>
      <c r="Y231" s="43">
        <v>130</v>
      </c>
      <c r="Z231" s="43">
        <v>150</v>
      </c>
      <c r="AA231" s="43">
        <v>30</v>
      </c>
      <c r="AB231" s="43">
        <v>95</v>
      </c>
      <c r="AC231" s="43">
        <v>250</v>
      </c>
      <c r="AD231" s="43">
        <v>260</v>
      </c>
      <c r="AE231" s="43">
        <v>280</v>
      </c>
      <c r="AF231" s="43">
        <v>200</v>
      </c>
      <c r="AG231" s="43">
        <v>30</v>
      </c>
      <c r="AH231" s="43">
        <v>6</v>
      </c>
      <c r="AI231" s="43">
        <v>300</v>
      </c>
      <c r="AJ231" s="41">
        <f t="shared" si="28"/>
        <v>910</v>
      </c>
      <c r="AK231" s="41">
        <f t="shared" si="26"/>
        <v>0</v>
      </c>
      <c r="AL231" s="41">
        <f t="shared" si="26"/>
        <v>0</v>
      </c>
      <c r="AM231" s="41">
        <f t="shared" si="26"/>
        <v>285</v>
      </c>
      <c r="AN231" s="41">
        <f t="shared" si="26"/>
        <v>1000</v>
      </c>
      <c r="AO231" s="41">
        <f t="shared" si="26"/>
        <v>0</v>
      </c>
      <c r="AP231" s="41">
        <f t="shared" si="24"/>
        <v>0</v>
      </c>
      <c r="AQ231" s="41">
        <f t="shared" si="24"/>
        <v>0</v>
      </c>
      <c r="AR231" s="41">
        <f t="shared" si="24"/>
        <v>0</v>
      </c>
      <c r="AS231" s="41">
        <f t="shared" si="24"/>
        <v>0</v>
      </c>
      <c r="AT231" s="41">
        <f t="shared" si="24"/>
        <v>0</v>
      </c>
      <c r="AU231" s="43">
        <f t="shared" si="31"/>
        <v>140</v>
      </c>
      <c r="AV231" s="43">
        <f t="shared" si="31"/>
        <v>0</v>
      </c>
      <c r="AW231" s="43">
        <f t="shared" si="30"/>
        <v>0</v>
      </c>
      <c r="AX231" s="43">
        <f t="shared" si="30"/>
        <v>90</v>
      </c>
      <c r="AY231" s="43">
        <f t="shared" si="30"/>
        <v>200</v>
      </c>
      <c r="AZ231" s="43">
        <f t="shared" si="30"/>
        <v>0</v>
      </c>
      <c r="BA231" s="43">
        <f t="shared" si="30"/>
        <v>0</v>
      </c>
      <c r="BB231" s="43">
        <f t="shared" si="30"/>
        <v>0</v>
      </c>
      <c r="BC231" s="43">
        <f t="shared" si="30"/>
        <v>0</v>
      </c>
      <c r="BD231" s="43">
        <f t="shared" si="30"/>
        <v>0</v>
      </c>
      <c r="BE231" s="43">
        <f t="shared" si="30"/>
        <v>0</v>
      </c>
      <c r="BF231" s="41">
        <f t="shared" si="29"/>
        <v>430</v>
      </c>
      <c r="BG231" s="41" t="str">
        <f t="array" ref="BG231">_xlfn.IFS(
OR(MONTH(A231)=11,MONTH(A231)=12,MONTH(A231)=1,MONTH(A231)=2),"Winter",
OR(MONTH(A231)=3,MONTH(A231)=4),"Spring",
OR(MONTH(A231)=5,MONTH(A231)=6),"Summer",
OR(MONTH(A231)=7,MONTH(A231)=8,MONTH(A231)=9),"Monsoon",
MONTH(A231)=10,"Autumn/Festive",
TRUE,""
)</f>
        <v>Monsoon</v>
      </c>
    </row>
    <row r="232" spans="1:59" x14ac:dyDescent="0.3">
      <c r="A232" s="39">
        <v>45557</v>
      </c>
      <c r="B232" s="40" t="str">
        <f t="shared" si="27"/>
        <v>September</v>
      </c>
      <c r="C232" s="41">
        <v>0</v>
      </c>
      <c r="D232" s="41">
        <v>0</v>
      </c>
      <c r="E232" s="41">
        <v>0</v>
      </c>
      <c r="F232" s="41">
        <v>0</v>
      </c>
      <c r="G232" s="41">
        <v>0</v>
      </c>
      <c r="H232" s="41">
        <v>1.5</v>
      </c>
      <c r="I232" s="41">
        <v>2</v>
      </c>
      <c r="J232" s="41">
        <v>0</v>
      </c>
      <c r="K232" s="41">
        <v>0</v>
      </c>
      <c r="L232" s="41">
        <v>0</v>
      </c>
      <c r="M232" s="41">
        <v>0</v>
      </c>
      <c r="N232" s="42">
        <v>110</v>
      </c>
      <c r="O232" s="42">
        <v>110</v>
      </c>
      <c r="P232" s="42">
        <v>26</v>
      </c>
      <c r="Q232" s="42">
        <v>65</v>
      </c>
      <c r="R232" s="42">
        <v>200</v>
      </c>
      <c r="S232" s="42">
        <v>230</v>
      </c>
      <c r="T232" s="42">
        <v>250</v>
      </c>
      <c r="U232" s="42">
        <v>170</v>
      </c>
      <c r="V232" s="42">
        <v>25</v>
      </c>
      <c r="W232" s="42">
        <v>4</v>
      </c>
      <c r="X232" s="42">
        <v>265</v>
      </c>
      <c r="Y232" s="43">
        <v>130</v>
      </c>
      <c r="Z232" s="43">
        <v>150</v>
      </c>
      <c r="AA232" s="43">
        <v>30</v>
      </c>
      <c r="AB232" s="43">
        <v>95</v>
      </c>
      <c r="AC232" s="43">
        <v>250</v>
      </c>
      <c r="AD232" s="43">
        <v>260</v>
      </c>
      <c r="AE232" s="43">
        <v>280</v>
      </c>
      <c r="AF232" s="43">
        <v>200</v>
      </c>
      <c r="AG232" s="43">
        <v>30</v>
      </c>
      <c r="AH232" s="43">
        <v>6</v>
      </c>
      <c r="AI232" s="43">
        <v>300</v>
      </c>
      <c r="AJ232" s="41">
        <f t="shared" si="28"/>
        <v>0</v>
      </c>
      <c r="AK232" s="41">
        <f t="shared" si="26"/>
        <v>0</v>
      </c>
      <c r="AL232" s="41">
        <f t="shared" si="26"/>
        <v>0</v>
      </c>
      <c r="AM232" s="41">
        <f t="shared" si="26"/>
        <v>0</v>
      </c>
      <c r="AN232" s="41">
        <f t="shared" si="26"/>
        <v>0</v>
      </c>
      <c r="AO232" s="41">
        <f t="shared" si="26"/>
        <v>390</v>
      </c>
      <c r="AP232" s="41">
        <f t="shared" si="24"/>
        <v>560</v>
      </c>
      <c r="AQ232" s="41">
        <f t="shared" si="24"/>
        <v>0</v>
      </c>
      <c r="AR232" s="41">
        <f t="shared" si="24"/>
        <v>0</v>
      </c>
      <c r="AS232" s="41">
        <f t="shared" si="24"/>
        <v>0</v>
      </c>
      <c r="AT232" s="41">
        <f t="shared" si="24"/>
        <v>0</v>
      </c>
      <c r="AU232" s="43">
        <f t="shared" si="31"/>
        <v>0</v>
      </c>
      <c r="AV232" s="43">
        <f t="shared" si="31"/>
        <v>0</v>
      </c>
      <c r="AW232" s="43">
        <f t="shared" si="30"/>
        <v>0</v>
      </c>
      <c r="AX232" s="43">
        <f t="shared" si="30"/>
        <v>0</v>
      </c>
      <c r="AY232" s="43">
        <f t="shared" si="30"/>
        <v>0</v>
      </c>
      <c r="AZ232" s="43">
        <f t="shared" si="30"/>
        <v>45</v>
      </c>
      <c r="BA232" s="43">
        <f t="shared" si="30"/>
        <v>60</v>
      </c>
      <c r="BB232" s="43">
        <f t="shared" si="30"/>
        <v>0</v>
      </c>
      <c r="BC232" s="43">
        <f t="shared" si="30"/>
        <v>0</v>
      </c>
      <c r="BD232" s="43">
        <f t="shared" si="30"/>
        <v>0</v>
      </c>
      <c r="BE232" s="43">
        <f t="shared" si="30"/>
        <v>0</v>
      </c>
      <c r="BF232" s="41">
        <f t="shared" si="29"/>
        <v>105</v>
      </c>
      <c r="BG232" s="41" t="str">
        <f t="array" ref="BG232">_xlfn.IFS(
OR(MONTH(A232)=11,MONTH(A232)=12,MONTH(A232)=1,MONTH(A232)=2),"Winter",
OR(MONTH(A232)=3,MONTH(A232)=4),"Spring",
OR(MONTH(A232)=5,MONTH(A232)=6),"Summer",
OR(MONTH(A232)=7,MONTH(A232)=8,MONTH(A232)=9),"Monsoon",
MONTH(A232)=10,"Autumn/Festive",
TRUE,""
)</f>
        <v>Monsoon</v>
      </c>
    </row>
    <row r="233" spans="1:59" x14ac:dyDescent="0.3">
      <c r="A233" s="39">
        <v>45558</v>
      </c>
      <c r="B233" s="40" t="str">
        <f t="shared" si="27"/>
        <v>September</v>
      </c>
      <c r="C233" s="41">
        <v>2</v>
      </c>
      <c r="D233" s="41">
        <v>0</v>
      </c>
      <c r="E233" s="41">
        <v>0</v>
      </c>
      <c r="F233" s="41">
        <v>2</v>
      </c>
      <c r="G233" s="41">
        <v>2</v>
      </c>
      <c r="H233" s="41">
        <v>1</v>
      </c>
      <c r="I233" s="41">
        <v>0</v>
      </c>
      <c r="J233" s="41">
        <v>0</v>
      </c>
      <c r="K233" s="41">
        <v>0</v>
      </c>
      <c r="L233" s="41">
        <v>0</v>
      </c>
      <c r="M233" s="41">
        <v>0</v>
      </c>
      <c r="N233" s="42">
        <v>110</v>
      </c>
      <c r="O233" s="42">
        <v>110</v>
      </c>
      <c r="P233" s="42">
        <v>26</v>
      </c>
      <c r="Q233" s="42">
        <v>65</v>
      </c>
      <c r="R233" s="42">
        <v>200</v>
      </c>
      <c r="S233" s="42">
        <v>230</v>
      </c>
      <c r="T233" s="42">
        <v>250</v>
      </c>
      <c r="U233" s="42">
        <v>170</v>
      </c>
      <c r="V233" s="42">
        <v>25</v>
      </c>
      <c r="W233" s="42">
        <v>4</v>
      </c>
      <c r="X233" s="42">
        <v>265</v>
      </c>
      <c r="Y233" s="43">
        <v>130</v>
      </c>
      <c r="Z233" s="43">
        <v>150</v>
      </c>
      <c r="AA233" s="43">
        <v>30</v>
      </c>
      <c r="AB233" s="43">
        <v>95</v>
      </c>
      <c r="AC233" s="43">
        <v>250</v>
      </c>
      <c r="AD233" s="43">
        <v>260</v>
      </c>
      <c r="AE233" s="43">
        <v>280</v>
      </c>
      <c r="AF233" s="43">
        <v>200</v>
      </c>
      <c r="AG233" s="43">
        <v>30</v>
      </c>
      <c r="AH233" s="43">
        <v>6</v>
      </c>
      <c r="AI233" s="43">
        <v>300</v>
      </c>
      <c r="AJ233" s="41">
        <f t="shared" si="28"/>
        <v>260</v>
      </c>
      <c r="AK233" s="41">
        <f t="shared" si="26"/>
        <v>0</v>
      </c>
      <c r="AL233" s="41">
        <f t="shared" si="26"/>
        <v>0</v>
      </c>
      <c r="AM233" s="41">
        <f t="shared" si="26"/>
        <v>190</v>
      </c>
      <c r="AN233" s="41">
        <f t="shared" si="26"/>
        <v>500</v>
      </c>
      <c r="AO233" s="41">
        <f t="shared" si="26"/>
        <v>260</v>
      </c>
      <c r="AP233" s="41">
        <f t="shared" ref="AP233:AT296" si="32">I233*AE233</f>
        <v>0</v>
      </c>
      <c r="AQ233" s="41">
        <f t="shared" si="32"/>
        <v>0</v>
      </c>
      <c r="AR233" s="41">
        <f t="shared" si="32"/>
        <v>0</v>
      </c>
      <c r="AS233" s="41">
        <f t="shared" si="32"/>
        <v>0</v>
      </c>
      <c r="AT233" s="41">
        <f t="shared" si="32"/>
        <v>0</v>
      </c>
      <c r="AU233" s="43">
        <f t="shared" si="31"/>
        <v>40</v>
      </c>
      <c r="AV233" s="43">
        <f t="shared" si="31"/>
        <v>0</v>
      </c>
      <c r="AW233" s="43">
        <f t="shared" si="30"/>
        <v>0</v>
      </c>
      <c r="AX233" s="43">
        <f t="shared" si="30"/>
        <v>60</v>
      </c>
      <c r="AY233" s="43">
        <f t="shared" si="30"/>
        <v>100</v>
      </c>
      <c r="AZ233" s="43">
        <f t="shared" ref="AZ233:BE296" si="33">AO233-(H233*S233)</f>
        <v>30</v>
      </c>
      <c r="BA233" s="43">
        <f t="shared" si="33"/>
        <v>0</v>
      </c>
      <c r="BB233" s="43">
        <f t="shared" si="33"/>
        <v>0</v>
      </c>
      <c r="BC233" s="43">
        <f t="shared" si="33"/>
        <v>0</v>
      </c>
      <c r="BD233" s="43">
        <f t="shared" si="33"/>
        <v>0</v>
      </c>
      <c r="BE233" s="43">
        <f t="shared" si="33"/>
        <v>0</v>
      </c>
      <c r="BF233" s="41">
        <f t="shared" si="29"/>
        <v>230</v>
      </c>
      <c r="BG233" s="41" t="str">
        <f t="array" ref="BG233">_xlfn.IFS(
OR(MONTH(A233)=11,MONTH(A233)=12,MONTH(A233)=1,MONTH(A233)=2),"Winter",
OR(MONTH(A233)=3,MONTH(A233)=4),"Spring",
OR(MONTH(A233)=5,MONTH(A233)=6),"Summer",
OR(MONTH(A233)=7,MONTH(A233)=8,MONTH(A233)=9),"Monsoon",
MONTH(A233)=10,"Autumn/Festive",
TRUE,""
)</f>
        <v>Monsoon</v>
      </c>
    </row>
    <row r="234" spans="1:59" x14ac:dyDescent="0.3">
      <c r="A234" s="39">
        <v>45559</v>
      </c>
      <c r="B234" s="40" t="str">
        <f t="shared" si="27"/>
        <v>September</v>
      </c>
      <c r="C234" s="41">
        <v>2</v>
      </c>
      <c r="D234" s="41">
        <v>5</v>
      </c>
      <c r="E234" s="41">
        <v>0</v>
      </c>
      <c r="F234" s="41">
        <v>3</v>
      </c>
      <c r="G234" s="41">
        <v>0</v>
      </c>
      <c r="H234" s="41">
        <v>1.5</v>
      </c>
      <c r="I234" s="41">
        <v>0</v>
      </c>
      <c r="J234" s="41">
        <v>0</v>
      </c>
      <c r="K234" s="41">
        <v>0</v>
      </c>
      <c r="L234" s="41">
        <v>0</v>
      </c>
      <c r="M234" s="41">
        <v>0</v>
      </c>
      <c r="N234" s="42">
        <v>110</v>
      </c>
      <c r="O234" s="42">
        <v>110</v>
      </c>
      <c r="P234" s="42">
        <v>26</v>
      </c>
      <c r="Q234" s="42">
        <v>65</v>
      </c>
      <c r="R234" s="42">
        <v>200</v>
      </c>
      <c r="S234" s="42">
        <v>230</v>
      </c>
      <c r="T234" s="42">
        <v>250</v>
      </c>
      <c r="U234" s="42">
        <v>170</v>
      </c>
      <c r="V234" s="42">
        <v>25</v>
      </c>
      <c r="W234" s="42">
        <v>4</v>
      </c>
      <c r="X234" s="42">
        <v>265</v>
      </c>
      <c r="Y234" s="43">
        <v>130</v>
      </c>
      <c r="Z234" s="43">
        <v>150</v>
      </c>
      <c r="AA234" s="43">
        <v>30</v>
      </c>
      <c r="AB234" s="43">
        <v>95</v>
      </c>
      <c r="AC234" s="43">
        <v>250</v>
      </c>
      <c r="AD234" s="43">
        <v>260</v>
      </c>
      <c r="AE234" s="43">
        <v>280</v>
      </c>
      <c r="AF234" s="43">
        <v>200</v>
      </c>
      <c r="AG234" s="43">
        <v>30</v>
      </c>
      <c r="AH234" s="43">
        <v>6</v>
      </c>
      <c r="AI234" s="43">
        <v>300</v>
      </c>
      <c r="AJ234" s="41">
        <f t="shared" si="28"/>
        <v>260</v>
      </c>
      <c r="AK234" s="41">
        <f t="shared" ref="AK234:AO297" si="34">D234*Z234</f>
        <v>750</v>
      </c>
      <c r="AL234" s="41">
        <f t="shared" si="34"/>
        <v>0</v>
      </c>
      <c r="AM234" s="41">
        <f t="shared" si="34"/>
        <v>285</v>
      </c>
      <c r="AN234" s="41">
        <f t="shared" si="34"/>
        <v>0</v>
      </c>
      <c r="AO234" s="41">
        <f t="shared" si="34"/>
        <v>390</v>
      </c>
      <c r="AP234" s="41">
        <f t="shared" si="32"/>
        <v>0</v>
      </c>
      <c r="AQ234" s="41">
        <f t="shared" si="32"/>
        <v>0</v>
      </c>
      <c r="AR234" s="41">
        <f t="shared" si="32"/>
        <v>0</v>
      </c>
      <c r="AS234" s="41">
        <f t="shared" si="32"/>
        <v>0</v>
      </c>
      <c r="AT234" s="41">
        <f t="shared" si="32"/>
        <v>0</v>
      </c>
      <c r="AU234" s="43">
        <f t="shared" si="31"/>
        <v>40</v>
      </c>
      <c r="AV234" s="43">
        <f t="shared" si="31"/>
        <v>200</v>
      </c>
      <c r="AW234" s="43">
        <f t="shared" si="31"/>
        <v>0</v>
      </c>
      <c r="AX234" s="43">
        <f t="shared" si="31"/>
        <v>90</v>
      </c>
      <c r="AY234" s="43">
        <f t="shared" si="31"/>
        <v>0</v>
      </c>
      <c r="AZ234" s="43">
        <f t="shared" si="33"/>
        <v>45</v>
      </c>
      <c r="BA234" s="43">
        <f t="shared" si="33"/>
        <v>0</v>
      </c>
      <c r="BB234" s="43">
        <f t="shared" si="33"/>
        <v>0</v>
      </c>
      <c r="BC234" s="43">
        <f t="shared" si="33"/>
        <v>0</v>
      </c>
      <c r="BD234" s="43">
        <f t="shared" si="33"/>
        <v>0</v>
      </c>
      <c r="BE234" s="43">
        <f t="shared" si="33"/>
        <v>0</v>
      </c>
      <c r="BF234" s="41">
        <f t="shared" si="29"/>
        <v>375</v>
      </c>
      <c r="BG234" s="41" t="str">
        <f t="array" ref="BG234">_xlfn.IFS(
OR(MONTH(A234)=11,MONTH(A234)=12,MONTH(A234)=1,MONTH(A234)=2),"Winter",
OR(MONTH(A234)=3,MONTH(A234)=4),"Spring",
OR(MONTH(A234)=5,MONTH(A234)=6),"Summer",
OR(MONTH(A234)=7,MONTH(A234)=8,MONTH(A234)=9),"Monsoon",
MONTH(A234)=10,"Autumn/Festive",
TRUE,""
)</f>
        <v>Monsoon</v>
      </c>
    </row>
    <row r="235" spans="1:59" x14ac:dyDescent="0.3">
      <c r="A235" s="39">
        <v>45560</v>
      </c>
      <c r="B235" s="40" t="str">
        <f t="shared" si="27"/>
        <v>September</v>
      </c>
      <c r="C235" s="41">
        <v>9</v>
      </c>
      <c r="D235" s="41">
        <v>4</v>
      </c>
      <c r="E235" s="41">
        <v>0</v>
      </c>
      <c r="F235" s="41">
        <v>0</v>
      </c>
      <c r="G235" s="41">
        <v>0</v>
      </c>
      <c r="H235" s="41">
        <v>0</v>
      </c>
      <c r="I235" s="41">
        <v>0</v>
      </c>
      <c r="J235" s="41">
        <v>0</v>
      </c>
      <c r="K235" s="41">
        <v>0</v>
      </c>
      <c r="L235" s="41">
        <v>0</v>
      </c>
      <c r="M235" s="41">
        <v>1</v>
      </c>
      <c r="N235" s="42">
        <v>110</v>
      </c>
      <c r="O235" s="42">
        <v>110</v>
      </c>
      <c r="P235" s="42">
        <v>26</v>
      </c>
      <c r="Q235" s="42">
        <v>65</v>
      </c>
      <c r="R235" s="42">
        <v>200</v>
      </c>
      <c r="S235" s="42">
        <v>230</v>
      </c>
      <c r="T235" s="42">
        <v>250</v>
      </c>
      <c r="U235" s="42">
        <v>170</v>
      </c>
      <c r="V235" s="42">
        <v>25</v>
      </c>
      <c r="W235" s="42">
        <v>4</v>
      </c>
      <c r="X235" s="42">
        <v>265</v>
      </c>
      <c r="Y235" s="43">
        <v>130</v>
      </c>
      <c r="Z235" s="43">
        <v>150</v>
      </c>
      <c r="AA235" s="43">
        <v>30</v>
      </c>
      <c r="AB235" s="43">
        <v>95</v>
      </c>
      <c r="AC235" s="43">
        <v>250</v>
      </c>
      <c r="AD235" s="43">
        <v>260</v>
      </c>
      <c r="AE235" s="43">
        <v>280</v>
      </c>
      <c r="AF235" s="43">
        <v>200</v>
      </c>
      <c r="AG235" s="43">
        <v>30</v>
      </c>
      <c r="AH235" s="43">
        <v>6</v>
      </c>
      <c r="AI235" s="43">
        <v>300</v>
      </c>
      <c r="AJ235" s="41">
        <f t="shared" si="28"/>
        <v>1170</v>
      </c>
      <c r="AK235" s="41">
        <f t="shared" si="34"/>
        <v>600</v>
      </c>
      <c r="AL235" s="41">
        <f t="shared" si="34"/>
        <v>0</v>
      </c>
      <c r="AM235" s="41">
        <f t="shared" si="34"/>
        <v>0</v>
      </c>
      <c r="AN235" s="41">
        <f t="shared" si="34"/>
        <v>0</v>
      </c>
      <c r="AO235" s="41">
        <f t="shared" si="34"/>
        <v>0</v>
      </c>
      <c r="AP235" s="41">
        <f t="shared" si="32"/>
        <v>0</v>
      </c>
      <c r="AQ235" s="41">
        <f t="shared" si="32"/>
        <v>0</v>
      </c>
      <c r="AR235" s="41">
        <f t="shared" si="32"/>
        <v>0</v>
      </c>
      <c r="AS235" s="41">
        <f t="shared" si="32"/>
        <v>0</v>
      </c>
      <c r="AT235" s="41">
        <f t="shared" si="32"/>
        <v>300</v>
      </c>
      <c r="AU235" s="43">
        <f t="shared" si="31"/>
        <v>180</v>
      </c>
      <c r="AV235" s="43">
        <f t="shared" si="31"/>
        <v>160</v>
      </c>
      <c r="AW235" s="43">
        <f t="shared" si="31"/>
        <v>0</v>
      </c>
      <c r="AX235" s="43">
        <f t="shared" si="31"/>
        <v>0</v>
      </c>
      <c r="AY235" s="43">
        <f t="shared" si="31"/>
        <v>0</v>
      </c>
      <c r="AZ235" s="43">
        <f t="shared" si="33"/>
        <v>0</v>
      </c>
      <c r="BA235" s="43">
        <f t="shared" si="33"/>
        <v>0</v>
      </c>
      <c r="BB235" s="43">
        <f t="shared" si="33"/>
        <v>0</v>
      </c>
      <c r="BC235" s="43">
        <f t="shared" si="33"/>
        <v>0</v>
      </c>
      <c r="BD235" s="43">
        <f t="shared" si="33"/>
        <v>0</v>
      </c>
      <c r="BE235" s="43">
        <f t="shared" si="33"/>
        <v>35</v>
      </c>
      <c r="BF235" s="41">
        <f t="shared" si="29"/>
        <v>375</v>
      </c>
      <c r="BG235" s="41" t="str">
        <f t="array" ref="BG235">_xlfn.IFS(
OR(MONTH(A235)=11,MONTH(A235)=12,MONTH(A235)=1,MONTH(A235)=2),"Winter",
OR(MONTH(A235)=3,MONTH(A235)=4),"Spring",
OR(MONTH(A235)=5,MONTH(A235)=6),"Summer",
OR(MONTH(A235)=7,MONTH(A235)=8,MONTH(A235)=9),"Monsoon",
MONTH(A235)=10,"Autumn/Festive",
TRUE,""
)</f>
        <v>Monsoon</v>
      </c>
    </row>
    <row r="236" spans="1:59" x14ac:dyDescent="0.3">
      <c r="A236" s="39">
        <v>45561</v>
      </c>
      <c r="B236" s="40" t="str">
        <f t="shared" si="27"/>
        <v>September</v>
      </c>
      <c r="C236" s="41">
        <v>2</v>
      </c>
      <c r="D236" s="41">
        <v>0</v>
      </c>
      <c r="E236" s="41">
        <v>0</v>
      </c>
      <c r="F236" s="41">
        <v>2</v>
      </c>
      <c r="G236" s="41">
        <v>0</v>
      </c>
      <c r="H236" s="41">
        <v>0</v>
      </c>
      <c r="I236" s="41">
        <v>0</v>
      </c>
      <c r="J236" s="41">
        <v>0</v>
      </c>
      <c r="K236" s="41">
        <v>0</v>
      </c>
      <c r="L236" s="41">
        <v>0</v>
      </c>
      <c r="M236" s="41">
        <v>0</v>
      </c>
      <c r="N236" s="42">
        <v>110</v>
      </c>
      <c r="O236" s="42">
        <v>110</v>
      </c>
      <c r="P236" s="42">
        <v>26</v>
      </c>
      <c r="Q236" s="42">
        <v>65</v>
      </c>
      <c r="R236" s="42">
        <v>200</v>
      </c>
      <c r="S236" s="42">
        <v>230</v>
      </c>
      <c r="T236" s="42">
        <v>250</v>
      </c>
      <c r="U236" s="42">
        <v>170</v>
      </c>
      <c r="V236" s="42">
        <v>25</v>
      </c>
      <c r="W236" s="42">
        <v>4</v>
      </c>
      <c r="X236" s="42">
        <v>265</v>
      </c>
      <c r="Y236" s="43">
        <v>130</v>
      </c>
      <c r="Z236" s="43">
        <v>150</v>
      </c>
      <c r="AA236" s="43">
        <v>30</v>
      </c>
      <c r="AB236" s="43">
        <v>95</v>
      </c>
      <c r="AC236" s="43">
        <v>250</v>
      </c>
      <c r="AD236" s="43">
        <v>260</v>
      </c>
      <c r="AE236" s="43">
        <v>280</v>
      </c>
      <c r="AF236" s="43">
        <v>200</v>
      </c>
      <c r="AG236" s="43">
        <v>30</v>
      </c>
      <c r="AH236" s="43">
        <v>6</v>
      </c>
      <c r="AI236" s="43">
        <v>300</v>
      </c>
      <c r="AJ236" s="41">
        <f t="shared" si="28"/>
        <v>260</v>
      </c>
      <c r="AK236" s="41">
        <f t="shared" si="34"/>
        <v>0</v>
      </c>
      <c r="AL236" s="41">
        <f t="shared" si="34"/>
        <v>0</v>
      </c>
      <c r="AM236" s="41">
        <f t="shared" si="34"/>
        <v>190</v>
      </c>
      <c r="AN236" s="41">
        <f t="shared" si="34"/>
        <v>0</v>
      </c>
      <c r="AO236" s="41">
        <f t="shared" si="34"/>
        <v>0</v>
      </c>
      <c r="AP236" s="41">
        <f t="shared" si="32"/>
        <v>0</v>
      </c>
      <c r="AQ236" s="41">
        <f t="shared" si="32"/>
        <v>0</v>
      </c>
      <c r="AR236" s="41">
        <f t="shared" si="32"/>
        <v>0</v>
      </c>
      <c r="AS236" s="41">
        <f t="shared" si="32"/>
        <v>0</v>
      </c>
      <c r="AT236" s="41">
        <f t="shared" si="32"/>
        <v>0</v>
      </c>
      <c r="AU236" s="43">
        <f t="shared" si="31"/>
        <v>40</v>
      </c>
      <c r="AV236" s="43">
        <f t="shared" si="31"/>
        <v>0</v>
      </c>
      <c r="AW236" s="43">
        <f t="shared" si="31"/>
        <v>0</v>
      </c>
      <c r="AX236" s="43">
        <f t="shared" si="31"/>
        <v>60</v>
      </c>
      <c r="AY236" s="43">
        <f t="shared" si="31"/>
        <v>0</v>
      </c>
      <c r="AZ236" s="43">
        <f t="shared" si="33"/>
        <v>0</v>
      </c>
      <c r="BA236" s="43">
        <f t="shared" si="33"/>
        <v>0</v>
      </c>
      <c r="BB236" s="43">
        <f t="shared" si="33"/>
        <v>0</v>
      </c>
      <c r="BC236" s="43">
        <f t="shared" si="33"/>
        <v>0</v>
      </c>
      <c r="BD236" s="43">
        <f t="shared" si="33"/>
        <v>0</v>
      </c>
      <c r="BE236" s="43">
        <f t="shared" si="33"/>
        <v>0</v>
      </c>
      <c r="BF236" s="41">
        <f t="shared" si="29"/>
        <v>100</v>
      </c>
      <c r="BG236" s="41" t="str">
        <f t="array" ref="BG236">_xlfn.IFS(
OR(MONTH(A236)=11,MONTH(A236)=12,MONTH(A236)=1,MONTH(A236)=2),"Winter",
OR(MONTH(A236)=3,MONTH(A236)=4),"Spring",
OR(MONTH(A236)=5,MONTH(A236)=6),"Summer",
OR(MONTH(A236)=7,MONTH(A236)=8,MONTH(A236)=9),"Monsoon",
MONTH(A236)=10,"Autumn/Festive",
TRUE,""
)</f>
        <v>Monsoon</v>
      </c>
    </row>
    <row r="237" spans="1:59" x14ac:dyDescent="0.3">
      <c r="A237" s="39">
        <v>45562</v>
      </c>
      <c r="B237" s="40" t="str">
        <f t="shared" si="27"/>
        <v>September</v>
      </c>
      <c r="C237" s="41">
        <v>6</v>
      </c>
      <c r="D237" s="41">
        <v>2</v>
      </c>
      <c r="E237" s="41">
        <v>0</v>
      </c>
      <c r="F237" s="41">
        <v>0</v>
      </c>
      <c r="G237" s="41">
        <v>0</v>
      </c>
      <c r="H237" s="41">
        <v>0</v>
      </c>
      <c r="I237" s="41">
        <v>0</v>
      </c>
      <c r="J237" s="41">
        <v>0</v>
      </c>
      <c r="K237" s="41">
        <v>0</v>
      </c>
      <c r="L237" s="41">
        <v>0</v>
      </c>
      <c r="M237" s="41">
        <v>0</v>
      </c>
      <c r="N237" s="42">
        <v>110</v>
      </c>
      <c r="O237" s="42">
        <v>110</v>
      </c>
      <c r="P237" s="42">
        <v>26</v>
      </c>
      <c r="Q237" s="42">
        <v>65</v>
      </c>
      <c r="R237" s="42">
        <v>200</v>
      </c>
      <c r="S237" s="42">
        <v>230</v>
      </c>
      <c r="T237" s="42">
        <v>250</v>
      </c>
      <c r="U237" s="42">
        <v>170</v>
      </c>
      <c r="V237" s="42">
        <v>25</v>
      </c>
      <c r="W237" s="42">
        <v>4</v>
      </c>
      <c r="X237" s="42">
        <v>265</v>
      </c>
      <c r="Y237" s="43">
        <v>130</v>
      </c>
      <c r="Z237" s="43">
        <v>150</v>
      </c>
      <c r="AA237" s="43">
        <v>30</v>
      </c>
      <c r="AB237" s="43">
        <v>95</v>
      </c>
      <c r="AC237" s="43">
        <v>250</v>
      </c>
      <c r="AD237" s="43">
        <v>260</v>
      </c>
      <c r="AE237" s="43">
        <v>280</v>
      </c>
      <c r="AF237" s="43">
        <v>200</v>
      </c>
      <c r="AG237" s="43">
        <v>30</v>
      </c>
      <c r="AH237" s="43">
        <v>6</v>
      </c>
      <c r="AI237" s="43">
        <v>300</v>
      </c>
      <c r="AJ237" s="41">
        <f t="shared" si="28"/>
        <v>780</v>
      </c>
      <c r="AK237" s="41">
        <f t="shared" si="34"/>
        <v>300</v>
      </c>
      <c r="AL237" s="41">
        <f t="shared" si="34"/>
        <v>0</v>
      </c>
      <c r="AM237" s="41">
        <f t="shared" si="34"/>
        <v>0</v>
      </c>
      <c r="AN237" s="41">
        <f t="shared" si="34"/>
        <v>0</v>
      </c>
      <c r="AO237" s="41">
        <f t="shared" si="34"/>
        <v>0</v>
      </c>
      <c r="AP237" s="41">
        <f t="shared" si="32"/>
        <v>0</v>
      </c>
      <c r="AQ237" s="41">
        <f t="shared" si="32"/>
        <v>0</v>
      </c>
      <c r="AR237" s="41">
        <f t="shared" si="32"/>
        <v>0</v>
      </c>
      <c r="AS237" s="41">
        <f t="shared" si="32"/>
        <v>0</v>
      </c>
      <c r="AT237" s="41">
        <f t="shared" si="32"/>
        <v>0</v>
      </c>
      <c r="AU237" s="43">
        <f t="shared" si="31"/>
        <v>120</v>
      </c>
      <c r="AV237" s="43">
        <f t="shared" si="31"/>
        <v>80</v>
      </c>
      <c r="AW237" s="43">
        <f t="shared" si="31"/>
        <v>0</v>
      </c>
      <c r="AX237" s="43">
        <f t="shared" si="31"/>
        <v>0</v>
      </c>
      <c r="AY237" s="43">
        <f t="shared" si="31"/>
        <v>0</v>
      </c>
      <c r="AZ237" s="43">
        <f t="shared" si="33"/>
        <v>0</v>
      </c>
      <c r="BA237" s="43">
        <f t="shared" si="33"/>
        <v>0</v>
      </c>
      <c r="BB237" s="43">
        <f t="shared" si="33"/>
        <v>0</v>
      </c>
      <c r="BC237" s="43">
        <f t="shared" si="33"/>
        <v>0</v>
      </c>
      <c r="BD237" s="43">
        <f t="shared" si="33"/>
        <v>0</v>
      </c>
      <c r="BE237" s="43">
        <f t="shared" si="33"/>
        <v>0</v>
      </c>
      <c r="BF237" s="41">
        <f t="shared" si="29"/>
        <v>200</v>
      </c>
      <c r="BG237" s="41" t="str">
        <f t="array" ref="BG237">_xlfn.IFS(
OR(MONTH(A237)=11,MONTH(A237)=12,MONTH(A237)=1,MONTH(A237)=2),"Winter",
OR(MONTH(A237)=3,MONTH(A237)=4),"Spring",
OR(MONTH(A237)=5,MONTH(A237)=6),"Summer",
OR(MONTH(A237)=7,MONTH(A237)=8,MONTH(A237)=9),"Monsoon",
MONTH(A237)=10,"Autumn/Festive",
TRUE,""
)</f>
        <v>Monsoon</v>
      </c>
    </row>
    <row r="238" spans="1:59" x14ac:dyDescent="0.3">
      <c r="A238" s="39">
        <v>45563</v>
      </c>
      <c r="B238" s="40" t="str">
        <f t="shared" si="27"/>
        <v>September</v>
      </c>
      <c r="C238" s="41">
        <v>0</v>
      </c>
      <c r="D238" s="41">
        <v>0</v>
      </c>
      <c r="E238" s="41">
        <v>0</v>
      </c>
      <c r="F238" s="41">
        <v>0</v>
      </c>
      <c r="G238" s="41">
        <v>0</v>
      </c>
      <c r="H238" s="41">
        <v>0</v>
      </c>
      <c r="I238" s="41">
        <v>0</v>
      </c>
      <c r="J238" s="41">
        <v>0</v>
      </c>
      <c r="K238" s="41">
        <v>0</v>
      </c>
      <c r="L238" s="41">
        <v>0</v>
      </c>
      <c r="M238" s="41">
        <v>0</v>
      </c>
      <c r="N238" s="42">
        <v>110</v>
      </c>
      <c r="O238" s="42">
        <v>110</v>
      </c>
      <c r="P238" s="42">
        <v>26</v>
      </c>
      <c r="Q238" s="42">
        <v>65</v>
      </c>
      <c r="R238" s="42">
        <v>200</v>
      </c>
      <c r="S238" s="42">
        <v>230</v>
      </c>
      <c r="T238" s="42">
        <v>250</v>
      </c>
      <c r="U238" s="42">
        <v>170</v>
      </c>
      <c r="V238" s="42">
        <v>25</v>
      </c>
      <c r="W238" s="42">
        <v>4</v>
      </c>
      <c r="X238" s="42">
        <v>265</v>
      </c>
      <c r="Y238" s="43">
        <v>130</v>
      </c>
      <c r="Z238" s="43">
        <v>150</v>
      </c>
      <c r="AA238" s="43">
        <v>30</v>
      </c>
      <c r="AB238" s="43">
        <v>95</v>
      </c>
      <c r="AC238" s="43">
        <v>250</v>
      </c>
      <c r="AD238" s="43">
        <v>260</v>
      </c>
      <c r="AE238" s="43">
        <v>280</v>
      </c>
      <c r="AF238" s="43">
        <v>200</v>
      </c>
      <c r="AG238" s="43">
        <v>30</v>
      </c>
      <c r="AH238" s="43">
        <v>6</v>
      </c>
      <c r="AI238" s="43">
        <v>300</v>
      </c>
      <c r="AJ238" s="41">
        <f t="shared" si="28"/>
        <v>0</v>
      </c>
      <c r="AK238" s="41">
        <f t="shared" si="34"/>
        <v>0</v>
      </c>
      <c r="AL238" s="41">
        <f t="shared" si="34"/>
        <v>0</v>
      </c>
      <c r="AM238" s="41">
        <f t="shared" si="34"/>
        <v>0</v>
      </c>
      <c r="AN238" s="41">
        <f t="shared" si="34"/>
        <v>0</v>
      </c>
      <c r="AO238" s="41">
        <f t="shared" si="34"/>
        <v>0</v>
      </c>
      <c r="AP238" s="41">
        <f t="shared" si="32"/>
        <v>0</v>
      </c>
      <c r="AQ238" s="41">
        <f t="shared" si="32"/>
        <v>0</v>
      </c>
      <c r="AR238" s="41">
        <f t="shared" si="32"/>
        <v>0</v>
      </c>
      <c r="AS238" s="41">
        <f t="shared" si="32"/>
        <v>0</v>
      </c>
      <c r="AT238" s="41">
        <f t="shared" si="32"/>
        <v>0</v>
      </c>
      <c r="AU238" s="43">
        <f t="shared" si="31"/>
        <v>0</v>
      </c>
      <c r="AV238" s="43">
        <f t="shared" si="31"/>
        <v>0</v>
      </c>
      <c r="AW238" s="43">
        <f t="shared" si="31"/>
        <v>0</v>
      </c>
      <c r="AX238" s="43">
        <f t="shared" si="31"/>
        <v>0</v>
      </c>
      <c r="AY238" s="43">
        <f t="shared" si="31"/>
        <v>0</v>
      </c>
      <c r="AZ238" s="43">
        <f t="shared" si="33"/>
        <v>0</v>
      </c>
      <c r="BA238" s="43">
        <f t="shared" si="33"/>
        <v>0</v>
      </c>
      <c r="BB238" s="43">
        <f t="shared" si="33"/>
        <v>0</v>
      </c>
      <c r="BC238" s="43">
        <f t="shared" si="33"/>
        <v>0</v>
      </c>
      <c r="BD238" s="43">
        <f t="shared" si="33"/>
        <v>0</v>
      </c>
      <c r="BE238" s="43">
        <f t="shared" si="33"/>
        <v>0</v>
      </c>
      <c r="BF238" s="41">
        <f t="shared" si="29"/>
        <v>0</v>
      </c>
      <c r="BG238" s="41" t="str">
        <f t="array" ref="BG238">_xlfn.IFS(
OR(MONTH(A238)=11,MONTH(A238)=12,MONTH(A238)=1,MONTH(A238)=2),"Winter",
OR(MONTH(A238)=3,MONTH(A238)=4),"Spring",
OR(MONTH(A238)=5,MONTH(A238)=6),"Summer",
OR(MONTH(A238)=7,MONTH(A238)=8,MONTH(A238)=9),"Monsoon",
MONTH(A238)=10,"Autumn/Festive",
TRUE,""
)</f>
        <v>Monsoon</v>
      </c>
    </row>
    <row r="239" spans="1:59" x14ac:dyDescent="0.3">
      <c r="A239" s="39">
        <v>45564</v>
      </c>
      <c r="B239" s="40" t="str">
        <f t="shared" si="27"/>
        <v>September</v>
      </c>
      <c r="C239" s="41">
        <v>0</v>
      </c>
      <c r="D239" s="41">
        <v>0</v>
      </c>
      <c r="E239" s="41">
        <v>0</v>
      </c>
      <c r="F239" s="41">
        <v>0</v>
      </c>
      <c r="G239" s="41">
        <v>0</v>
      </c>
      <c r="H239" s="41">
        <v>0</v>
      </c>
      <c r="I239" s="41">
        <v>0</v>
      </c>
      <c r="J239" s="41">
        <v>0</v>
      </c>
      <c r="K239" s="41">
        <v>0</v>
      </c>
      <c r="L239" s="41">
        <v>0</v>
      </c>
      <c r="M239" s="41">
        <v>0</v>
      </c>
      <c r="N239" s="42">
        <v>110</v>
      </c>
      <c r="O239" s="42">
        <v>110</v>
      </c>
      <c r="P239" s="42">
        <v>26</v>
      </c>
      <c r="Q239" s="42">
        <v>65</v>
      </c>
      <c r="R239" s="42">
        <v>200</v>
      </c>
      <c r="S239" s="42">
        <v>230</v>
      </c>
      <c r="T239" s="42">
        <v>250</v>
      </c>
      <c r="U239" s="42">
        <v>170</v>
      </c>
      <c r="V239" s="42">
        <v>25</v>
      </c>
      <c r="W239" s="42">
        <v>4</v>
      </c>
      <c r="X239" s="42">
        <v>265</v>
      </c>
      <c r="Y239" s="43">
        <v>130</v>
      </c>
      <c r="Z239" s="43">
        <v>150</v>
      </c>
      <c r="AA239" s="43">
        <v>30</v>
      </c>
      <c r="AB239" s="43">
        <v>95</v>
      </c>
      <c r="AC239" s="43">
        <v>250</v>
      </c>
      <c r="AD239" s="43">
        <v>260</v>
      </c>
      <c r="AE239" s="43">
        <v>280</v>
      </c>
      <c r="AF239" s="43">
        <v>200</v>
      </c>
      <c r="AG239" s="43">
        <v>30</v>
      </c>
      <c r="AH239" s="43">
        <v>6</v>
      </c>
      <c r="AI239" s="43">
        <v>300</v>
      </c>
      <c r="AJ239" s="41">
        <f t="shared" si="28"/>
        <v>0</v>
      </c>
      <c r="AK239" s="41">
        <f t="shared" si="34"/>
        <v>0</v>
      </c>
      <c r="AL239" s="41">
        <f t="shared" si="34"/>
        <v>0</v>
      </c>
      <c r="AM239" s="41">
        <f t="shared" si="34"/>
        <v>0</v>
      </c>
      <c r="AN239" s="41">
        <f t="shared" si="34"/>
        <v>0</v>
      </c>
      <c r="AO239" s="41">
        <f t="shared" si="34"/>
        <v>0</v>
      </c>
      <c r="AP239" s="41">
        <f t="shared" si="32"/>
        <v>0</v>
      </c>
      <c r="AQ239" s="41">
        <f t="shared" si="32"/>
        <v>0</v>
      </c>
      <c r="AR239" s="41">
        <f t="shared" si="32"/>
        <v>0</v>
      </c>
      <c r="AS239" s="41">
        <f t="shared" si="32"/>
        <v>0</v>
      </c>
      <c r="AT239" s="41">
        <f t="shared" si="32"/>
        <v>0</v>
      </c>
      <c r="AU239" s="43">
        <f t="shared" si="31"/>
        <v>0</v>
      </c>
      <c r="AV239" s="43">
        <f t="shared" si="31"/>
        <v>0</v>
      </c>
      <c r="AW239" s="43">
        <f t="shared" si="31"/>
        <v>0</v>
      </c>
      <c r="AX239" s="43">
        <f t="shared" si="31"/>
        <v>0</v>
      </c>
      <c r="AY239" s="43">
        <f t="shared" si="31"/>
        <v>0</v>
      </c>
      <c r="AZ239" s="43">
        <f t="shared" si="33"/>
        <v>0</v>
      </c>
      <c r="BA239" s="43">
        <f t="shared" si="33"/>
        <v>0</v>
      </c>
      <c r="BB239" s="43">
        <f t="shared" si="33"/>
        <v>0</v>
      </c>
      <c r="BC239" s="43">
        <f t="shared" si="33"/>
        <v>0</v>
      </c>
      <c r="BD239" s="43">
        <f t="shared" si="33"/>
        <v>0</v>
      </c>
      <c r="BE239" s="43">
        <f t="shared" si="33"/>
        <v>0</v>
      </c>
      <c r="BF239" s="41">
        <f t="shared" si="29"/>
        <v>0</v>
      </c>
      <c r="BG239" s="41" t="str">
        <f t="array" ref="BG239">_xlfn.IFS(
OR(MONTH(A239)=11,MONTH(A239)=12,MONTH(A239)=1,MONTH(A239)=2),"Winter",
OR(MONTH(A239)=3,MONTH(A239)=4),"Spring",
OR(MONTH(A239)=5,MONTH(A239)=6),"Summer",
OR(MONTH(A239)=7,MONTH(A239)=8,MONTH(A239)=9),"Monsoon",
MONTH(A239)=10,"Autumn/Festive",
TRUE,""
)</f>
        <v>Monsoon</v>
      </c>
    </row>
    <row r="240" spans="1:59" x14ac:dyDescent="0.3">
      <c r="A240" s="39">
        <v>45565</v>
      </c>
      <c r="B240" s="40" t="str">
        <f t="shared" si="27"/>
        <v>September</v>
      </c>
      <c r="C240" s="41">
        <v>0</v>
      </c>
      <c r="D240" s="41">
        <v>0</v>
      </c>
      <c r="E240" s="41">
        <v>0</v>
      </c>
      <c r="F240" s="41">
        <v>0</v>
      </c>
      <c r="G240" s="41">
        <v>0</v>
      </c>
      <c r="H240" s="41">
        <v>0</v>
      </c>
      <c r="I240" s="41">
        <v>0</v>
      </c>
      <c r="J240" s="41">
        <v>0</v>
      </c>
      <c r="K240" s="41">
        <v>0</v>
      </c>
      <c r="L240" s="41">
        <v>0</v>
      </c>
      <c r="M240" s="41">
        <v>0</v>
      </c>
      <c r="N240" s="42">
        <v>110</v>
      </c>
      <c r="O240" s="42">
        <v>110</v>
      </c>
      <c r="P240" s="42">
        <v>26</v>
      </c>
      <c r="Q240" s="42">
        <v>65</v>
      </c>
      <c r="R240" s="42">
        <v>200</v>
      </c>
      <c r="S240" s="42">
        <v>230</v>
      </c>
      <c r="T240" s="42">
        <v>250</v>
      </c>
      <c r="U240" s="42">
        <v>170</v>
      </c>
      <c r="V240" s="42">
        <v>25</v>
      </c>
      <c r="W240" s="42">
        <v>4</v>
      </c>
      <c r="X240" s="42">
        <v>265</v>
      </c>
      <c r="Y240" s="43">
        <v>130</v>
      </c>
      <c r="Z240" s="43">
        <v>150</v>
      </c>
      <c r="AA240" s="43">
        <v>30</v>
      </c>
      <c r="AB240" s="43">
        <v>95</v>
      </c>
      <c r="AC240" s="43">
        <v>250</v>
      </c>
      <c r="AD240" s="43">
        <v>260</v>
      </c>
      <c r="AE240" s="43">
        <v>280</v>
      </c>
      <c r="AF240" s="43">
        <v>200</v>
      </c>
      <c r="AG240" s="43">
        <v>30</v>
      </c>
      <c r="AH240" s="43">
        <v>6</v>
      </c>
      <c r="AI240" s="43">
        <v>300</v>
      </c>
      <c r="AJ240" s="41">
        <f t="shared" si="28"/>
        <v>0</v>
      </c>
      <c r="AK240" s="41">
        <f t="shared" si="34"/>
        <v>0</v>
      </c>
      <c r="AL240" s="41">
        <f t="shared" si="34"/>
        <v>0</v>
      </c>
      <c r="AM240" s="41">
        <f t="shared" si="34"/>
        <v>0</v>
      </c>
      <c r="AN240" s="41">
        <f t="shared" si="34"/>
        <v>0</v>
      </c>
      <c r="AO240" s="41">
        <f t="shared" si="34"/>
        <v>0</v>
      </c>
      <c r="AP240" s="41">
        <f t="shared" si="32"/>
        <v>0</v>
      </c>
      <c r="AQ240" s="41">
        <f t="shared" si="32"/>
        <v>0</v>
      </c>
      <c r="AR240" s="41">
        <f t="shared" si="32"/>
        <v>0</v>
      </c>
      <c r="AS240" s="41">
        <f t="shared" si="32"/>
        <v>0</v>
      </c>
      <c r="AT240" s="41">
        <f t="shared" si="32"/>
        <v>0</v>
      </c>
      <c r="AU240" s="43">
        <f t="shared" si="31"/>
        <v>0</v>
      </c>
      <c r="AV240" s="43">
        <f t="shared" si="31"/>
        <v>0</v>
      </c>
      <c r="AW240" s="43">
        <f t="shared" si="31"/>
        <v>0</v>
      </c>
      <c r="AX240" s="43">
        <f t="shared" si="31"/>
        <v>0</v>
      </c>
      <c r="AY240" s="43">
        <f t="shared" si="31"/>
        <v>0</v>
      </c>
      <c r="AZ240" s="43">
        <f t="shared" si="33"/>
        <v>0</v>
      </c>
      <c r="BA240" s="43">
        <f t="shared" si="33"/>
        <v>0</v>
      </c>
      <c r="BB240" s="43">
        <f t="shared" si="33"/>
        <v>0</v>
      </c>
      <c r="BC240" s="43">
        <f t="shared" si="33"/>
        <v>0</v>
      </c>
      <c r="BD240" s="43">
        <f t="shared" si="33"/>
        <v>0</v>
      </c>
      <c r="BE240" s="43">
        <f t="shared" si="33"/>
        <v>0</v>
      </c>
      <c r="BF240" s="41">
        <f t="shared" si="29"/>
        <v>0</v>
      </c>
      <c r="BG240" s="41" t="str">
        <f t="array" ref="BG240">_xlfn.IFS(
OR(MONTH(A240)=11,MONTH(A240)=12,MONTH(A240)=1,MONTH(A240)=2),"Winter",
OR(MONTH(A240)=3,MONTH(A240)=4),"Spring",
OR(MONTH(A240)=5,MONTH(A240)=6),"Summer",
OR(MONTH(A240)=7,MONTH(A240)=8,MONTH(A240)=9),"Monsoon",
MONTH(A240)=10,"Autumn/Festive",
TRUE,""
)</f>
        <v>Monsoon</v>
      </c>
    </row>
    <row r="241" spans="1:59" x14ac:dyDescent="0.3">
      <c r="A241" s="39">
        <v>45566</v>
      </c>
      <c r="B241" s="40" t="str">
        <f t="shared" si="27"/>
        <v>October</v>
      </c>
      <c r="C241" s="41">
        <v>2</v>
      </c>
      <c r="D241" s="41">
        <v>2</v>
      </c>
      <c r="E241" s="41">
        <v>0</v>
      </c>
      <c r="F241" s="41">
        <v>0</v>
      </c>
      <c r="G241" s="41">
        <v>2</v>
      </c>
      <c r="H241" s="41">
        <v>0</v>
      </c>
      <c r="I241" s="41">
        <v>0</v>
      </c>
      <c r="J241" s="41">
        <v>0</v>
      </c>
      <c r="K241" s="41">
        <v>0</v>
      </c>
      <c r="L241" s="41">
        <v>0</v>
      </c>
      <c r="M241" s="41">
        <v>0</v>
      </c>
      <c r="N241" s="42">
        <v>110</v>
      </c>
      <c r="O241" s="42">
        <v>110</v>
      </c>
      <c r="P241" s="42">
        <v>26</v>
      </c>
      <c r="Q241" s="42">
        <v>65</v>
      </c>
      <c r="R241" s="42">
        <v>200</v>
      </c>
      <c r="S241" s="42">
        <v>230</v>
      </c>
      <c r="T241" s="42">
        <v>250</v>
      </c>
      <c r="U241" s="42">
        <v>170</v>
      </c>
      <c r="V241" s="42">
        <v>25</v>
      </c>
      <c r="W241" s="42">
        <v>4</v>
      </c>
      <c r="X241" s="42">
        <v>265</v>
      </c>
      <c r="Y241" s="43">
        <v>130</v>
      </c>
      <c r="Z241" s="43">
        <v>150</v>
      </c>
      <c r="AA241" s="43">
        <v>30</v>
      </c>
      <c r="AB241" s="43">
        <v>95</v>
      </c>
      <c r="AC241" s="43">
        <v>250</v>
      </c>
      <c r="AD241" s="43">
        <v>260</v>
      </c>
      <c r="AE241" s="43">
        <v>280</v>
      </c>
      <c r="AF241" s="43">
        <v>200</v>
      </c>
      <c r="AG241" s="43">
        <v>30</v>
      </c>
      <c r="AH241" s="43">
        <v>6</v>
      </c>
      <c r="AI241" s="43">
        <v>300</v>
      </c>
      <c r="AJ241" s="41">
        <f t="shared" si="28"/>
        <v>260</v>
      </c>
      <c r="AK241" s="41">
        <f t="shared" si="34"/>
        <v>300</v>
      </c>
      <c r="AL241" s="41">
        <f t="shared" si="34"/>
        <v>0</v>
      </c>
      <c r="AM241" s="41">
        <f t="shared" si="34"/>
        <v>0</v>
      </c>
      <c r="AN241" s="41">
        <f t="shared" si="34"/>
        <v>500</v>
      </c>
      <c r="AO241" s="41">
        <f t="shared" si="34"/>
        <v>0</v>
      </c>
      <c r="AP241" s="41">
        <f t="shared" si="32"/>
        <v>0</v>
      </c>
      <c r="AQ241" s="41">
        <f t="shared" si="32"/>
        <v>0</v>
      </c>
      <c r="AR241" s="41">
        <f t="shared" si="32"/>
        <v>0</v>
      </c>
      <c r="AS241" s="41">
        <f t="shared" si="32"/>
        <v>0</v>
      </c>
      <c r="AT241" s="41">
        <f t="shared" si="32"/>
        <v>0</v>
      </c>
      <c r="AU241" s="43">
        <f t="shared" si="31"/>
        <v>40</v>
      </c>
      <c r="AV241" s="43">
        <f t="shared" si="31"/>
        <v>80</v>
      </c>
      <c r="AW241" s="43">
        <f t="shared" si="31"/>
        <v>0</v>
      </c>
      <c r="AX241" s="43">
        <f t="shared" si="31"/>
        <v>0</v>
      </c>
      <c r="AY241" s="43">
        <f t="shared" si="31"/>
        <v>100</v>
      </c>
      <c r="AZ241" s="43">
        <f t="shared" si="33"/>
        <v>0</v>
      </c>
      <c r="BA241" s="43">
        <f t="shared" si="33"/>
        <v>0</v>
      </c>
      <c r="BB241" s="43">
        <f t="shared" si="33"/>
        <v>0</v>
      </c>
      <c r="BC241" s="43">
        <f t="shared" si="33"/>
        <v>0</v>
      </c>
      <c r="BD241" s="43">
        <f t="shared" si="33"/>
        <v>0</v>
      </c>
      <c r="BE241" s="43">
        <f t="shared" si="33"/>
        <v>0</v>
      </c>
      <c r="BF241" s="41">
        <f t="shared" si="29"/>
        <v>220</v>
      </c>
      <c r="BG241" s="41" t="str">
        <f t="array" ref="BG241">_xlfn.IFS(
OR(MONTH(A241)=11,MONTH(A241)=12,MONTH(A241)=1,MONTH(A241)=2),"Winter",
OR(MONTH(A241)=3,MONTH(A241)=4),"Spring",
OR(MONTH(A241)=5,MONTH(A241)=6),"Summer",
OR(MONTH(A241)=7,MONTH(A241)=8,MONTH(A241)=9),"Monsoon",
MONTH(A241)=10,"Autumn/Festive",
TRUE,""
)</f>
        <v>Autumn/Festive</v>
      </c>
    </row>
    <row r="242" spans="1:59" x14ac:dyDescent="0.3">
      <c r="A242" s="39">
        <v>45567</v>
      </c>
      <c r="B242" s="40" t="str">
        <f t="shared" si="27"/>
        <v>October</v>
      </c>
      <c r="C242" s="41">
        <v>6</v>
      </c>
      <c r="D242" s="41">
        <v>6</v>
      </c>
      <c r="E242" s="41">
        <v>0</v>
      </c>
      <c r="F242" s="41">
        <v>0</v>
      </c>
      <c r="G242" s="41">
        <v>2</v>
      </c>
      <c r="H242" s="41">
        <v>0</v>
      </c>
      <c r="I242" s="41">
        <v>0</v>
      </c>
      <c r="J242" s="41">
        <v>0</v>
      </c>
      <c r="K242" s="41">
        <v>0</v>
      </c>
      <c r="L242" s="41">
        <v>0</v>
      </c>
      <c r="M242" s="41">
        <v>0</v>
      </c>
      <c r="N242" s="42">
        <v>110</v>
      </c>
      <c r="O242" s="42">
        <v>110</v>
      </c>
      <c r="P242" s="42">
        <v>26</v>
      </c>
      <c r="Q242" s="42">
        <v>65</v>
      </c>
      <c r="R242" s="42">
        <v>200</v>
      </c>
      <c r="S242" s="42">
        <v>230</v>
      </c>
      <c r="T242" s="42">
        <v>250</v>
      </c>
      <c r="U242" s="42">
        <v>170</v>
      </c>
      <c r="V242" s="42">
        <v>25</v>
      </c>
      <c r="W242" s="42">
        <v>4</v>
      </c>
      <c r="X242" s="42">
        <v>265</v>
      </c>
      <c r="Y242" s="43">
        <v>130</v>
      </c>
      <c r="Z242" s="43">
        <v>150</v>
      </c>
      <c r="AA242" s="43">
        <v>30</v>
      </c>
      <c r="AB242" s="43">
        <v>95</v>
      </c>
      <c r="AC242" s="43">
        <v>250</v>
      </c>
      <c r="AD242" s="43">
        <v>260</v>
      </c>
      <c r="AE242" s="43">
        <v>280</v>
      </c>
      <c r="AF242" s="43">
        <v>200</v>
      </c>
      <c r="AG242" s="43">
        <v>30</v>
      </c>
      <c r="AH242" s="43">
        <v>6</v>
      </c>
      <c r="AI242" s="43">
        <v>300</v>
      </c>
      <c r="AJ242" s="41">
        <f t="shared" si="28"/>
        <v>780</v>
      </c>
      <c r="AK242" s="41">
        <f t="shared" si="34"/>
        <v>900</v>
      </c>
      <c r="AL242" s="41">
        <f t="shared" si="34"/>
        <v>0</v>
      </c>
      <c r="AM242" s="41">
        <f t="shared" si="34"/>
        <v>0</v>
      </c>
      <c r="AN242" s="41">
        <f t="shared" si="34"/>
        <v>500</v>
      </c>
      <c r="AO242" s="41">
        <f t="shared" si="34"/>
        <v>0</v>
      </c>
      <c r="AP242" s="41">
        <f t="shared" si="32"/>
        <v>0</v>
      </c>
      <c r="AQ242" s="41">
        <f t="shared" si="32"/>
        <v>0</v>
      </c>
      <c r="AR242" s="41">
        <f t="shared" si="32"/>
        <v>0</v>
      </c>
      <c r="AS242" s="41">
        <f t="shared" si="32"/>
        <v>0</v>
      </c>
      <c r="AT242" s="41">
        <f t="shared" si="32"/>
        <v>0</v>
      </c>
      <c r="AU242" s="43">
        <f t="shared" si="31"/>
        <v>120</v>
      </c>
      <c r="AV242" s="43">
        <f t="shared" si="31"/>
        <v>240</v>
      </c>
      <c r="AW242" s="43">
        <f t="shared" si="31"/>
        <v>0</v>
      </c>
      <c r="AX242" s="43">
        <f t="shared" si="31"/>
        <v>0</v>
      </c>
      <c r="AY242" s="43">
        <f t="shared" si="31"/>
        <v>100</v>
      </c>
      <c r="AZ242" s="43">
        <f t="shared" si="33"/>
        <v>0</v>
      </c>
      <c r="BA242" s="43">
        <f t="shared" si="33"/>
        <v>0</v>
      </c>
      <c r="BB242" s="43">
        <f t="shared" si="33"/>
        <v>0</v>
      </c>
      <c r="BC242" s="43">
        <f t="shared" si="33"/>
        <v>0</v>
      </c>
      <c r="BD242" s="43">
        <f t="shared" si="33"/>
        <v>0</v>
      </c>
      <c r="BE242" s="43">
        <f t="shared" si="33"/>
        <v>0</v>
      </c>
      <c r="BF242" s="41">
        <f t="shared" si="29"/>
        <v>460</v>
      </c>
      <c r="BG242" s="41" t="str">
        <f t="array" ref="BG242">_xlfn.IFS(
OR(MONTH(A242)=11,MONTH(A242)=12,MONTH(A242)=1,MONTH(A242)=2),"Winter",
OR(MONTH(A242)=3,MONTH(A242)=4),"Spring",
OR(MONTH(A242)=5,MONTH(A242)=6),"Summer",
OR(MONTH(A242)=7,MONTH(A242)=8,MONTH(A242)=9),"Monsoon",
MONTH(A242)=10,"Autumn/Festive",
TRUE,""
)</f>
        <v>Autumn/Festive</v>
      </c>
    </row>
    <row r="243" spans="1:59" x14ac:dyDescent="0.3">
      <c r="A243" s="39">
        <v>45568</v>
      </c>
      <c r="B243" s="40" t="str">
        <f t="shared" si="27"/>
        <v>October</v>
      </c>
      <c r="C243" s="41">
        <v>10</v>
      </c>
      <c r="D243" s="41">
        <v>4</v>
      </c>
      <c r="E243" s="41">
        <v>0</v>
      </c>
      <c r="F243" s="41">
        <v>4</v>
      </c>
      <c r="G243" s="41">
        <v>3</v>
      </c>
      <c r="H243" s="41">
        <v>3.5</v>
      </c>
      <c r="I243" s="41">
        <v>2</v>
      </c>
      <c r="J243" s="41">
        <v>0</v>
      </c>
      <c r="K243" s="41">
        <v>0</v>
      </c>
      <c r="L243" s="41">
        <v>0</v>
      </c>
      <c r="M243" s="41">
        <v>0</v>
      </c>
      <c r="N243" s="42">
        <v>110</v>
      </c>
      <c r="O243" s="42">
        <v>110</v>
      </c>
      <c r="P243" s="42">
        <v>26</v>
      </c>
      <c r="Q243" s="42">
        <v>65</v>
      </c>
      <c r="R243" s="42">
        <v>200</v>
      </c>
      <c r="S243" s="42">
        <v>230</v>
      </c>
      <c r="T243" s="42">
        <v>250</v>
      </c>
      <c r="U243" s="42">
        <v>170</v>
      </c>
      <c r="V243" s="42">
        <v>25</v>
      </c>
      <c r="W243" s="42">
        <v>4</v>
      </c>
      <c r="X243" s="42">
        <v>265</v>
      </c>
      <c r="Y243" s="43">
        <v>130</v>
      </c>
      <c r="Z243" s="43">
        <v>150</v>
      </c>
      <c r="AA243" s="43">
        <v>30</v>
      </c>
      <c r="AB243" s="43">
        <v>95</v>
      </c>
      <c r="AC243" s="43">
        <v>250</v>
      </c>
      <c r="AD243" s="43">
        <v>260</v>
      </c>
      <c r="AE243" s="43">
        <v>280</v>
      </c>
      <c r="AF243" s="43">
        <v>200</v>
      </c>
      <c r="AG243" s="43">
        <v>30</v>
      </c>
      <c r="AH243" s="43">
        <v>6</v>
      </c>
      <c r="AI243" s="43">
        <v>300</v>
      </c>
      <c r="AJ243" s="41">
        <f t="shared" si="28"/>
        <v>1300</v>
      </c>
      <c r="AK243" s="41">
        <f t="shared" si="34"/>
        <v>600</v>
      </c>
      <c r="AL243" s="41">
        <f t="shared" si="34"/>
        <v>0</v>
      </c>
      <c r="AM243" s="41">
        <f t="shared" si="34"/>
        <v>380</v>
      </c>
      <c r="AN243" s="41">
        <f t="shared" si="34"/>
        <v>750</v>
      </c>
      <c r="AO243" s="41">
        <f t="shared" si="34"/>
        <v>910</v>
      </c>
      <c r="AP243" s="41">
        <f t="shared" si="32"/>
        <v>560</v>
      </c>
      <c r="AQ243" s="41">
        <f t="shared" si="32"/>
        <v>0</v>
      </c>
      <c r="AR243" s="41">
        <f t="shared" si="32"/>
        <v>0</v>
      </c>
      <c r="AS243" s="41">
        <f t="shared" si="32"/>
        <v>0</v>
      </c>
      <c r="AT243" s="41">
        <f t="shared" si="32"/>
        <v>0</v>
      </c>
      <c r="AU243" s="43">
        <f t="shared" si="31"/>
        <v>200</v>
      </c>
      <c r="AV243" s="43">
        <f t="shared" si="31"/>
        <v>160</v>
      </c>
      <c r="AW243" s="43">
        <f t="shared" si="31"/>
        <v>0</v>
      </c>
      <c r="AX243" s="43">
        <f t="shared" si="31"/>
        <v>120</v>
      </c>
      <c r="AY243" s="43">
        <f t="shared" si="31"/>
        <v>150</v>
      </c>
      <c r="AZ243" s="43">
        <f t="shared" si="33"/>
        <v>105</v>
      </c>
      <c r="BA243" s="43">
        <f t="shared" si="33"/>
        <v>60</v>
      </c>
      <c r="BB243" s="43">
        <f t="shared" si="33"/>
        <v>0</v>
      </c>
      <c r="BC243" s="43">
        <f t="shared" si="33"/>
        <v>0</v>
      </c>
      <c r="BD243" s="43">
        <f t="shared" si="33"/>
        <v>0</v>
      </c>
      <c r="BE243" s="43">
        <f t="shared" si="33"/>
        <v>0</v>
      </c>
      <c r="BF243" s="41">
        <f t="shared" si="29"/>
        <v>795</v>
      </c>
      <c r="BG243" s="41" t="str">
        <f t="array" ref="BG243">_xlfn.IFS(
OR(MONTH(A243)=11,MONTH(A243)=12,MONTH(A243)=1,MONTH(A243)=2),"Winter",
OR(MONTH(A243)=3,MONTH(A243)=4),"Spring",
OR(MONTH(A243)=5,MONTH(A243)=6),"Summer",
OR(MONTH(A243)=7,MONTH(A243)=8,MONTH(A243)=9),"Monsoon",
MONTH(A243)=10,"Autumn/Festive",
TRUE,""
)</f>
        <v>Autumn/Festive</v>
      </c>
    </row>
    <row r="244" spans="1:59" x14ac:dyDescent="0.3">
      <c r="A244" s="39">
        <v>45569</v>
      </c>
      <c r="B244" s="40" t="str">
        <f t="shared" si="27"/>
        <v>October</v>
      </c>
      <c r="C244" s="41">
        <v>16</v>
      </c>
      <c r="D244" s="41">
        <v>8</v>
      </c>
      <c r="E244" s="41">
        <v>0</v>
      </c>
      <c r="F244" s="41">
        <v>3</v>
      </c>
      <c r="G244" s="41">
        <v>4</v>
      </c>
      <c r="H244" s="41">
        <v>0</v>
      </c>
      <c r="I244" s="41">
        <v>0</v>
      </c>
      <c r="J244" s="41">
        <v>0</v>
      </c>
      <c r="K244" s="41">
        <v>0</v>
      </c>
      <c r="L244" s="41">
        <v>0</v>
      </c>
      <c r="M244" s="41">
        <v>0</v>
      </c>
      <c r="N244" s="42">
        <v>110</v>
      </c>
      <c r="O244" s="42">
        <v>110</v>
      </c>
      <c r="P244" s="42">
        <v>26</v>
      </c>
      <c r="Q244" s="42">
        <v>65</v>
      </c>
      <c r="R244" s="42">
        <v>200</v>
      </c>
      <c r="S244" s="42">
        <v>230</v>
      </c>
      <c r="T244" s="42">
        <v>250</v>
      </c>
      <c r="U244" s="42">
        <v>170</v>
      </c>
      <c r="V244" s="42">
        <v>25</v>
      </c>
      <c r="W244" s="42">
        <v>4</v>
      </c>
      <c r="X244" s="42">
        <v>265</v>
      </c>
      <c r="Y244" s="43">
        <v>130</v>
      </c>
      <c r="Z244" s="43">
        <v>150</v>
      </c>
      <c r="AA244" s="43">
        <v>30</v>
      </c>
      <c r="AB244" s="43">
        <v>95</v>
      </c>
      <c r="AC244" s="43">
        <v>250</v>
      </c>
      <c r="AD244" s="43">
        <v>260</v>
      </c>
      <c r="AE244" s="43">
        <v>280</v>
      </c>
      <c r="AF244" s="43">
        <v>200</v>
      </c>
      <c r="AG244" s="43">
        <v>30</v>
      </c>
      <c r="AH244" s="43">
        <v>6</v>
      </c>
      <c r="AI244" s="43">
        <v>300</v>
      </c>
      <c r="AJ244" s="41">
        <f t="shared" si="28"/>
        <v>2080</v>
      </c>
      <c r="AK244" s="41">
        <f t="shared" si="34"/>
        <v>1200</v>
      </c>
      <c r="AL244" s="41">
        <f t="shared" si="34"/>
        <v>0</v>
      </c>
      <c r="AM244" s="41">
        <f t="shared" si="34"/>
        <v>285</v>
      </c>
      <c r="AN244" s="41">
        <f t="shared" si="34"/>
        <v>1000</v>
      </c>
      <c r="AO244" s="41">
        <f t="shared" si="34"/>
        <v>0</v>
      </c>
      <c r="AP244" s="41">
        <f t="shared" si="32"/>
        <v>0</v>
      </c>
      <c r="AQ244" s="41">
        <f t="shared" si="32"/>
        <v>0</v>
      </c>
      <c r="AR244" s="41">
        <f t="shared" si="32"/>
        <v>0</v>
      </c>
      <c r="AS244" s="41">
        <f t="shared" si="32"/>
        <v>0</v>
      </c>
      <c r="AT244" s="41">
        <f t="shared" si="32"/>
        <v>0</v>
      </c>
      <c r="AU244" s="43">
        <f t="shared" si="31"/>
        <v>320</v>
      </c>
      <c r="AV244" s="43">
        <f t="shared" si="31"/>
        <v>320</v>
      </c>
      <c r="AW244" s="43">
        <f t="shared" si="31"/>
        <v>0</v>
      </c>
      <c r="AX244" s="43">
        <f t="shared" si="31"/>
        <v>90</v>
      </c>
      <c r="AY244" s="43">
        <f t="shared" si="31"/>
        <v>200</v>
      </c>
      <c r="AZ244" s="43">
        <f t="shared" si="33"/>
        <v>0</v>
      </c>
      <c r="BA244" s="43">
        <f t="shared" si="33"/>
        <v>0</v>
      </c>
      <c r="BB244" s="43">
        <f t="shared" si="33"/>
        <v>0</v>
      </c>
      <c r="BC244" s="43">
        <f t="shared" si="33"/>
        <v>0</v>
      </c>
      <c r="BD244" s="43">
        <f t="shared" si="33"/>
        <v>0</v>
      </c>
      <c r="BE244" s="43">
        <f t="shared" si="33"/>
        <v>0</v>
      </c>
      <c r="BF244" s="41">
        <f t="shared" si="29"/>
        <v>930</v>
      </c>
      <c r="BG244" s="41" t="str">
        <f t="array" ref="BG244">_xlfn.IFS(
OR(MONTH(A244)=11,MONTH(A244)=12,MONTH(A244)=1,MONTH(A244)=2),"Winter",
OR(MONTH(A244)=3,MONTH(A244)=4),"Spring",
OR(MONTH(A244)=5,MONTH(A244)=6),"Summer",
OR(MONTH(A244)=7,MONTH(A244)=8,MONTH(A244)=9),"Monsoon",
MONTH(A244)=10,"Autumn/Festive",
TRUE,""
)</f>
        <v>Autumn/Festive</v>
      </c>
    </row>
    <row r="245" spans="1:59" x14ac:dyDescent="0.3">
      <c r="A245" s="39">
        <v>45570</v>
      </c>
      <c r="B245" s="40" t="str">
        <f t="shared" si="27"/>
        <v>October</v>
      </c>
      <c r="C245" s="41">
        <v>43</v>
      </c>
      <c r="D245" s="41">
        <v>14</v>
      </c>
      <c r="E245" s="41">
        <v>0</v>
      </c>
      <c r="F245" s="41">
        <v>4</v>
      </c>
      <c r="G245" s="41">
        <v>8</v>
      </c>
      <c r="H245" s="41">
        <v>0</v>
      </c>
      <c r="I245" s="41">
        <v>2</v>
      </c>
      <c r="J245" s="41">
        <v>0</v>
      </c>
      <c r="K245" s="41">
        <v>1</v>
      </c>
      <c r="L245" s="41">
        <v>6</v>
      </c>
      <c r="M245" s="41">
        <v>0</v>
      </c>
      <c r="N245" s="42">
        <v>110</v>
      </c>
      <c r="O245" s="42">
        <v>110</v>
      </c>
      <c r="P245" s="42">
        <v>26</v>
      </c>
      <c r="Q245" s="42">
        <v>65</v>
      </c>
      <c r="R245" s="42">
        <v>200</v>
      </c>
      <c r="S245" s="42">
        <v>230</v>
      </c>
      <c r="T245" s="42">
        <v>250</v>
      </c>
      <c r="U245" s="42">
        <v>170</v>
      </c>
      <c r="V245" s="42">
        <v>25</v>
      </c>
      <c r="W245" s="42">
        <v>4</v>
      </c>
      <c r="X245" s="42">
        <v>265</v>
      </c>
      <c r="Y245" s="43">
        <v>130</v>
      </c>
      <c r="Z245" s="43">
        <v>150</v>
      </c>
      <c r="AA245" s="43">
        <v>30</v>
      </c>
      <c r="AB245" s="43">
        <v>95</v>
      </c>
      <c r="AC245" s="43">
        <v>250</v>
      </c>
      <c r="AD245" s="43">
        <v>260</v>
      </c>
      <c r="AE245" s="43">
        <v>280</v>
      </c>
      <c r="AF245" s="43">
        <v>200</v>
      </c>
      <c r="AG245" s="43">
        <v>30</v>
      </c>
      <c r="AH245" s="43">
        <v>6</v>
      </c>
      <c r="AI245" s="43">
        <v>300</v>
      </c>
      <c r="AJ245" s="41">
        <f t="shared" si="28"/>
        <v>5590</v>
      </c>
      <c r="AK245" s="41">
        <f t="shared" si="34"/>
        <v>2100</v>
      </c>
      <c r="AL245" s="41">
        <f t="shared" si="34"/>
        <v>0</v>
      </c>
      <c r="AM245" s="41">
        <f t="shared" si="34"/>
        <v>380</v>
      </c>
      <c r="AN245" s="41">
        <f t="shared" si="34"/>
        <v>2000</v>
      </c>
      <c r="AO245" s="41">
        <f t="shared" si="34"/>
        <v>0</v>
      </c>
      <c r="AP245" s="41">
        <f t="shared" si="32"/>
        <v>560</v>
      </c>
      <c r="AQ245" s="41">
        <f t="shared" si="32"/>
        <v>0</v>
      </c>
      <c r="AR245" s="41">
        <f t="shared" si="32"/>
        <v>30</v>
      </c>
      <c r="AS245" s="41">
        <f t="shared" si="32"/>
        <v>36</v>
      </c>
      <c r="AT245" s="41">
        <f t="shared" si="32"/>
        <v>0</v>
      </c>
      <c r="AU245" s="43">
        <f t="shared" si="31"/>
        <v>860</v>
      </c>
      <c r="AV245" s="43">
        <f t="shared" si="31"/>
        <v>560</v>
      </c>
      <c r="AW245" s="43">
        <f t="shared" si="31"/>
        <v>0</v>
      </c>
      <c r="AX245" s="43">
        <f t="shared" si="31"/>
        <v>120</v>
      </c>
      <c r="AY245" s="43">
        <f t="shared" si="31"/>
        <v>400</v>
      </c>
      <c r="AZ245" s="43">
        <f t="shared" si="33"/>
        <v>0</v>
      </c>
      <c r="BA245" s="43">
        <f t="shared" si="33"/>
        <v>60</v>
      </c>
      <c r="BB245" s="43">
        <f t="shared" si="33"/>
        <v>0</v>
      </c>
      <c r="BC245" s="43">
        <f t="shared" si="33"/>
        <v>5</v>
      </c>
      <c r="BD245" s="43">
        <f t="shared" si="33"/>
        <v>12</v>
      </c>
      <c r="BE245" s="43">
        <f t="shared" si="33"/>
        <v>0</v>
      </c>
      <c r="BF245" s="41">
        <f t="shared" si="29"/>
        <v>2017</v>
      </c>
      <c r="BG245" s="41" t="str">
        <f t="array" ref="BG245">_xlfn.IFS(
OR(MONTH(A245)=11,MONTH(A245)=12,MONTH(A245)=1,MONTH(A245)=2),"Winter",
OR(MONTH(A245)=3,MONTH(A245)=4),"Spring",
OR(MONTH(A245)=5,MONTH(A245)=6),"Summer",
OR(MONTH(A245)=7,MONTH(A245)=8,MONTH(A245)=9),"Monsoon",
MONTH(A245)=10,"Autumn/Festive",
TRUE,""
)</f>
        <v>Autumn/Festive</v>
      </c>
    </row>
    <row r="246" spans="1:59" x14ac:dyDescent="0.3">
      <c r="A246" s="39">
        <v>45571</v>
      </c>
      <c r="B246" s="40" t="str">
        <f t="shared" si="27"/>
        <v>October</v>
      </c>
      <c r="C246" s="41">
        <v>37</v>
      </c>
      <c r="D246" s="41">
        <v>8</v>
      </c>
      <c r="E246" s="41">
        <v>0</v>
      </c>
      <c r="F246" s="41">
        <v>0</v>
      </c>
      <c r="G246" s="41">
        <v>7</v>
      </c>
      <c r="H246" s="41">
        <v>2</v>
      </c>
      <c r="I246" s="41">
        <v>2</v>
      </c>
      <c r="J246" s="41">
        <v>2</v>
      </c>
      <c r="K246" s="41">
        <v>2</v>
      </c>
      <c r="L246" s="41">
        <v>0</v>
      </c>
      <c r="M246" s="41">
        <v>3</v>
      </c>
      <c r="N246" s="42">
        <v>110</v>
      </c>
      <c r="O246" s="42">
        <v>110</v>
      </c>
      <c r="P246" s="42">
        <v>26</v>
      </c>
      <c r="Q246" s="42">
        <v>65</v>
      </c>
      <c r="R246" s="42">
        <v>200</v>
      </c>
      <c r="S246" s="42">
        <v>230</v>
      </c>
      <c r="T246" s="42">
        <v>250</v>
      </c>
      <c r="U246" s="42">
        <v>170</v>
      </c>
      <c r="V246" s="42">
        <v>25</v>
      </c>
      <c r="W246" s="42">
        <v>4</v>
      </c>
      <c r="X246" s="42">
        <v>265</v>
      </c>
      <c r="Y246" s="43">
        <v>130</v>
      </c>
      <c r="Z246" s="43">
        <v>150</v>
      </c>
      <c r="AA246" s="43">
        <v>30</v>
      </c>
      <c r="AB246" s="43">
        <v>95</v>
      </c>
      <c r="AC246" s="43">
        <v>250</v>
      </c>
      <c r="AD246" s="43">
        <v>260</v>
      </c>
      <c r="AE246" s="43">
        <v>280</v>
      </c>
      <c r="AF246" s="43">
        <v>200</v>
      </c>
      <c r="AG246" s="43">
        <v>30</v>
      </c>
      <c r="AH246" s="43">
        <v>6</v>
      </c>
      <c r="AI246" s="43">
        <v>300</v>
      </c>
      <c r="AJ246" s="41">
        <f t="shared" si="28"/>
        <v>4810</v>
      </c>
      <c r="AK246" s="41">
        <f t="shared" si="34"/>
        <v>1200</v>
      </c>
      <c r="AL246" s="41">
        <f t="shared" si="34"/>
        <v>0</v>
      </c>
      <c r="AM246" s="41">
        <f t="shared" si="34"/>
        <v>0</v>
      </c>
      <c r="AN246" s="41">
        <f t="shared" si="34"/>
        <v>1750</v>
      </c>
      <c r="AO246" s="41">
        <f t="shared" si="34"/>
        <v>520</v>
      </c>
      <c r="AP246" s="41">
        <f t="shared" si="32"/>
        <v>560</v>
      </c>
      <c r="AQ246" s="41">
        <f t="shared" si="32"/>
        <v>400</v>
      </c>
      <c r="AR246" s="41">
        <f t="shared" si="32"/>
        <v>60</v>
      </c>
      <c r="AS246" s="41">
        <f t="shared" si="32"/>
        <v>0</v>
      </c>
      <c r="AT246" s="41">
        <f t="shared" si="32"/>
        <v>900</v>
      </c>
      <c r="AU246" s="43">
        <f t="shared" si="31"/>
        <v>740</v>
      </c>
      <c r="AV246" s="43">
        <f t="shared" si="31"/>
        <v>320</v>
      </c>
      <c r="AW246" s="43">
        <f t="shared" si="31"/>
        <v>0</v>
      </c>
      <c r="AX246" s="43">
        <f t="shared" si="31"/>
        <v>0</v>
      </c>
      <c r="AY246" s="43">
        <f t="shared" si="31"/>
        <v>350</v>
      </c>
      <c r="AZ246" s="43">
        <f t="shared" si="33"/>
        <v>60</v>
      </c>
      <c r="BA246" s="43">
        <f t="shared" si="33"/>
        <v>60</v>
      </c>
      <c r="BB246" s="43">
        <f t="shared" si="33"/>
        <v>60</v>
      </c>
      <c r="BC246" s="43">
        <f t="shared" si="33"/>
        <v>10</v>
      </c>
      <c r="BD246" s="43">
        <f t="shared" si="33"/>
        <v>0</v>
      </c>
      <c r="BE246" s="43">
        <f t="shared" si="33"/>
        <v>105</v>
      </c>
      <c r="BF246" s="41">
        <f t="shared" si="29"/>
        <v>1705</v>
      </c>
      <c r="BG246" s="41" t="str">
        <f t="array" ref="BG246">_xlfn.IFS(
OR(MONTH(A246)=11,MONTH(A246)=12,MONTH(A246)=1,MONTH(A246)=2),"Winter",
OR(MONTH(A246)=3,MONTH(A246)=4),"Spring",
OR(MONTH(A246)=5,MONTH(A246)=6),"Summer",
OR(MONTH(A246)=7,MONTH(A246)=8,MONTH(A246)=9),"Monsoon",
MONTH(A246)=10,"Autumn/Festive",
TRUE,""
)</f>
        <v>Autumn/Festive</v>
      </c>
    </row>
    <row r="247" spans="1:59" x14ac:dyDescent="0.3">
      <c r="A247" s="39">
        <v>45572</v>
      </c>
      <c r="B247" s="40" t="str">
        <f t="shared" si="27"/>
        <v>October</v>
      </c>
      <c r="C247" s="41">
        <v>31</v>
      </c>
      <c r="D247" s="41">
        <v>4</v>
      </c>
      <c r="E247" s="41">
        <v>0</v>
      </c>
      <c r="F247" s="41">
        <v>2</v>
      </c>
      <c r="G247" s="41">
        <v>7</v>
      </c>
      <c r="H247" s="41">
        <v>2</v>
      </c>
      <c r="I247" s="41">
        <v>0</v>
      </c>
      <c r="J247" s="41">
        <v>0</v>
      </c>
      <c r="K247" s="41">
        <v>0</v>
      </c>
      <c r="L247" s="41">
        <v>0</v>
      </c>
      <c r="M247" s="41">
        <v>0</v>
      </c>
      <c r="N247" s="42">
        <v>110</v>
      </c>
      <c r="O247" s="42">
        <v>110</v>
      </c>
      <c r="P247" s="42">
        <v>26</v>
      </c>
      <c r="Q247" s="42">
        <v>65</v>
      </c>
      <c r="R247" s="42">
        <v>200</v>
      </c>
      <c r="S247" s="42">
        <v>230</v>
      </c>
      <c r="T247" s="42">
        <v>250</v>
      </c>
      <c r="U247" s="42">
        <v>170</v>
      </c>
      <c r="V247" s="42">
        <v>25</v>
      </c>
      <c r="W247" s="42">
        <v>4</v>
      </c>
      <c r="X247" s="42">
        <v>265</v>
      </c>
      <c r="Y247" s="43">
        <v>130</v>
      </c>
      <c r="Z247" s="43">
        <v>150</v>
      </c>
      <c r="AA247" s="43">
        <v>30</v>
      </c>
      <c r="AB247" s="43">
        <v>95</v>
      </c>
      <c r="AC247" s="43">
        <v>250</v>
      </c>
      <c r="AD247" s="43">
        <v>260</v>
      </c>
      <c r="AE247" s="43">
        <v>280</v>
      </c>
      <c r="AF247" s="43">
        <v>200</v>
      </c>
      <c r="AG247" s="43">
        <v>30</v>
      </c>
      <c r="AH247" s="43">
        <v>6</v>
      </c>
      <c r="AI247" s="43">
        <v>300</v>
      </c>
      <c r="AJ247" s="41">
        <f t="shared" si="28"/>
        <v>4030</v>
      </c>
      <c r="AK247" s="41">
        <f t="shared" si="34"/>
        <v>600</v>
      </c>
      <c r="AL247" s="41">
        <f t="shared" si="34"/>
        <v>0</v>
      </c>
      <c r="AM247" s="41">
        <f t="shared" si="34"/>
        <v>190</v>
      </c>
      <c r="AN247" s="41">
        <f t="shared" si="34"/>
        <v>1750</v>
      </c>
      <c r="AO247" s="41">
        <f t="shared" si="34"/>
        <v>520</v>
      </c>
      <c r="AP247" s="41">
        <f t="shared" si="32"/>
        <v>0</v>
      </c>
      <c r="AQ247" s="41">
        <f t="shared" si="32"/>
        <v>0</v>
      </c>
      <c r="AR247" s="41">
        <f t="shared" si="32"/>
        <v>0</v>
      </c>
      <c r="AS247" s="41">
        <f t="shared" si="32"/>
        <v>0</v>
      </c>
      <c r="AT247" s="41">
        <f t="shared" si="32"/>
        <v>0</v>
      </c>
      <c r="AU247" s="43">
        <f t="shared" si="31"/>
        <v>620</v>
      </c>
      <c r="AV247" s="43">
        <f t="shared" si="31"/>
        <v>160</v>
      </c>
      <c r="AW247" s="43">
        <f t="shared" si="31"/>
        <v>0</v>
      </c>
      <c r="AX247" s="43">
        <f t="shared" si="31"/>
        <v>60</v>
      </c>
      <c r="AY247" s="43">
        <f t="shared" si="31"/>
        <v>350</v>
      </c>
      <c r="AZ247" s="43">
        <f t="shared" si="33"/>
        <v>60</v>
      </c>
      <c r="BA247" s="43">
        <f t="shared" si="33"/>
        <v>0</v>
      </c>
      <c r="BB247" s="43">
        <f t="shared" si="33"/>
        <v>0</v>
      </c>
      <c r="BC247" s="43">
        <f t="shared" si="33"/>
        <v>0</v>
      </c>
      <c r="BD247" s="43">
        <f t="shared" si="33"/>
        <v>0</v>
      </c>
      <c r="BE247" s="43">
        <f t="shared" si="33"/>
        <v>0</v>
      </c>
      <c r="BF247" s="41">
        <f t="shared" si="29"/>
        <v>1250</v>
      </c>
      <c r="BG247" s="41" t="str">
        <f t="array" ref="BG247">_xlfn.IFS(
OR(MONTH(A247)=11,MONTH(A247)=12,MONTH(A247)=1,MONTH(A247)=2),"Winter",
OR(MONTH(A247)=3,MONTH(A247)=4),"Spring",
OR(MONTH(A247)=5,MONTH(A247)=6),"Summer",
OR(MONTH(A247)=7,MONTH(A247)=8,MONTH(A247)=9),"Monsoon",
MONTH(A247)=10,"Autumn/Festive",
TRUE,""
)</f>
        <v>Autumn/Festive</v>
      </c>
    </row>
    <row r="248" spans="1:59" x14ac:dyDescent="0.3">
      <c r="A248" s="39">
        <v>45573</v>
      </c>
      <c r="B248" s="40" t="str">
        <f t="shared" si="27"/>
        <v>October</v>
      </c>
      <c r="C248" s="41">
        <v>21</v>
      </c>
      <c r="D248" s="41">
        <v>0</v>
      </c>
      <c r="E248" s="41">
        <v>0</v>
      </c>
      <c r="F248" s="41">
        <v>4</v>
      </c>
      <c r="G248" s="41">
        <v>2</v>
      </c>
      <c r="H248" s="41">
        <v>0</v>
      </c>
      <c r="I248" s="41">
        <v>0</v>
      </c>
      <c r="J248" s="41">
        <v>2</v>
      </c>
      <c r="K248" s="41">
        <v>0</v>
      </c>
      <c r="L248" s="41">
        <v>0</v>
      </c>
      <c r="M248" s="41">
        <v>0</v>
      </c>
      <c r="N248" s="42">
        <v>110</v>
      </c>
      <c r="O248" s="42">
        <v>110</v>
      </c>
      <c r="P248" s="42">
        <v>26</v>
      </c>
      <c r="Q248" s="42">
        <v>65</v>
      </c>
      <c r="R248" s="42">
        <v>200</v>
      </c>
      <c r="S248" s="42">
        <v>230</v>
      </c>
      <c r="T248" s="42">
        <v>250</v>
      </c>
      <c r="U248" s="42">
        <v>170</v>
      </c>
      <c r="V248" s="42">
        <v>25</v>
      </c>
      <c r="W248" s="42">
        <v>4</v>
      </c>
      <c r="X248" s="42">
        <v>265</v>
      </c>
      <c r="Y248" s="43">
        <v>130</v>
      </c>
      <c r="Z248" s="43">
        <v>150</v>
      </c>
      <c r="AA248" s="43">
        <v>30</v>
      </c>
      <c r="AB248" s="43">
        <v>95</v>
      </c>
      <c r="AC248" s="43">
        <v>250</v>
      </c>
      <c r="AD248" s="43">
        <v>260</v>
      </c>
      <c r="AE248" s="43">
        <v>280</v>
      </c>
      <c r="AF248" s="43">
        <v>200</v>
      </c>
      <c r="AG248" s="43">
        <v>30</v>
      </c>
      <c r="AH248" s="43">
        <v>6</v>
      </c>
      <c r="AI248" s="43">
        <v>300</v>
      </c>
      <c r="AJ248" s="41">
        <f t="shared" si="28"/>
        <v>2730</v>
      </c>
      <c r="AK248" s="41">
        <f t="shared" si="34"/>
        <v>0</v>
      </c>
      <c r="AL248" s="41">
        <f t="shared" si="34"/>
        <v>0</v>
      </c>
      <c r="AM248" s="41">
        <f t="shared" si="34"/>
        <v>380</v>
      </c>
      <c r="AN248" s="41">
        <f t="shared" si="34"/>
        <v>500</v>
      </c>
      <c r="AO248" s="41">
        <f t="shared" si="34"/>
        <v>0</v>
      </c>
      <c r="AP248" s="41">
        <f t="shared" si="32"/>
        <v>0</v>
      </c>
      <c r="AQ248" s="41">
        <f t="shared" si="32"/>
        <v>400</v>
      </c>
      <c r="AR248" s="41">
        <f t="shared" si="32"/>
        <v>0</v>
      </c>
      <c r="AS248" s="41">
        <f t="shared" si="32"/>
        <v>0</v>
      </c>
      <c r="AT248" s="41">
        <f t="shared" si="32"/>
        <v>0</v>
      </c>
      <c r="AU248" s="43">
        <f t="shared" si="31"/>
        <v>420</v>
      </c>
      <c r="AV248" s="43">
        <f t="shared" si="31"/>
        <v>0</v>
      </c>
      <c r="AW248" s="43">
        <f t="shared" si="31"/>
        <v>0</v>
      </c>
      <c r="AX248" s="43">
        <f t="shared" si="31"/>
        <v>120</v>
      </c>
      <c r="AY248" s="43">
        <f t="shared" si="31"/>
        <v>100</v>
      </c>
      <c r="AZ248" s="43">
        <f t="shared" si="33"/>
        <v>0</v>
      </c>
      <c r="BA248" s="43">
        <f t="shared" si="33"/>
        <v>0</v>
      </c>
      <c r="BB248" s="43">
        <f t="shared" si="33"/>
        <v>60</v>
      </c>
      <c r="BC248" s="43">
        <f t="shared" si="33"/>
        <v>0</v>
      </c>
      <c r="BD248" s="43">
        <f t="shared" si="33"/>
        <v>0</v>
      </c>
      <c r="BE248" s="43">
        <f t="shared" si="33"/>
        <v>0</v>
      </c>
      <c r="BF248" s="41">
        <f t="shared" si="29"/>
        <v>700</v>
      </c>
      <c r="BG248" s="41" t="str">
        <f t="array" ref="BG248">_xlfn.IFS(
OR(MONTH(A248)=11,MONTH(A248)=12,MONTH(A248)=1,MONTH(A248)=2),"Winter",
OR(MONTH(A248)=3,MONTH(A248)=4),"Spring",
OR(MONTH(A248)=5,MONTH(A248)=6),"Summer",
OR(MONTH(A248)=7,MONTH(A248)=8,MONTH(A248)=9),"Monsoon",
MONTH(A248)=10,"Autumn/Festive",
TRUE,""
)</f>
        <v>Autumn/Festive</v>
      </c>
    </row>
    <row r="249" spans="1:59" x14ac:dyDescent="0.3">
      <c r="A249" s="39">
        <v>45574</v>
      </c>
      <c r="B249" s="40" t="str">
        <f t="shared" si="27"/>
        <v>October</v>
      </c>
      <c r="C249" s="41">
        <v>41</v>
      </c>
      <c r="D249" s="41">
        <v>7</v>
      </c>
      <c r="E249" s="41">
        <v>0</v>
      </c>
      <c r="F249" s="41">
        <v>4</v>
      </c>
      <c r="G249" s="41">
        <v>2</v>
      </c>
      <c r="H249" s="41">
        <v>0</v>
      </c>
      <c r="I249" s="41">
        <v>2</v>
      </c>
      <c r="J249" s="41">
        <v>0</v>
      </c>
      <c r="K249" s="41">
        <v>0</v>
      </c>
      <c r="L249" s="41">
        <v>0</v>
      </c>
      <c r="M249" s="41">
        <v>2</v>
      </c>
      <c r="N249" s="42">
        <v>110</v>
      </c>
      <c r="O249" s="42">
        <v>110</v>
      </c>
      <c r="P249" s="42">
        <v>26</v>
      </c>
      <c r="Q249" s="42">
        <v>65</v>
      </c>
      <c r="R249" s="42">
        <v>200</v>
      </c>
      <c r="S249" s="42">
        <v>230</v>
      </c>
      <c r="T249" s="42">
        <v>250</v>
      </c>
      <c r="U249" s="42">
        <v>170</v>
      </c>
      <c r="V249" s="42">
        <v>25</v>
      </c>
      <c r="W249" s="42">
        <v>4</v>
      </c>
      <c r="X249" s="42">
        <v>265</v>
      </c>
      <c r="Y249" s="43">
        <v>130</v>
      </c>
      <c r="Z249" s="43">
        <v>150</v>
      </c>
      <c r="AA249" s="43">
        <v>30</v>
      </c>
      <c r="AB249" s="43">
        <v>95</v>
      </c>
      <c r="AC249" s="43">
        <v>250</v>
      </c>
      <c r="AD249" s="43">
        <v>260</v>
      </c>
      <c r="AE249" s="43">
        <v>280</v>
      </c>
      <c r="AF249" s="43">
        <v>200</v>
      </c>
      <c r="AG249" s="43">
        <v>30</v>
      </c>
      <c r="AH249" s="43">
        <v>6</v>
      </c>
      <c r="AI249" s="43">
        <v>300</v>
      </c>
      <c r="AJ249" s="41">
        <f t="shared" si="28"/>
        <v>5330</v>
      </c>
      <c r="AK249" s="41">
        <f t="shared" si="34"/>
        <v>1050</v>
      </c>
      <c r="AL249" s="41">
        <f t="shared" si="34"/>
        <v>0</v>
      </c>
      <c r="AM249" s="41">
        <f t="shared" si="34"/>
        <v>380</v>
      </c>
      <c r="AN249" s="41">
        <f t="shared" si="34"/>
        <v>500</v>
      </c>
      <c r="AO249" s="41">
        <f t="shared" si="34"/>
        <v>0</v>
      </c>
      <c r="AP249" s="41">
        <f t="shared" si="32"/>
        <v>560</v>
      </c>
      <c r="AQ249" s="41">
        <f t="shared" si="32"/>
        <v>0</v>
      </c>
      <c r="AR249" s="41">
        <f t="shared" si="32"/>
        <v>0</v>
      </c>
      <c r="AS249" s="41">
        <f t="shared" si="32"/>
        <v>0</v>
      </c>
      <c r="AT249" s="41">
        <f t="shared" si="32"/>
        <v>600</v>
      </c>
      <c r="AU249" s="43">
        <f t="shared" si="31"/>
        <v>820</v>
      </c>
      <c r="AV249" s="43">
        <f t="shared" si="31"/>
        <v>280</v>
      </c>
      <c r="AW249" s="43">
        <f t="shared" si="31"/>
        <v>0</v>
      </c>
      <c r="AX249" s="43">
        <f t="shared" si="31"/>
        <v>120</v>
      </c>
      <c r="AY249" s="43">
        <f t="shared" si="31"/>
        <v>100</v>
      </c>
      <c r="AZ249" s="43">
        <f t="shared" si="33"/>
        <v>0</v>
      </c>
      <c r="BA249" s="43">
        <f t="shared" si="33"/>
        <v>60</v>
      </c>
      <c r="BB249" s="43">
        <f t="shared" si="33"/>
        <v>0</v>
      </c>
      <c r="BC249" s="43">
        <f t="shared" si="33"/>
        <v>0</v>
      </c>
      <c r="BD249" s="43">
        <f t="shared" si="33"/>
        <v>0</v>
      </c>
      <c r="BE249" s="43">
        <f t="shared" si="33"/>
        <v>70</v>
      </c>
      <c r="BF249" s="41">
        <f t="shared" si="29"/>
        <v>1450</v>
      </c>
      <c r="BG249" s="41" t="str">
        <f t="array" ref="BG249">_xlfn.IFS(
OR(MONTH(A249)=11,MONTH(A249)=12,MONTH(A249)=1,MONTH(A249)=2),"Winter",
OR(MONTH(A249)=3,MONTH(A249)=4),"Spring",
OR(MONTH(A249)=5,MONTH(A249)=6),"Summer",
OR(MONTH(A249)=7,MONTH(A249)=8,MONTH(A249)=9),"Monsoon",
MONTH(A249)=10,"Autumn/Festive",
TRUE,""
)</f>
        <v>Autumn/Festive</v>
      </c>
    </row>
    <row r="250" spans="1:59" x14ac:dyDescent="0.3">
      <c r="A250" s="39">
        <v>45575</v>
      </c>
      <c r="B250" s="40" t="str">
        <f t="shared" si="27"/>
        <v>October</v>
      </c>
      <c r="C250" s="41">
        <v>23</v>
      </c>
      <c r="D250" s="41">
        <v>12</v>
      </c>
      <c r="E250" s="41">
        <v>0</v>
      </c>
      <c r="F250" s="41">
        <v>5</v>
      </c>
      <c r="G250" s="41">
        <v>7</v>
      </c>
      <c r="H250" s="41">
        <v>2.5</v>
      </c>
      <c r="I250" s="41">
        <v>0</v>
      </c>
      <c r="J250" s="41">
        <v>0</v>
      </c>
      <c r="K250" s="41">
        <v>1</v>
      </c>
      <c r="L250" s="41">
        <v>0</v>
      </c>
      <c r="M250" s="41">
        <v>0</v>
      </c>
      <c r="N250" s="42">
        <v>110</v>
      </c>
      <c r="O250" s="42">
        <v>110</v>
      </c>
      <c r="P250" s="42">
        <v>26</v>
      </c>
      <c r="Q250" s="42">
        <v>65</v>
      </c>
      <c r="R250" s="42">
        <v>200</v>
      </c>
      <c r="S250" s="42">
        <v>230</v>
      </c>
      <c r="T250" s="42">
        <v>250</v>
      </c>
      <c r="U250" s="42">
        <v>170</v>
      </c>
      <c r="V250" s="42">
        <v>25</v>
      </c>
      <c r="W250" s="42">
        <v>4</v>
      </c>
      <c r="X250" s="42">
        <v>265</v>
      </c>
      <c r="Y250" s="43">
        <v>130</v>
      </c>
      <c r="Z250" s="43">
        <v>150</v>
      </c>
      <c r="AA250" s="43">
        <v>30</v>
      </c>
      <c r="AB250" s="43">
        <v>95</v>
      </c>
      <c r="AC250" s="43">
        <v>250</v>
      </c>
      <c r="AD250" s="43">
        <v>260</v>
      </c>
      <c r="AE250" s="43">
        <v>280</v>
      </c>
      <c r="AF250" s="43">
        <v>200</v>
      </c>
      <c r="AG250" s="43">
        <v>30</v>
      </c>
      <c r="AH250" s="43">
        <v>6</v>
      </c>
      <c r="AI250" s="43">
        <v>300</v>
      </c>
      <c r="AJ250" s="41">
        <f t="shared" si="28"/>
        <v>2990</v>
      </c>
      <c r="AK250" s="41">
        <f t="shared" si="34"/>
        <v>1800</v>
      </c>
      <c r="AL250" s="41">
        <f t="shared" si="34"/>
        <v>0</v>
      </c>
      <c r="AM250" s="41">
        <f t="shared" si="34"/>
        <v>475</v>
      </c>
      <c r="AN250" s="41">
        <f t="shared" si="34"/>
        <v>1750</v>
      </c>
      <c r="AO250" s="41">
        <f t="shared" si="34"/>
        <v>650</v>
      </c>
      <c r="AP250" s="41">
        <f t="shared" si="32"/>
        <v>0</v>
      </c>
      <c r="AQ250" s="41">
        <f t="shared" si="32"/>
        <v>0</v>
      </c>
      <c r="AR250" s="41">
        <f t="shared" si="32"/>
        <v>30</v>
      </c>
      <c r="AS250" s="41">
        <f t="shared" si="32"/>
        <v>0</v>
      </c>
      <c r="AT250" s="41">
        <f t="shared" si="32"/>
        <v>0</v>
      </c>
      <c r="AU250" s="43">
        <f t="shared" si="31"/>
        <v>460</v>
      </c>
      <c r="AV250" s="43">
        <f t="shared" si="31"/>
        <v>480</v>
      </c>
      <c r="AW250" s="43">
        <f t="shared" si="31"/>
        <v>0</v>
      </c>
      <c r="AX250" s="43">
        <f t="shared" si="31"/>
        <v>150</v>
      </c>
      <c r="AY250" s="43">
        <f t="shared" si="31"/>
        <v>350</v>
      </c>
      <c r="AZ250" s="43">
        <f t="shared" si="33"/>
        <v>75</v>
      </c>
      <c r="BA250" s="43">
        <f t="shared" si="33"/>
        <v>0</v>
      </c>
      <c r="BB250" s="43">
        <f t="shared" si="33"/>
        <v>0</v>
      </c>
      <c r="BC250" s="43">
        <f t="shared" si="33"/>
        <v>5</v>
      </c>
      <c r="BD250" s="43">
        <f t="shared" si="33"/>
        <v>0</v>
      </c>
      <c r="BE250" s="43">
        <f t="shared" si="33"/>
        <v>0</v>
      </c>
      <c r="BF250" s="41">
        <f t="shared" si="29"/>
        <v>1520</v>
      </c>
      <c r="BG250" s="41" t="str">
        <f t="array" ref="BG250">_xlfn.IFS(
OR(MONTH(A250)=11,MONTH(A250)=12,MONTH(A250)=1,MONTH(A250)=2),"Winter",
OR(MONTH(A250)=3,MONTH(A250)=4),"Spring",
OR(MONTH(A250)=5,MONTH(A250)=6),"Summer",
OR(MONTH(A250)=7,MONTH(A250)=8,MONTH(A250)=9),"Monsoon",
MONTH(A250)=10,"Autumn/Festive",
TRUE,""
)</f>
        <v>Autumn/Festive</v>
      </c>
    </row>
    <row r="251" spans="1:59" x14ac:dyDescent="0.3">
      <c r="A251" s="39">
        <v>45576</v>
      </c>
      <c r="B251" s="40" t="str">
        <f t="shared" si="27"/>
        <v>October</v>
      </c>
      <c r="C251" s="41">
        <v>99</v>
      </c>
      <c r="D251" s="41">
        <v>31</v>
      </c>
      <c r="E251" s="41">
        <v>0</v>
      </c>
      <c r="F251" s="41">
        <v>14</v>
      </c>
      <c r="G251" s="41">
        <v>4</v>
      </c>
      <c r="H251" s="41">
        <v>0</v>
      </c>
      <c r="I251" s="41">
        <v>2</v>
      </c>
      <c r="J251" s="41">
        <v>0</v>
      </c>
      <c r="K251" s="41">
        <v>0</v>
      </c>
      <c r="L251" s="41">
        <v>0</v>
      </c>
      <c r="M251" s="41">
        <v>0</v>
      </c>
      <c r="N251" s="42">
        <v>110</v>
      </c>
      <c r="O251" s="42">
        <v>110</v>
      </c>
      <c r="P251" s="42">
        <v>26</v>
      </c>
      <c r="Q251" s="42">
        <v>65</v>
      </c>
      <c r="R251" s="42">
        <v>200</v>
      </c>
      <c r="S251" s="42">
        <v>230</v>
      </c>
      <c r="T251" s="42">
        <v>250</v>
      </c>
      <c r="U251" s="42">
        <v>170</v>
      </c>
      <c r="V251" s="42">
        <v>25</v>
      </c>
      <c r="W251" s="42">
        <v>4</v>
      </c>
      <c r="X251" s="42">
        <v>265</v>
      </c>
      <c r="Y251" s="43">
        <v>130</v>
      </c>
      <c r="Z251" s="43">
        <v>150</v>
      </c>
      <c r="AA251" s="43">
        <v>30</v>
      </c>
      <c r="AB251" s="43">
        <v>95</v>
      </c>
      <c r="AC251" s="43">
        <v>250</v>
      </c>
      <c r="AD251" s="43">
        <v>260</v>
      </c>
      <c r="AE251" s="43">
        <v>280</v>
      </c>
      <c r="AF251" s="43">
        <v>200</v>
      </c>
      <c r="AG251" s="43">
        <v>30</v>
      </c>
      <c r="AH251" s="43">
        <v>6</v>
      </c>
      <c r="AI251" s="43">
        <v>300</v>
      </c>
      <c r="AJ251" s="41">
        <f t="shared" si="28"/>
        <v>12870</v>
      </c>
      <c r="AK251" s="41">
        <f t="shared" si="34"/>
        <v>4650</v>
      </c>
      <c r="AL251" s="41">
        <f t="shared" si="34"/>
        <v>0</v>
      </c>
      <c r="AM251" s="41">
        <f t="shared" si="34"/>
        <v>1330</v>
      </c>
      <c r="AN251" s="41">
        <f t="shared" si="34"/>
        <v>1000</v>
      </c>
      <c r="AO251" s="41">
        <f t="shared" si="34"/>
        <v>0</v>
      </c>
      <c r="AP251" s="41">
        <f t="shared" si="32"/>
        <v>560</v>
      </c>
      <c r="AQ251" s="41">
        <f t="shared" si="32"/>
        <v>0</v>
      </c>
      <c r="AR251" s="41">
        <f t="shared" si="32"/>
        <v>0</v>
      </c>
      <c r="AS251" s="41">
        <f t="shared" si="32"/>
        <v>0</v>
      </c>
      <c r="AT251" s="41">
        <f t="shared" si="32"/>
        <v>0</v>
      </c>
      <c r="AU251" s="43">
        <f t="shared" si="31"/>
        <v>1980</v>
      </c>
      <c r="AV251" s="43">
        <f t="shared" si="31"/>
        <v>1240</v>
      </c>
      <c r="AW251" s="43">
        <f t="shared" si="31"/>
        <v>0</v>
      </c>
      <c r="AX251" s="43">
        <f t="shared" si="31"/>
        <v>420</v>
      </c>
      <c r="AY251" s="43">
        <f t="shared" si="31"/>
        <v>200</v>
      </c>
      <c r="AZ251" s="43">
        <f t="shared" si="33"/>
        <v>0</v>
      </c>
      <c r="BA251" s="43">
        <f t="shared" si="33"/>
        <v>60</v>
      </c>
      <c r="BB251" s="43">
        <f t="shared" si="33"/>
        <v>0</v>
      </c>
      <c r="BC251" s="43">
        <f t="shared" si="33"/>
        <v>0</v>
      </c>
      <c r="BD251" s="43">
        <f t="shared" si="33"/>
        <v>0</v>
      </c>
      <c r="BE251" s="43">
        <f t="shared" si="33"/>
        <v>0</v>
      </c>
      <c r="BF251" s="41">
        <f t="shared" si="29"/>
        <v>3900</v>
      </c>
      <c r="BG251" s="41" t="str">
        <f t="array" ref="BG251">_xlfn.IFS(
OR(MONTH(A251)=11,MONTH(A251)=12,MONTH(A251)=1,MONTH(A251)=2),"Winter",
OR(MONTH(A251)=3,MONTH(A251)=4),"Spring",
OR(MONTH(A251)=5,MONTH(A251)=6),"Summer",
OR(MONTH(A251)=7,MONTH(A251)=8,MONTH(A251)=9),"Monsoon",
MONTH(A251)=10,"Autumn/Festive",
TRUE,""
)</f>
        <v>Autumn/Festive</v>
      </c>
    </row>
    <row r="252" spans="1:59" x14ac:dyDescent="0.3">
      <c r="A252" s="39">
        <v>45577</v>
      </c>
      <c r="B252" s="40" t="str">
        <f t="shared" si="27"/>
        <v>October</v>
      </c>
      <c r="C252" s="41">
        <v>25</v>
      </c>
      <c r="D252" s="41">
        <v>0</v>
      </c>
      <c r="E252" s="41">
        <v>0</v>
      </c>
      <c r="F252" s="41">
        <v>6</v>
      </c>
      <c r="G252" s="41">
        <v>11</v>
      </c>
      <c r="H252" s="41">
        <v>0</v>
      </c>
      <c r="I252" s="41">
        <v>4.5</v>
      </c>
      <c r="J252" s="41">
        <v>0</v>
      </c>
      <c r="K252" s="41">
        <v>2</v>
      </c>
      <c r="L252" s="41">
        <v>14</v>
      </c>
      <c r="M252" s="41">
        <v>0</v>
      </c>
      <c r="N252" s="42">
        <v>110</v>
      </c>
      <c r="O252" s="42">
        <v>110</v>
      </c>
      <c r="P252" s="42">
        <v>26</v>
      </c>
      <c r="Q252" s="42">
        <v>65</v>
      </c>
      <c r="R252" s="42">
        <v>200</v>
      </c>
      <c r="S252" s="42">
        <v>230</v>
      </c>
      <c r="T252" s="42">
        <v>250</v>
      </c>
      <c r="U252" s="42">
        <v>170</v>
      </c>
      <c r="V252" s="42">
        <v>25</v>
      </c>
      <c r="W252" s="42">
        <v>4</v>
      </c>
      <c r="X252" s="42">
        <v>265</v>
      </c>
      <c r="Y252" s="43">
        <v>130</v>
      </c>
      <c r="Z252" s="43">
        <v>150</v>
      </c>
      <c r="AA252" s="43">
        <v>30</v>
      </c>
      <c r="AB252" s="43">
        <v>95</v>
      </c>
      <c r="AC252" s="43">
        <v>250</v>
      </c>
      <c r="AD252" s="43">
        <v>260</v>
      </c>
      <c r="AE252" s="43">
        <v>280</v>
      </c>
      <c r="AF252" s="43">
        <v>200</v>
      </c>
      <c r="AG252" s="43">
        <v>30</v>
      </c>
      <c r="AH252" s="43">
        <v>6</v>
      </c>
      <c r="AI252" s="43">
        <v>300</v>
      </c>
      <c r="AJ252" s="41">
        <f t="shared" si="28"/>
        <v>3250</v>
      </c>
      <c r="AK252" s="41">
        <f t="shared" si="34"/>
        <v>0</v>
      </c>
      <c r="AL252" s="41">
        <f t="shared" si="34"/>
        <v>0</v>
      </c>
      <c r="AM252" s="41">
        <f t="shared" si="34"/>
        <v>570</v>
      </c>
      <c r="AN252" s="41">
        <f t="shared" si="34"/>
        <v>2750</v>
      </c>
      <c r="AO252" s="41">
        <f t="shared" si="34"/>
        <v>0</v>
      </c>
      <c r="AP252" s="41">
        <f t="shared" si="32"/>
        <v>1260</v>
      </c>
      <c r="AQ252" s="41">
        <f t="shared" si="32"/>
        <v>0</v>
      </c>
      <c r="AR252" s="41">
        <f t="shared" si="32"/>
        <v>60</v>
      </c>
      <c r="AS252" s="41">
        <f t="shared" si="32"/>
        <v>84</v>
      </c>
      <c r="AT252" s="41">
        <f t="shared" si="32"/>
        <v>0</v>
      </c>
      <c r="AU252" s="43">
        <f t="shared" si="31"/>
        <v>500</v>
      </c>
      <c r="AV252" s="43">
        <f t="shared" si="31"/>
        <v>0</v>
      </c>
      <c r="AW252" s="43">
        <f t="shared" si="31"/>
        <v>0</v>
      </c>
      <c r="AX252" s="43">
        <f t="shared" si="31"/>
        <v>180</v>
      </c>
      <c r="AY252" s="43">
        <f t="shared" si="31"/>
        <v>550</v>
      </c>
      <c r="AZ252" s="43">
        <f t="shared" si="33"/>
        <v>0</v>
      </c>
      <c r="BA252" s="43">
        <f t="shared" si="33"/>
        <v>135</v>
      </c>
      <c r="BB252" s="43">
        <f t="shared" si="33"/>
        <v>0</v>
      </c>
      <c r="BC252" s="43">
        <f t="shared" si="33"/>
        <v>10</v>
      </c>
      <c r="BD252" s="43">
        <f t="shared" si="33"/>
        <v>28</v>
      </c>
      <c r="BE252" s="43">
        <f t="shared" si="33"/>
        <v>0</v>
      </c>
      <c r="BF252" s="41">
        <f t="shared" si="29"/>
        <v>1403</v>
      </c>
      <c r="BG252" s="41" t="str">
        <f t="array" ref="BG252">_xlfn.IFS(
OR(MONTH(A252)=11,MONTH(A252)=12,MONTH(A252)=1,MONTH(A252)=2),"Winter",
OR(MONTH(A252)=3,MONTH(A252)=4),"Spring",
OR(MONTH(A252)=5,MONTH(A252)=6),"Summer",
OR(MONTH(A252)=7,MONTH(A252)=8,MONTH(A252)=9),"Monsoon",
MONTH(A252)=10,"Autumn/Festive",
TRUE,""
)</f>
        <v>Autumn/Festive</v>
      </c>
    </row>
    <row r="253" spans="1:59" x14ac:dyDescent="0.3">
      <c r="A253" s="39">
        <v>45578</v>
      </c>
      <c r="B253" s="40" t="str">
        <f t="shared" si="27"/>
        <v>October</v>
      </c>
      <c r="C253" s="41">
        <v>116</v>
      </c>
      <c r="D253" s="41">
        <v>23</v>
      </c>
      <c r="E253" s="41">
        <v>0</v>
      </c>
      <c r="F253" s="41">
        <v>5</v>
      </c>
      <c r="G253" s="41">
        <v>16</v>
      </c>
      <c r="H253" s="41">
        <v>2</v>
      </c>
      <c r="I253" s="41">
        <v>6.5</v>
      </c>
      <c r="J253" s="41">
        <v>0</v>
      </c>
      <c r="K253" s="41">
        <v>0</v>
      </c>
      <c r="L253" s="41">
        <v>0</v>
      </c>
      <c r="M253" s="41">
        <v>0</v>
      </c>
      <c r="N253" s="42">
        <v>110</v>
      </c>
      <c r="O253" s="42">
        <v>110</v>
      </c>
      <c r="P253" s="42">
        <v>26</v>
      </c>
      <c r="Q253" s="42">
        <v>65</v>
      </c>
      <c r="R253" s="42">
        <v>200</v>
      </c>
      <c r="S253" s="42">
        <v>230</v>
      </c>
      <c r="T253" s="42">
        <v>250</v>
      </c>
      <c r="U253" s="42">
        <v>170</v>
      </c>
      <c r="V253" s="42">
        <v>25</v>
      </c>
      <c r="W253" s="42">
        <v>4</v>
      </c>
      <c r="X253" s="42">
        <v>265</v>
      </c>
      <c r="Y253" s="43">
        <v>130</v>
      </c>
      <c r="Z253" s="43">
        <v>150</v>
      </c>
      <c r="AA253" s="43">
        <v>30</v>
      </c>
      <c r="AB253" s="43">
        <v>95</v>
      </c>
      <c r="AC253" s="43">
        <v>250</v>
      </c>
      <c r="AD253" s="43">
        <v>260</v>
      </c>
      <c r="AE253" s="43">
        <v>280</v>
      </c>
      <c r="AF253" s="43">
        <v>200</v>
      </c>
      <c r="AG253" s="43">
        <v>30</v>
      </c>
      <c r="AH253" s="43">
        <v>6</v>
      </c>
      <c r="AI253" s="43">
        <v>300</v>
      </c>
      <c r="AJ253" s="41">
        <f t="shared" si="28"/>
        <v>15080</v>
      </c>
      <c r="AK253" s="41">
        <f t="shared" si="34"/>
        <v>3450</v>
      </c>
      <c r="AL253" s="41">
        <f t="shared" si="34"/>
        <v>0</v>
      </c>
      <c r="AM253" s="41">
        <f t="shared" si="34"/>
        <v>475</v>
      </c>
      <c r="AN253" s="41">
        <f t="shared" si="34"/>
        <v>4000</v>
      </c>
      <c r="AO253" s="41">
        <f t="shared" si="34"/>
        <v>520</v>
      </c>
      <c r="AP253" s="41">
        <f t="shared" si="32"/>
        <v>1820</v>
      </c>
      <c r="AQ253" s="41">
        <f t="shared" si="32"/>
        <v>0</v>
      </c>
      <c r="AR253" s="41">
        <f t="shared" si="32"/>
        <v>0</v>
      </c>
      <c r="AS253" s="41">
        <f t="shared" si="32"/>
        <v>0</v>
      </c>
      <c r="AT253" s="41">
        <f t="shared" si="32"/>
        <v>0</v>
      </c>
      <c r="AU253" s="43">
        <f t="shared" si="31"/>
        <v>2320</v>
      </c>
      <c r="AV253" s="43">
        <f t="shared" si="31"/>
        <v>920</v>
      </c>
      <c r="AW253" s="43">
        <f t="shared" si="31"/>
        <v>0</v>
      </c>
      <c r="AX253" s="43">
        <f t="shared" si="31"/>
        <v>150</v>
      </c>
      <c r="AY253" s="43">
        <f t="shared" si="31"/>
        <v>800</v>
      </c>
      <c r="AZ253" s="43">
        <f t="shared" si="33"/>
        <v>60</v>
      </c>
      <c r="BA253" s="43">
        <f t="shared" si="33"/>
        <v>195</v>
      </c>
      <c r="BB253" s="43">
        <f t="shared" si="33"/>
        <v>0</v>
      </c>
      <c r="BC253" s="43">
        <f t="shared" si="33"/>
        <v>0</v>
      </c>
      <c r="BD253" s="43">
        <f t="shared" si="33"/>
        <v>0</v>
      </c>
      <c r="BE253" s="43">
        <f t="shared" si="33"/>
        <v>0</v>
      </c>
      <c r="BF253" s="41">
        <f t="shared" si="29"/>
        <v>4445</v>
      </c>
      <c r="BG253" s="41" t="str">
        <f t="array" ref="BG253">_xlfn.IFS(
OR(MONTH(A253)=11,MONTH(A253)=12,MONTH(A253)=1,MONTH(A253)=2),"Winter",
OR(MONTH(A253)=3,MONTH(A253)=4),"Spring",
OR(MONTH(A253)=5,MONTH(A253)=6),"Summer",
OR(MONTH(A253)=7,MONTH(A253)=8,MONTH(A253)=9),"Monsoon",
MONTH(A253)=10,"Autumn/Festive",
TRUE,""
)</f>
        <v>Autumn/Festive</v>
      </c>
    </row>
    <row r="254" spans="1:59" x14ac:dyDescent="0.3">
      <c r="A254" s="39">
        <v>45579</v>
      </c>
      <c r="B254" s="40" t="str">
        <f t="shared" si="27"/>
        <v>October</v>
      </c>
      <c r="C254" s="41">
        <v>162</v>
      </c>
      <c r="D254" s="41">
        <v>49</v>
      </c>
      <c r="E254" s="41">
        <v>0</v>
      </c>
      <c r="F254" s="41">
        <v>11</v>
      </c>
      <c r="G254" s="41">
        <v>12</v>
      </c>
      <c r="H254" s="41">
        <v>0</v>
      </c>
      <c r="I254" s="41">
        <v>0</v>
      </c>
      <c r="J254" s="41">
        <v>0</v>
      </c>
      <c r="K254" s="41">
        <v>0</v>
      </c>
      <c r="L254" s="41">
        <v>0</v>
      </c>
      <c r="M254" s="41">
        <v>0</v>
      </c>
      <c r="N254" s="42">
        <v>110</v>
      </c>
      <c r="O254" s="42">
        <v>110</v>
      </c>
      <c r="P254" s="42">
        <v>26</v>
      </c>
      <c r="Q254" s="42">
        <v>65</v>
      </c>
      <c r="R254" s="42">
        <v>200</v>
      </c>
      <c r="S254" s="42">
        <v>230</v>
      </c>
      <c r="T254" s="42">
        <v>250</v>
      </c>
      <c r="U254" s="42">
        <v>170</v>
      </c>
      <c r="V254" s="42">
        <v>25</v>
      </c>
      <c r="W254" s="42">
        <v>4</v>
      </c>
      <c r="X254" s="42">
        <v>265</v>
      </c>
      <c r="Y254" s="43">
        <v>130</v>
      </c>
      <c r="Z254" s="43">
        <v>150</v>
      </c>
      <c r="AA254" s="43">
        <v>30</v>
      </c>
      <c r="AB254" s="43">
        <v>95</v>
      </c>
      <c r="AC254" s="43">
        <v>250</v>
      </c>
      <c r="AD254" s="43">
        <v>260</v>
      </c>
      <c r="AE254" s="43">
        <v>280</v>
      </c>
      <c r="AF254" s="43">
        <v>200</v>
      </c>
      <c r="AG254" s="43">
        <v>30</v>
      </c>
      <c r="AH254" s="43">
        <v>6</v>
      </c>
      <c r="AI254" s="43">
        <v>300</v>
      </c>
      <c r="AJ254" s="41">
        <f t="shared" si="28"/>
        <v>21060</v>
      </c>
      <c r="AK254" s="41">
        <f t="shared" si="34"/>
        <v>7350</v>
      </c>
      <c r="AL254" s="41">
        <f t="shared" si="34"/>
        <v>0</v>
      </c>
      <c r="AM254" s="41">
        <f t="shared" si="34"/>
        <v>1045</v>
      </c>
      <c r="AN254" s="41">
        <f t="shared" si="34"/>
        <v>3000</v>
      </c>
      <c r="AO254" s="41">
        <f t="shared" si="34"/>
        <v>0</v>
      </c>
      <c r="AP254" s="41">
        <f t="shared" si="32"/>
        <v>0</v>
      </c>
      <c r="AQ254" s="41">
        <f t="shared" si="32"/>
        <v>0</v>
      </c>
      <c r="AR254" s="41">
        <f t="shared" si="32"/>
        <v>0</v>
      </c>
      <c r="AS254" s="41">
        <f t="shared" si="32"/>
        <v>0</v>
      </c>
      <c r="AT254" s="41">
        <f t="shared" si="32"/>
        <v>0</v>
      </c>
      <c r="AU254" s="43">
        <f t="shared" si="31"/>
        <v>3240</v>
      </c>
      <c r="AV254" s="43">
        <f t="shared" si="31"/>
        <v>1960</v>
      </c>
      <c r="AW254" s="43">
        <f t="shared" si="31"/>
        <v>0</v>
      </c>
      <c r="AX254" s="43">
        <f t="shared" si="31"/>
        <v>330</v>
      </c>
      <c r="AY254" s="43">
        <f t="shared" si="31"/>
        <v>600</v>
      </c>
      <c r="AZ254" s="43">
        <f t="shared" si="33"/>
        <v>0</v>
      </c>
      <c r="BA254" s="43">
        <f t="shared" si="33"/>
        <v>0</v>
      </c>
      <c r="BB254" s="43">
        <f t="shared" si="33"/>
        <v>0</v>
      </c>
      <c r="BC254" s="43">
        <f t="shared" si="33"/>
        <v>0</v>
      </c>
      <c r="BD254" s="43">
        <f t="shared" si="33"/>
        <v>0</v>
      </c>
      <c r="BE254" s="43">
        <f t="shared" si="33"/>
        <v>0</v>
      </c>
      <c r="BF254" s="41">
        <f t="shared" si="29"/>
        <v>6130</v>
      </c>
      <c r="BG254" s="41" t="str">
        <f t="array" ref="BG254">_xlfn.IFS(
OR(MONTH(A254)=11,MONTH(A254)=12,MONTH(A254)=1,MONTH(A254)=2),"Winter",
OR(MONTH(A254)=3,MONTH(A254)=4),"Spring",
OR(MONTH(A254)=5,MONTH(A254)=6),"Summer",
OR(MONTH(A254)=7,MONTH(A254)=8,MONTH(A254)=9),"Monsoon",
MONTH(A254)=10,"Autumn/Festive",
TRUE,""
)</f>
        <v>Autumn/Festive</v>
      </c>
    </row>
    <row r="255" spans="1:59" x14ac:dyDescent="0.3">
      <c r="A255" s="39">
        <v>45580</v>
      </c>
      <c r="B255" s="40" t="str">
        <f t="shared" si="27"/>
        <v>October</v>
      </c>
      <c r="C255" s="41">
        <v>104</v>
      </c>
      <c r="D255" s="41">
        <v>20</v>
      </c>
      <c r="E255" s="41">
        <v>0</v>
      </c>
      <c r="F255" s="41">
        <v>7</v>
      </c>
      <c r="G255" s="41">
        <v>14</v>
      </c>
      <c r="H255" s="41">
        <v>0.5</v>
      </c>
      <c r="I255" s="41">
        <v>6</v>
      </c>
      <c r="J255" s="41">
        <v>4</v>
      </c>
      <c r="K255" s="41">
        <v>0</v>
      </c>
      <c r="L255" s="41">
        <v>0</v>
      </c>
      <c r="M255" s="41">
        <v>3</v>
      </c>
      <c r="N255" s="42">
        <v>110</v>
      </c>
      <c r="O255" s="42">
        <v>110</v>
      </c>
      <c r="P255" s="42">
        <v>26</v>
      </c>
      <c r="Q255" s="42">
        <v>65</v>
      </c>
      <c r="R255" s="42">
        <v>200</v>
      </c>
      <c r="S255" s="42">
        <v>230</v>
      </c>
      <c r="T255" s="42">
        <v>250</v>
      </c>
      <c r="U255" s="42">
        <v>170</v>
      </c>
      <c r="V255" s="42">
        <v>25</v>
      </c>
      <c r="W255" s="42">
        <v>4</v>
      </c>
      <c r="X255" s="42">
        <v>265</v>
      </c>
      <c r="Y255" s="43">
        <v>130</v>
      </c>
      <c r="Z255" s="43">
        <v>150</v>
      </c>
      <c r="AA255" s="43">
        <v>30</v>
      </c>
      <c r="AB255" s="43">
        <v>95</v>
      </c>
      <c r="AC255" s="43">
        <v>250</v>
      </c>
      <c r="AD255" s="43">
        <v>260</v>
      </c>
      <c r="AE255" s="43">
        <v>280</v>
      </c>
      <c r="AF255" s="43">
        <v>200</v>
      </c>
      <c r="AG255" s="43">
        <v>30</v>
      </c>
      <c r="AH255" s="43">
        <v>6</v>
      </c>
      <c r="AI255" s="43">
        <v>300</v>
      </c>
      <c r="AJ255" s="41">
        <f t="shared" si="28"/>
        <v>13520</v>
      </c>
      <c r="AK255" s="41">
        <f t="shared" si="34"/>
        <v>3000</v>
      </c>
      <c r="AL255" s="41">
        <f t="shared" si="34"/>
        <v>0</v>
      </c>
      <c r="AM255" s="41">
        <f t="shared" si="34"/>
        <v>665</v>
      </c>
      <c r="AN255" s="41">
        <f t="shared" si="34"/>
        <v>3500</v>
      </c>
      <c r="AO255" s="41">
        <f t="shared" si="34"/>
        <v>130</v>
      </c>
      <c r="AP255" s="41">
        <f t="shared" si="32"/>
        <v>1680</v>
      </c>
      <c r="AQ255" s="41">
        <f t="shared" si="32"/>
        <v>800</v>
      </c>
      <c r="AR255" s="41">
        <f t="shared" si="32"/>
        <v>0</v>
      </c>
      <c r="AS255" s="41">
        <f t="shared" si="32"/>
        <v>0</v>
      </c>
      <c r="AT255" s="41">
        <f t="shared" si="32"/>
        <v>900</v>
      </c>
      <c r="AU255" s="43">
        <f t="shared" si="31"/>
        <v>2080</v>
      </c>
      <c r="AV255" s="43">
        <f t="shared" si="31"/>
        <v>800</v>
      </c>
      <c r="AW255" s="43">
        <f t="shared" si="31"/>
        <v>0</v>
      </c>
      <c r="AX255" s="43">
        <f t="shared" si="31"/>
        <v>210</v>
      </c>
      <c r="AY255" s="43">
        <f t="shared" si="31"/>
        <v>700</v>
      </c>
      <c r="AZ255" s="43">
        <f t="shared" si="33"/>
        <v>15</v>
      </c>
      <c r="BA255" s="43">
        <f t="shared" si="33"/>
        <v>180</v>
      </c>
      <c r="BB255" s="43">
        <f t="shared" si="33"/>
        <v>120</v>
      </c>
      <c r="BC255" s="43">
        <f t="shared" si="33"/>
        <v>0</v>
      </c>
      <c r="BD255" s="43">
        <f t="shared" si="33"/>
        <v>0</v>
      </c>
      <c r="BE255" s="43">
        <f t="shared" si="33"/>
        <v>105</v>
      </c>
      <c r="BF255" s="41">
        <f t="shared" si="29"/>
        <v>4210</v>
      </c>
      <c r="BG255" s="41" t="str">
        <f t="array" ref="BG255">_xlfn.IFS(
OR(MONTH(A255)=11,MONTH(A255)=12,MONTH(A255)=1,MONTH(A255)=2),"Winter",
OR(MONTH(A255)=3,MONTH(A255)=4),"Spring",
OR(MONTH(A255)=5,MONTH(A255)=6),"Summer",
OR(MONTH(A255)=7,MONTH(A255)=8,MONTH(A255)=9),"Monsoon",
MONTH(A255)=10,"Autumn/Festive",
TRUE,""
)</f>
        <v>Autumn/Festive</v>
      </c>
    </row>
    <row r="256" spans="1:59" x14ac:dyDescent="0.3">
      <c r="A256" s="39">
        <v>45581</v>
      </c>
      <c r="B256" s="40" t="str">
        <f t="shared" si="27"/>
        <v>October</v>
      </c>
      <c r="C256" s="41">
        <v>201</v>
      </c>
      <c r="D256" s="41">
        <v>11</v>
      </c>
      <c r="E256" s="41">
        <v>0</v>
      </c>
      <c r="F256" s="41">
        <v>14</v>
      </c>
      <c r="G256" s="41">
        <v>5</v>
      </c>
      <c r="H256" s="41">
        <v>0</v>
      </c>
      <c r="I256" s="41">
        <v>6.5</v>
      </c>
      <c r="J256" s="41">
        <v>0</v>
      </c>
      <c r="K256" s="41">
        <v>1</v>
      </c>
      <c r="L256" s="41">
        <v>0</v>
      </c>
      <c r="M256" s="41">
        <v>2</v>
      </c>
      <c r="N256" s="42">
        <v>110</v>
      </c>
      <c r="O256" s="42">
        <v>110</v>
      </c>
      <c r="P256" s="42">
        <v>26</v>
      </c>
      <c r="Q256" s="42">
        <v>65</v>
      </c>
      <c r="R256" s="42">
        <v>200</v>
      </c>
      <c r="S256" s="42">
        <v>230</v>
      </c>
      <c r="T256" s="42">
        <v>250</v>
      </c>
      <c r="U256" s="42">
        <v>170</v>
      </c>
      <c r="V256" s="42">
        <v>25</v>
      </c>
      <c r="W256" s="42">
        <v>4</v>
      </c>
      <c r="X256" s="42">
        <v>265</v>
      </c>
      <c r="Y256" s="43">
        <v>130</v>
      </c>
      <c r="Z256" s="43">
        <v>150</v>
      </c>
      <c r="AA256" s="43">
        <v>30</v>
      </c>
      <c r="AB256" s="43">
        <v>95</v>
      </c>
      <c r="AC256" s="43">
        <v>250</v>
      </c>
      <c r="AD256" s="43">
        <v>260</v>
      </c>
      <c r="AE256" s="43">
        <v>280</v>
      </c>
      <c r="AF256" s="43">
        <v>200</v>
      </c>
      <c r="AG256" s="43">
        <v>30</v>
      </c>
      <c r="AH256" s="43">
        <v>6</v>
      </c>
      <c r="AI256" s="43">
        <v>300</v>
      </c>
      <c r="AJ256" s="41">
        <f t="shared" si="28"/>
        <v>26130</v>
      </c>
      <c r="AK256" s="41">
        <f t="shared" si="34"/>
        <v>1650</v>
      </c>
      <c r="AL256" s="41">
        <f t="shared" si="34"/>
        <v>0</v>
      </c>
      <c r="AM256" s="41">
        <f t="shared" si="34"/>
        <v>1330</v>
      </c>
      <c r="AN256" s="41">
        <f t="shared" si="34"/>
        <v>1250</v>
      </c>
      <c r="AO256" s="41">
        <f t="shared" si="34"/>
        <v>0</v>
      </c>
      <c r="AP256" s="41">
        <f t="shared" si="32"/>
        <v>1820</v>
      </c>
      <c r="AQ256" s="41">
        <f t="shared" si="32"/>
        <v>0</v>
      </c>
      <c r="AR256" s="41">
        <f t="shared" si="32"/>
        <v>30</v>
      </c>
      <c r="AS256" s="41">
        <f t="shared" si="32"/>
        <v>0</v>
      </c>
      <c r="AT256" s="41">
        <f t="shared" si="32"/>
        <v>600</v>
      </c>
      <c r="AU256" s="43">
        <f t="shared" si="31"/>
        <v>4020</v>
      </c>
      <c r="AV256" s="43">
        <f t="shared" si="31"/>
        <v>440</v>
      </c>
      <c r="AW256" s="43">
        <f t="shared" si="31"/>
        <v>0</v>
      </c>
      <c r="AX256" s="43">
        <f t="shared" si="31"/>
        <v>420</v>
      </c>
      <c r="AY256" s="43">
        <f t="shared" si="31"/>
        <v>250</v>
      </c>
      <c r="AZ256" s="43">
        <f t="shared" si="33"/>
        <v>0</v>
      </c>
      <c r="BA256" s="43">
        <f t="shared" si="33"/>
        <v>195</v>
      </c>
      <c r="BB256" s="43">
        <f t="shared" si="33"/>
        <v>0</v>
      </c>
      <c r="BC256" s="43">
        <f t="shared" si="33"/>
        <v>5</v>
      </c>
      <c r="BD256" s="43">
        <f t="shared" si="33"/>
        <v>0</v>
      </c>
      <c r="BE256" s="43">
        <f t="shared" si="33"/>
        <v>70</v>
      </c>
      <c r="BF256" s="41">
        <f t="shared" si="29"/>
        <v>5400</v>
      </c>
      <c r="BG256" s="41" t="str">
        <f t="array" ref="BG256">_xlfn.IFS(
OR(MONTH(A256)=11,MONTH(A256)=12,MONTH(A256)=1,MONTH(A256)=2),"Winter",
OR(MONTH(A256)=3,MONTH(A256)=4),"Spring",
OR(MONTH(A256)=5,MONTH(A256)=6),"Summer",
OR(MONTH(A256)=7,MONTH(A256)=8,MONTH(A256)=9),"Monsoon",
MONTH(A256)=10,"Autumn/Festive",
TRUE,""
)</f>
        <v>Autumn/Festive</v>
      </c>
    </row>
    <row r="257" spans="1:59" x14ac:dyDescent="0.3">
      <c r="A257" s="39">
        <v>45582</v>
      </c>
      <c r="B257" s="40" t="str">
        <f t="shared" si="27"/>
        <v>October</v>
      </c>
      <c r="C257" s="41">
        <v>107</v>
      </c>
      <c r="D257" s="41">
        <v>10</v>
      </c>
      <c r="E257" s="41">
        <v>0</v>
      </c>
      <c r="F257" s="41">
        <v>9</v>
      </c>
      <c r="G257" s="41">
        <v>7</v>
      </c>
      <c r="H257" s="41">
        <v>0.5</v>
      </c>
      <c r="I257" s="41">
        <v>1.5</v>
      </c>
      <c r="J257" s="41">
        <v>0</v>
      </c>
      <c r="K257" s="41">
        <v>0</v>
      </c>
      <c r="L257" s="41">
        <v>0</v>
      </c>
      <c r="M257" s="41">
        <v>0</v>
      </c>
      <c r="N257" s="42">
        <v>110</v>
      </c>
      <c r="O257" s="42">
        <v>110</v>
      </c>
      <c r="P257" s="42">
        <v>26</v>
      </c>
      <c r="Q257" s="42">
        <v>65</v>
      </c>
      <c r="R257" s="42">
        <v>200</v>
      </c>
      <c r="S257" s="42">
        <v>230</v>
      </c>
      <c r="T257" s="42">
        <v>250</v>
      </c>
      <c r="U257" s="42">
        <v>170</v>
      </c>
      <c r="V257" s="42">
        <v>25</v>
      </c>
      <c r="W257" s="42">
        <v>4</v>
      </c>
      <c r="X257" s="42">
        <v>265</v>
      </c>
      <c r="Y257" s="43">
        <v>130</v>
      </c>
      <c r="Z257" s="43">
        <v>150</v>
      </c>
      <c r="AA257" s="43">
        <v>30</v>
      </c>
      <c r="AB257" s="43">
        <v>95</v>
      </c>
      <c r="AC257" s="43">
        <v>250</v>
      </c>
      <c r="AD257" s="43">
        <v>260</v>
      </c>
      <c r="AE257" s="43">
        <v>280</v>
      </c>
      <c r="AF257" s="43">
        <v>200</v>
      </c>
      <c r="AG257" s="43">
        <v>30</v>
      </c>
      <c r="AH257" s="43">
        <v>6</v>
      </c>
      <c r="AI257" s="43">
        <v>300</v>
      </c>
      <c r="AJ257" s="41">
        <f t="shared" si="28"/>
        <v>13910</v>
      </c>
      <c r="AK257" s="41">
        <f t="shared" si="34"/>
        <v>1500</v>
      </c>
      <c r="AL257" s="41">
        <f t="shared" si="34"/>
        <v>0</v>
      </c>
      <c r="AM257" s="41">
        <f t="shared" si="34"/>
        <v>855</v>
      </c>
      <c r="AN257" s="41">
        <f t="shared" si="34"/>
        <v>1750</v>
      </c>
      <c r="AO257" s="41">
        <f t="shared" si="34"/>
        <v>130</v>
      </c>
      <c r="AP257" s="41">
        <f t="shared" si="32"/>
        <v>420</v>
      </c>
      <c r="AQ257" s="41">
        <f t="shared" si="32"/>
        <v>0</v>
      </c>
      <c r="AR257" s="41">
        <f t="shared" si="32"/>
        <v>0</v>
      </c>
      <c r="AS257" s="41">
        <f t="shared" si="32"/>
        <v>0</v>
      </c>
      <c r="AT257" s="41">
        <f t="shared" si="32"/>
        <v>0</v>
      </c>
      <c r="AU257" s="43">
        <f t="shared" si="31"/>
        <v>2140</v>
      </c>
      <c r="AV257" s="43">
        <f t="shared" si="31"/>
        <v>400</v>
      </c>
      <c r="AW257" s="43">
        <f t="shared" si="31"/>
        <v>0</v>
      </c>
      <c r="AX257" s="43">
        <f t="shared" si="31"/>
        <v>270</v>
      </c>
      <c r="AY257" s="43">
        <f t="shared" si="31"/>
        <v>350</v>
      </c>
      <c r="AZ257" s="43">
        <f t="shared" si="33"/>
        <v>15</v>
      </c>
      <c r="BA257" s="43">
        <f t="shared" si="33"/>
        <v>45</v>
      </c>
      <c r="BB257" s="43">
        <f t="shared" si="33"/>
        <v>0</v>
      </c>
      <c r="BC257" s="43">
        <f t="shared" si="33"/>
        <v>0</v>
      </c>
      <c r="BD257" s="43">
        <f t="shared" si="33"/>
        <v>0</v>
      </c>
      <c r="BE257" s="43">
        <f t="shared" si="33"/>
        <v>0</v>
      </c>
      <c r="BF257" s="41">
        <f t="shared" si="29"/>
        <v>3220</v>
      </c>
      <c r="BG257" s="41" t="str">
        <f t="array" ref="BG257">_xlfn.IFS(
OR(MONTH(A257)=11,MONTH(A257)=12,MONTH(A257)=1,MONTH(A257)=2),"Winter",
OR(MONTH(A257)=3,MONTH(A257)=4),"Spring",
OR(MONTH(A257)=5,MONTH(A257)=6),"Summer",
OR(MONTH(A257)=7,MONTH(A257)=8,MONTH(A257)=9),"Monsoon",
MONTH(A257)=10,"Autumn/Festive",
TRUE,""
)</f>
        <v>Autumn/Festive</v>
      </c>
    </row>
    <row r="258" spans="1:59" x14ac:dyDescent="0.3">
      <c r="A258" s="39">
        <v>45583</v>
      </c>
      <c r="B258" s="40" t="str">
        <f t="shared" si="27"/>
        <v>October</v>
      </c>
      <c r="C258" s="41">
        <v>130</v>
      </c>
      <c r="D258" s="41">
        <v>10</v>
      </c>
      <c r="E258" s="41">
        <v>0</v>
      </c>
      <c r="F258" s="41">
        <v>10</v>
      </c>
      <c r="G258" s="41">
        <v>13</v>
      </c>
      <c r="H258" s="41">
        <v>2</v>
      </c>
      <c r="I258" s="41">
        <v>0</v>
      </c>
      <c r="J258" s="41">
        <v>0</v>
      </c>
      <c r="K258" s="41">
        <v>1</v>
      </c>
      <c r="L258" s="41">
        <v>12</v>
      </c>
      <c r="M258" s="41">
        <v>1</v>
      </c>
      <c r="N258" s="42">
        <v>110</v>
      </c>
      <c r="O258" s="42">
        <v>110</v>
      </c>
      <c r="P258" s="42">
        <v>26</v>
      </c>
      <c r="Q258" s="42">
        <v>65</v>
      </c>
      <c r="R258" s="42">
        <v>200</v>
      </c>
      <c r="S258" s="42">
        <v>230</v>
      </c>
      <c r="T258" s="42">
        <v>250</v>
      </c>
      <c r="U258" s="42">
        <v>170</v>
      </c>
      <c r="V258" s="42">
        <v>25</v>
      </c>
      <c r="W258" s="42">
        <v>4</v>
      </c>
      <c r="X258" s="42">
        <v>265</v>
      </c>
      <c r="Y258" s="43">
        <v>130</v>
      </c>
      <c r="Z258" s="43">
        <v>150</v>
      </c>
      <c r="AA258" s="43">
        <v>30</v>
      </c>
      <c r="AB258" s="43">
        <v>95</v>
      </c>
      <c r="AC258" s="43">
        <v>250</v>
      </c>
      <c r="AD258" s="43">
        <v>260</v>
      </c>
      <c r="AE258" s="43">
        <v>280</v>
      </c>
      <c r="AF258" s="43">
        <v>200</v>
      </c>
      <c r="AG258" s="43">
        <v>30</v>
      </c>
      <c r="AH258" s="43">
        <v>6</v>
      </c>
      <c r="AI258" s="43">
        <v>300</v>
      </c>
      <c r="AJ258" s="41">
        <f t="shared" si="28"/>
        <v>16900</v>
      </c>
      <c r="AK258" s="41">
        <f t="shared" si="34"/>
        <v>1500</v>
      </c>
      <c r="AL258" s="41">
        <f t="shared" si="34"/>
        <v>0</v>
      </c>
      <c r="AM258" s="41">
        <f t="shared" si="34"/>
        <v>950</v>
      </c>
      <c r="AN258" s="41">
        <f t="shared" si="34"/>
        <v>3250</v>
      </c>
      <c r="AO258" s="41">
        <f t="shared" si="34"/>
        <v>520</v>
      </c>
      <c r="AP258" s="41">
        <f t="shared" si="32"/>
        <v>0</v>
      </c>
      <c r="AQ258" s="41">
        <f t="shared" si="32"/>
        <v>0</v>
      </c>
      <c r="AR258" s="41">
        <f t="shared" si="32"/>
        <v>30</v>
      </c>
      <c r="AS258" s="41">
        <f t="shared" si="32"/>
        <v>72</v>
      </c>
      <c r="AT258" s="41">
        <f t="shared" si="32"/>
        <v>300</v>
      </c>
      <c r="AU258" s="43">
        <f t="shared" si="31"/>
        <v>2600</v>
      </c>
      <c r="AV258" s="43">
        <f t="shared" si="31"/>
        <v>400</v>
      </c>
      <c r="AW258" s="43">
        <f t="shared" si="31"/>
        <v>0</v>
      </c>
      <c r="AX258" s="43">
        <f t="shared" si="31"/>
        <v>300</v>
      </c>
      <c r="AY258" s="43">
        <f t="shared" si="31"/>
        <v>650</v>
      </c>
      <c r="AZ258" s="43">
        <f t="shared" si="33"/>
        <v>60</v>
      </c>
      <c r="BA258" s="43">
        <f t="shared" si="33"/>
        <v>0</v>
      </c>
      <c r="BB258" s="43">
        <f t="shared" si="33"/>
        <v>0</v>
      </c>
      <c r="BC258" s="43">
        <f t="shared" si="33"/>
        <v>5</v>
      </c>
      <c r="BD258" s="43">
        <f t="shared" si="33"/>
        <v>24</v>
      </c>
      <c r="BE258" s="43">
        <f t="shared" si="33"/>
        <v>35</v>
      </c>
      <c r="BF258" s="41">
        <f t="shared" si="29"/>
        <v>4074</v>
      </c>
      <c r="BG258" s="41" t="str">
        <f t="array" ref="BG258">_xlfn.IFS(
OR(MONTH(A258)=11,MONTH(A258)=12,MONTH(A258)=1,MONTH(A258)=2),"Winter",
OR(MONTH(A258)=3,MONTH(A258)=4),"Spring",
OR(MONTH(A258)=5,MONTH(A258)=6),"Summer",
OR(MONTH(A258)=7,MONTH(A258)=8,MONTH(A258)=9),"Monsoon",
MONTH(A258)=10,"Autumn/Festive",
TRUE,""
)</f>
        <v>Autumn/Festive</v>
      </c>
    </row>
    <row r="259" spans="1:59" x14ac:dyDescent="0.3">
      <c r="A259" s="39">
        <v>45584</v>
      </c>
      <c r="B259" s="40" t="str">
        <f t="shared" si="27"/>
        <v>October</v>
      </c>
      <c r="C259" s="41">
        <v>93</v>
      </c>
      <c r="D259" s="41">
        <v>10</v>
      </c>
      <c r="E259" s="41">
        <v>0</v>
      </c>
      <c r="F259" s="41">
        <v>8</v>
      </c>
      <c r="G259" s="41">
        <v>10</v>
      </c>
      <c r="H259" s="41">
        <v>3</v>
      </c>
      <c r="I259" s="41">
        <v>4.5</v>
      </c>
      <c r="J259" s="41">
        <v>2</v>
      </c>
      <c r="K259" s="41">
        <v>3</v>
      </c>
      <c r="L259" s="41">
        <v>0</v>
      </c>
      <c r="M259" s="41">
        <v>0</v>
      </c>
      <c r="N259" s="42">
        <v>110</v>
      </c>
      <c r="O259" s="42">
        <v>110</v>
      </c>
      <c r="P259" s="42">
        <v>26</v>
      </c>
      <c r="Q259" s="42">
        <v>65</v>
      </c>
      <c r="R259" s="42">
        <v>200</v>
      </c>
      <c r="S259" s="42">
        <v>230</v>
      </c>
      <c r="T259" s="42">
        <v>250</v>
      </c>
      <c r="U259" s="42">
        <v>170</v>
      </c>
      <c r="V259" s="42">
        <v>25</v>
      </c>
      <c r="W259" s="42">
        <v>4</v>
      </c>
      <c r="X259" s="42">
        <v>265</v>
      </c>
      <c r="Y259" s="43">
        <v>130</v>
      </c>
      <c r="Z259" s="43">
        <v>150</v>
      </c>
      <c r="AA259" s="43">
        <v>30</v>
      </c>
      <c r="AB259" s="43">
        <v>95</v>
      </c>
      <c r="AC259" s="43">
        <v>250</v>
      </c>
      <c r="AD259" s="43">
        <v>260</v>
      </c>
      <c r="AE259" s="43">
        <v>280</v>
      </c>
      <c r="AF259" s="43">
        <v>200</v>
      </c>
      <c r="AG259" s="43">
        <v>30</v>
      </c>
      <c r="AH259" s="43">
        <v>6</v>
      </c>
      <c r="AI259" s="43">
        <v>300</v>
      </c>
      <c r="AJ259" s="41">
        <f t="shared" si="28"/>
        <v>12090</v>
      </c>
      <c r="AK259" s="41">
        <f t="shared" si="34"/>
        <v>1500</v>
      </c>
      <c r="AL259" s="41">
        <f t="shared" si="34"/>
        <v>0</v>
      </c>
      <c r="AM259" s="41">
        <f t="shared" si="34"/>
        <v>760</v>
      </c>
      <c r="AN259" s="41">
        <f t="shared" si="34"/>
        <v>2500</v>
      </c>
      <c r="AO259" s="41">
        <f t="shared" si="34"/>
        <v>780</v>
      </c>
      <c r="AP259" s="41">
        <f t="shared" si="32"/>
        <v>1260</v>
      </c>
      <c r="AQ259" s="41">
        <f t="shared" si="32"/>
        <v>400</v>
      </c>
      <c r="AR259" s="41">
        <f t="shared" si="32"/>
        <v>90</v>
      </c>
      <c r="AS259" s="41">
        <f t="shared" si="32"/>
        <v>0</v>
      </c>
      <c r="AT259" s="41">
        <f t="shared" si="32"/>
        <v>0</v>
      </c>
      <c r="AU259" s="43">
        <f t="shared" si="31"/>
        <v>1860</v>
      </c>
      <c r="AV259" s="43">
        <f t="shared" si="31"/>
        <v>400</v>
      </c>
      <c r="AW259" s="43">
        <f t="shared" si="31"/>
        <v>0</v>
      </c>
      <c r="AX259" s="43">
        <f t="shared" si="31"/>
        <v>240</v>
      </c>
      <c r="AY259" s="43">
        <f t="shared" si="31"/>
        <v>500</v>
      </c>
      <c r="AZ259" s="43">
        <f t="shared" si="33"/>
        <v>90</v>
      </c>
      <c r="BA259" s="43">
        <f t="shared" si="33"/>
        <v>135</v>
      </c>
      <c r="BB259" s="43">
        <f t="shared" si="33"/>
        <v>60</v>
      </c>
      <c r="BC259" s="43">
        <f t="shared" si="33"/>
        <v>15</v>
      </c>
      <c r="BD259" s="43">
        <f t="shared" si="33"/>
        <v>0</v>
      </c>
      <c r="BE259" s="43">
        <f t="shared" si="33"/>
        <v>0</v>
      </c>
      <c r="BF259" s="41">
        <f t="shared" si="29"/>
        <v>3300</v>
      </c>
      <c r="BG259" s="41" t="str">
        <f t="array" ref="BG259">_xlfn.IFS(
OR(MONTH(A259)=11,MONTH(A259)=12,MONTH(A259)=1,MONTH(A259)=2),"Winter",
OR(MONTH(A259)=3,MONTH(A259)=4),"Spring",
OR(MONTH(A259)=5,MONTH(A259)=6),"Summer",
OR(MONTH(A259)=7,MONTH(A259)=8,MONTH(A259)=9),"Monsoon",
MONTH(A259)=10,"Autumn/Festive",
TRUE,""
)</f>
        <v>Autumn/Festive</v>
      </c>
    </row>
    <row r="260" spans="1:59" x14ac:dyDescent="0.3">
      <c r="A260" s="39">
        <v>45585</v>
      </c>
      <c r="B260" s="40" t="str">
        <f t="shared" ref="B260:B323" si="35">TEXT(A260,"mmmm")</f>
        <v>October</v>
      </c>
      <c r="C260" s="41">
        <v>61</v>
      </c>
      <c r="D260" s="41">
        <v>4</v>
      </c>
      <c r="E260" s="41">
        <v>0</v>
      </c>
      <c r="F260" s="41">
        <v>5</v>
      </c>
      <c r="G260" s="41">
        <v>4</v>
      </c>
      <c r="H260" s="41">
        <v>0</v>
      </c>
      <c r="I260" s="41">
        <v>0</v>
      </c>
      <c r="J260" s="41">
        <v>2</v>
      </c>
      <c r="K260" s="41">
        <v>0</v>
      </c>
      <c r="L260" s="41">
        <v>0</v>
      </c>
      <c r="M260" s="41">
        <v>0</v>
      </c>
      <c r="N260" s="42">
        <v>110</v>
      </c>
      <c r="O260" s="42">
        <v>110</v>
      </c>
      <c r="P260" s="42">
        <v>26</v>
      </c>
      <c r="Q260" s="42">
        <v>65</v>
      </c>
      <c r="R260" s="42">
        <v>200</v>
      </c>
      <c r="S260" s="42">
        <v>230</v>
      </c>
      <c r="T260" s="42">
        <v>250</v>
      </c>
      <c r="U260" s="42">
        <v>170</v>
      </c>
      <c r="V260" s="42">
        <v>25</v>
      </c>
      <c r="W260" s="42">
        <v>4</v>
      </c>
      <c r="X260" s="42">
        <v>265</v>
      </c>
      <c r="Y260" s="43">
        <v>130</v>
      </c>
      <c r="Z260" s="43">
        <v>150</v>
      </c>
      <c r="AA260" s="43">
        <v>30</v>
      </c>
      <c r="AB260" s="43">
        <v>95</v>
      </c>
      <c r="AC260" s="43">
        <v>250</v>
      </c>
      <c r="AD260" s="43">
        <v>260</v>
      </c>
      <c r="AE260" s="43">
        <v>280</v>
      </c>
      <c r="AF260" s="43">
        <v>200</v>
      </c>
      <c r="AG260" s="43">
        <v>30</v>
      </c>
      <c r="AH260" s="43">
        <v>6</v>
      </c>
      <c r="AI260" s="43">
        <v>300</v>
      </c>
      <c r="AJ260" s="41">
        <f t="shared" ref="AJ260:AJ323" si="36" xml:space="preserve"> Y260*C260</f>
        <v>7930</v>
      </c>
      <c r="AK260" s="41">
        <f t="shared" si="34"/>
        <v>600</v>
      </c>
      <c r="AL260" s="41">
        <f t="shared" si="34"/>
        <v>0</v>
      </c>
      <c r="AM260" s="41">
        <f t="shared" si="34"/>
        <v>475</v>
      </c>
      <c r="AN260" s="41">
        <f t="shared" si="34"/>
        <v>1000</v>
      </c>
      <c r="AO260" s="41">
        <f t="shared" si="34"/>
        <v>0</v>
      </c>
      <c r="AP260" s="41">
        <f t="shared" si="32"/>
        <v>0</v>
      </c>
      <c r="AQ260" s="41">
        <f t="shared" si="32"/>
        <v>400</v>
      </c>
      <c r="AR260" s="41">
        <f t="shared" si="32"/>
        <v>0</v>
      </c>
      <c r="AS260" s="41">
        <f t="shared" si="32"/>
        <v>0</v>
      </c>
      <c r="AT260" s="41">
        <f t="shared" si="32"/>
        <v>0</v>
      </c>
      <c r="AU260" s="43">
        <f t="shared" si="31"/>
        <v>1220</v>
      </c>
      <c r="AV260" s="43">
        <f t="shared" si="31"/>
        <v>160</v>
      </c>
      <c r="AW260" s="43">
        <f t="shared" si="31"/>
        <v>0</v>
      </c>
      <c r="AX260" s="43">
        <f t="shared" si="31"/>
        <v>150</v>
      </c>
      <c r="AY260" s="43">
        <f t="shared" si="31"/>
        <v>200</v>
      </c>
      <c r="AZ260" s="43">
        <f t="shared" si="33"/>
        <v>0</v>
      </c>
      <c r="BA260" s="43">
        <f t="shared" si="33"/>
        <v>0</v>
      </c>
      <c r="BB260" s="43">
        <f t="shared" si="33"/>
        <v>60</v>
      </c>
      <c r="BC260" s="43">
        <f t="shared" si="33"/>
        <v>0</v>
      </c>
      <c r="BD260" s="43">
        <f t="shared" si="33"/>
        <v>0</v>
      </c>
      <c r="BE260" s="43">
        <f t="shared" si="33"/>
        <v>0</v>
      </c>
      <c r="BF260" s="41">
        <f t="shared" ref="BF260:BF323" si="37">SUM(AU260:BE260)</f>
        <v>1790</v>
      </c>
      <c r="BG260" s="41" t="str">
        <f t="array" ref="BG260">_xlfn.IFS(
OR(MONTH(A260)=11,MONTH(A260)=12,MONTH(A260)=1,MONTH(A260)=2),"Winter",
OR(MONTH(A260)=3,MONTH(A260)=4),"Spring",
OR(MONTH(A260)=5,MONTH(A260)=6),"Summer",
OR(MONTH(A260)=7,MONTH(A260)=8,MONTH(A260)=9),"Monsoon",
MONTH(A260)=10,"Autumn/Festive",
TRUE,""
)</f>
        <v>Autumn/Festive</v>
      </c>
    </row>
    <row r="261" spans="1:59" x14ac:dyDescent="0.3">
      <c r="A261" s="39">
        <v>45586</v>
      </c>
      <c r="B261" s="40" t="str">
        <f t="shared" si="35"/>
        <v>October</v>
      </c>
      <c r="C261" s="41">
        <v>42</v>
      </c>
      <c r="D261" s="41">
        <v>6</v>
      </c>
      <c r="E261" s="41">
        <v>0</v>
      </c>
      <c r="F261" s="41">
        <v>4</v>
      </c>
      <c r="G261" s="41">
        <v>7</v>
      </c>
      <c r="H261" s="41">
        <v>2.5</v>
      </c>
      <c r="I261" s="41">
        <v>0</v>
      </c>
      <c r="J261" s="41">
        <v>2</v>
      </c>
      <c r="K261" s="41">
        <v>0</v>
      </c>
      <c r="L261" s="41">
        <v>0</v>
      </c>
      <c r="M261" s="41">
        <v>0</v>
      </c>
      <c r="N261" s="42">
        <v>110</v>
      </c>
      <c r="O261" s="42">
        <v>110</v>
      </c>
      <c r="P261" s="42">
        <v>26</v>
      </c>
      <c r="Q261" s="42">
        <v>65</v>
      </c>
      <c r="R261" s="42">
        <v>200</v>
      </c>
      <c r="S261" s="42">
        <v>230</v>
      </c>
      <c r="T261" s="42">
        <v>250</v>
      </c>
      <c r="U261" s="42">
        <v>170</v>
      </c>
      <c r="V261" s="42">
        <v>25</v>
      </c>
      <c r="W261" s="42">
        <v>4</v>
      </c>
      <c r="X261" s="42">
        <v>265</v>
      </c>
      <c r="Y261" s="43">
        <v>130</v>
      </c>
      <c r="Z261" s="43">
        <v>150</v>
      </c>
      <c r="AA261" s="43">
        <v>30</v>
      </c>
      <c r="AB261" s="43">
        <v>95</v>
      </c>
      <c r="AC261" s="43">
        <v>250</v>
      </c>
      <c r="AD261" s="43">
        <v>260</v>
      </c>
      <c r="AE261" s="43">
        <v>280</v>
      </c>
      <c r="AF261" s="43">
        <v>200</v>
      </c>
      <c r="AG261" s="43">
        <v>30</v>
      </c>
      <c r="AH261" s="43">
        <v>6</v>
      </c>
      <c r="AI261" s="43">
        <v>300</v>
      </c>
      <c r="AJ261" s="41">
        <f t="shared" si="36"/>
        <v>5460</v>
      </c>
      <c r="AK261" s="41">
        <f t="shared" si="34"/>
        <v>900</v>
      </c>
      <c r="AL261" s="41">
        <f t="shared" si="34"/>
        <v>0</v>
      </c>
      <c r="AM261" s="41">
        <f t="shared" si="34"/>
        <v>380</v>
      </c>
      <c r="AN261" s="41">
        <f t="shared" si="34"/>
        <v>1750</v>
      </c>
      <c r="AO261" s="41">
        <f t="shared" si="34"/>
        <v>650</v>
      </c>
      <c r="AP261" s="41">
        <f t="shared" si="32"/>
        <v>0</v>
      </c>
      <c r="AQ261" s="41">
        <f t="shared" si="32"/>
        <v>400</v>
      </c>
      <c r="AR261" s="41">
        <f t="shared" si="32"/>
        <v>0</v>
      </c>
      <c r="AS261" s="41">
        <f t="shared" si="32"/>
        <v>0</v>
      </c>
      <c r="AT261" s="41">
        <f t="shared" si="32"/>
        <v>0</v>
      </c>
      <c r="AU261" s="43">
        <f t="shared" si="31"/>
        <v>840</v>
      </c>
      <c r="AV261" s="43">
        <f t="shared" si="31"/>
        <v>240</v>
      </c>
      <c r="AW261" s="43">
        <f t="shared" si="31"/>
        <v>0</v>
      </c>
      <c r="AX261" s="43">
        <f t="shared" si="31"/>
        <v>120</v>
      </c>
      <c r="AY261" s="43">
        <f t="shared" si="31"/>
        <v>350</v>
      </c>
      <c r="AZ261" s="43">
        <f t="shared" si="33"/>
        <v>75</v>
      </c>
      <c r="BA261" s="43">
        <f t="shared" si="33"/>
        <v>0</v>
      </c>
      <c r="BB261" s="43">
        <f t="shared" si="33"/>
        <v>60</v>
      </c>
      <c r="BC261" s="43">
        <f t="shared" si="33"/>
        <v>0</v>
      </c>
      <c r="BD261" s="43">
        <f t="shared" si="33"/>
        <v>0</v>
      </c>
      <c r="BE261" s="43">
        <f t="shared" si="33"/>
        <v>0</v>
      </c>
      <c r="BF261" s="41">
        <f t="shared" si="37"/>
        <v>1685</v>
      </c>
      <c r="BG261" s="41" t="str">
        <f t="array" ref="BG261">_xlfn.IFS(
OR(MONTH(A261)=11,MONTH(A261)=12,MONTH(A261)=1,MONTH(A261)=2),"Winter",
OR(MONTH(A261)=3,MONTH(A261)=4),"Spring",
OR(MONTH(A261)=5,MONTH(A261)=6),"Summer",
OR(MONTH(A261)=7,MONTH(A261)=8,MONTH(A261)=9),"Monsoon",
MONTH(A261)=10,"Autumn/Festive",
TRUE,""
)</f>
        <v>Autumn/Festive</v>
      </c>
    </row>
    <row r="262" spans="1:59" x14ac:dyDescent="0.3">
      <c r="A262" s="39">
        <v>45587</v>
      </c>
      <c r="B262" s="40" t="str">
        <f t="shared" si="35"/>
        <v>October</v>
      </c>
      <c r="C262" s="41">
        <v>24</v>
      </c>
      <c r="D262" s="41">
        <v>0</v>
      </c>
      <c r="E262" s="41">
        <v>0</v>
      </c>
      <c r="F262" s="41">
        <v>4</v>
      </c>
      <c r="G262" s="41">
        <v>4</v>
      </c>
      <c r="H262" s="41">
        <v>0</v>
      </c>
      <c r="I262" s="41">
        <v>1</v>
      </c>
      <c r="J262" s="41">
        <v>0</v>
      </c>
      <c r="K262" s="41">
        <v>1</v>
      </c>
      <c r="L262" s="41">
        <v>0</v>
      </c>
      <c r="M262" s="41">
        <v>1</v>
      </c>
      <c r="N262" s="42">
        <v>110</v>
      </c>
      <c r="O262" s="42">
        <v>110</v>
      </c>
      <c r="P262" s="42">
        <v>26</v>
      </c>
      <c r="Q262" s="42">
        <v>65</v>
      </c>
      <c r="R262" s="42">
        <v>200</v>
      </c>
      <c r="S262" s="42">
        <v>230</v>
      </c>
      <c r="T262" s="42">
        <v>250</v>
      </c>
      <c r="U262" s="42">
        <v>170</v>
      </c>
      <c r="V262" s="42">
        <v>25</v>
      </c>
      <c r="W262" s="42">
        <v>4</v>
      </c>
      <c r="X262" s="42">
        <v>265</v>
      </c>
      <c r="Y262" s="43">
        <v>130</v>
      </c>
      <c r="Z262" s="43">
        <v>150</v>
      </c>
      <c r="AA262" s="43">
        <v>30</v>
      </c>
      <c r="AB262" s="43">
        <v>95</v>
      </c>
      <c r="AC262" s="43">
        <v>250</v>
      </c>
      <c r="AD262" s="43">
        <v>260</v>
      </c>
      <c r="AE262" s="43">
        <v>280</v>
      </c>
      <c r="AF262" s="43">
        <v>200</v>
      </c>
      <c r="AG262" s="43">
        <v>30</v>
      </c>
      <c r="AH262" s="43">
        <v>6</v>
      </c>
      <c r="AI262" s="43">
        <v>300</v>
      </c>
      <c r="AJ262" s="41">
        <f t="shared" si="36"/>
        <v>3120</v>
      </c>
      <c r="AK262" s="41">
        <f t="shared" si="34"/>
        <v>0</v>
      </c>
      <c r="AL262" s="41">
        <f t="shared" si="34"/>
        <v>0</v>
      </c>
      <c r="AM262" s="41">
        <f t="shared" si="34"/>
        <v>380</v>
      </c>
      <c r="AN262" s="41">
        <f t="shared" si="34"/>
        <v>1000</v>
      </c>
      <c r="AO262" s="41">
        <f t="shared" si="34"/>
        <v>0</v>
      </c>
      <c r="AP262" s="41">
        <f t="shared" si="32"/>
        <v>280</v>
      </c>
      <c r="AQ262" s="41">
        <f t="shared" si="32"/>
        <v>0</v>
      </c>
      <c r="AR262" s="41">
        <f t="shared" si="32"/>
        <v>30</v>
      </c>
      <c r="AS262" s="41">
        <f t="shared" si="32"/>
        <v>0</v>
      </c>
      <c r="AT262" s="41">
        <f t="shared" si="32"/>
        <v>300</v>
      </c>
      <c r="AU262" s="43">
        <f t="shared" si="31"/>
        <v>480</v>
      </c>
      <c r="AV262" s="43">
        <f t="shared" si="31"/>
        <v>0</v>
      </c>
      <c r="AW262" s="43">
        <f t="shared" si="31"/>
        <v>0</v>
      </c>
      <c r="AX262" s="43">
        <f t="shared" si="31"/>
        <v>120</v>
      </c>
      <c r="AY262" s="43">
        <f t="shared" si="31"/>
        <v>200</v>
      </c>
      <c r="AZ262" s="43">
        <f t="shared" si="33"/>
        <v>0</v>
      </c>
      <c r="BA262" s="43">
        <f t="shared" si="33"/>
        <v>30</v>
      </c>
      <c r="BB262" s="43">
        <f t="shared" si="33"/>
        <v>0</v>
      </c>
      <c r="BC262" s="43">
        <f t="shared" si="33"/>
        <v>5</v>
      </c>
      <c r="BD262" s="43">
        <f t="shared" si="33"/>
        <v>0</v>
      </c>
      <c r="BE262" s="43">
        <f t="shared" si="33"/>
        <v>35</v>
      </c>
      <c r="BF262" s="41">
        <f t="shared" si="37"/>
        <v>870</v>
      </c>
      <c r="BG262" s="41" t="str">
        <f t="array" ref="BG262">_xlfn.IFS(
OR(MONTH(A262)=11,MONTH(A262)=12,MONTH(A262)=1,MONTH(A262)=2),"Winter",
OR(MONTH(A262)=3,MONTH(A262)=4),"Spring",
OR(MONTH(A262)=5,MONTH(A262)=6),"Summer",
OR(MONTH(A262)=7,MONTH(A262)=8,MONTH(A262)=9),"Monsoon",
MONTH(A262)=10,"Autumn/Festive",
TRUE,""
)</f>
        <v>Autumn/Festive</v>
      </c>
    </row>
    <row r="263" spans="1:59" x14ac:dyDescent="0.3">
      <c r="A263" s="39">
        <v>45588</v>
      </c>
      <c r="B263" s="40" t="str">
        <f t="shared" si="35"/>
        <v>October</v>
      </c>
      <c r="C263" s="41">
        <v>44</v>
      </c>
      <c r="D263" s="41">
        <v>0</v>
      </c>
      <c r="E263" s="41">
        <v>0</v>
      </c>
      <c r="F263" s="41">
        <v>0</v>
      </c>
      <c r="G263" s="41">
        <v>6</v>
      </c>
      <c r="H263" s="41">
        <v>0</v>
      </c>
      <c r="I263" s="41">
        <v>0</v>
      </c>
      <c r="J263" s="41">
        <v>0</v>
      </c>
      <c r="K263" s="41">
        <v>0</v>
      </c>
      <c r="L263" s="41">
        <v>0</v>
      </c>
      <c r="M263" s="41">
        <v>0</v>
      </c>
      <c r="N263" s="42">
        <v>110</v>
      </c>
      <c r="O263" s="42">
        <v>110</v>
      </c>
      <c r="P263" s="42">
        <v>26</v>
      </c>
      <c r="Q263" s="42">
        <v>65</v>
      </c>
      <c r="R263" s="42">
        <v>200</v>
      </c>
      <c r="S263" s="42">
        <v>230</v>
      </c>
      <c r="T263" s="42">
        <v>250</v>
      </c>
      <c r="U263" s="42">
        <v>170</v>
      </c>
      <c r="V263" s="42">
        <v>25</v>
      </c>
      <c r="W263" s="42">
        <v>4</v>
      </c>
      <c r="X263" s="42">
        <v>265</v>
      </c>
      <c r="Y263" s="43">
        <v>130</v>
      </c>
      <c r="Z263" s="43">
        <v>150</v>
      </c>
      <c r="AA263" s="43">
        <v>30</v>
      </c>
      <c r="AB263" s="43">
        <v>95</v>
      </c>
      <c r="AC263" s="43">
        <v>250</v>
      </c>
      <c r="AD263" s="43">
        <v>260</v>
      </c>
      <c r="AE263" s="43">
        <v>280</v>
      </c>
      <c r="AF263" s="43">
        <v>200</v>
      </c>
      <c r="AG263" s="43">
        <v>30</v>
      </c>
      <c r="AH263" s="43">
        <v>6</v>
      </c>
      <c r="AI263" s="43">
        <v>300</v>
      </c>
      <c r="AJ263" s="41">
        <f t="shared" si="36"/>
        <v>5720</v>
      </c>
      <c r="AK263" s="41">
        <f t="shared" si="34"/>
        <v>0</v>
      </c>
      <c r="AL263" s="41">
        <f t="shared" si="34"/>
        <v>0</v>
      </c>
      <c r="AM263" s="41">
        <f t="shared" si="34"/>
        <v>0</v>
      </c>
      <c r="AN263" s="41">
        <f t="shared" si="34"/>
        <v>1500</v>
      </c>
      <c r="AO263" s="41">
        <f t="shared" si="34"/>
        <v>0</v>
      </c>
      <c r="AP263" s="41">
        <f t="shared" si="32"/>
        <v>0</v>
      </c>
      <c r="AQ263" s="41">
        <f t="shared" si="32"/>
        <v>0</v>
      </c>
      <c r="AR263" s="41">
        <f t="shared" si="32"/>
        <v>0</v>
      </c>
      <c r="AS263" s="41">
        <f t="shared" si="32"/>
        <v>0</v>
      </c>
      <c r="AT263" s="41">
        <f t="shared" si="32"/>
        <v>0</v>
      </c>
      <c r="AU263" s="43">
        <f t="shared" si="31"/>
        <v>880</v>
      </c>
      <c r="AV263" s="43">
        <f t="shared" si="31"/>
        <v>0</v>
      </c>
      <c r="AW263" s="43">
        <f t="shared" si="31"/>
        <v>0</v>
      </c>
      <c r="AX263" s="43">
        <f t="shared" si="31"/>
        <v>0</v>
      </c>
      <c r="AY263" s="43">
        <f t="shared" si="31"/>
        <v>300</v>
      </c>
      <c r="AZ263" s="43">
        <f t="shared" si="33"/>
        <v>0</v>
      </c>
      <c r="BA263" s="43">
        <f t="shared" si="33"/>
        <v>0</v>
      </c>
      <c r="BB263" s="43">
        <f t="shared" si="33"/>
        <v>0</v>
      </c>
      <c r="BC263" s="43">
        <f t="shared" si="33"/>
        <v>0</v>
      </c>
      <c r="BD263" s="43">
        <f t="shared" si="33"/>
        <v>0</v>
      </c>
      <c r="BE263" s="43">
        <f t="shared" si="33"/>
        <v>0</v>
      </c>
      <c r="BF263" s="41">
        <f t="shared" si="37"/>
        <v>1180</v>
      </c>
      <c r="BG263" s="41" t="str">
        <f t="array" ref="BG263">_xlfn.IFS(
OR(MONTH(A263)=11,MONTH(A263)=12,MONTH(A263)=1,MONTH(A263)=2),"Winter",
OR(MONTH(A263)=3,MONTH(A263)=4),"Spring",
OR(MONTH(A263)=5,MONTH(A263)=6),"Summer",
OR(MONTH(A263)=7,MONTH(A263)=8,MONTH(A263)=9),"Monsoon",
MONTH(A263)=10,"Autumn/Festive",
TRUE,""
)</f>
        <v>Autumn/Festive</v>
      </c>
    </row>
    <row r="264" spans="1:59" x14ac:dyDescent="0.3">
      <c r="A264" s="39">
        <v>45589</v>
      </c>
      <c r="B264" s="40" t="str">
        <f t="shared" si="35"/>
        <v>October</v>
      </c>
      <c r="C264" s="41">
        <v>27</v>
      </c>
      <c r="D264" s="41">
        <v>4</v>
      </c>
      <c r="E264" s="41">
        <v>0</v>
      </c>
      <c r="F264" s="41">
        <v>8</v>
      </c>
      <c r="G264" s="41">
        <v>0</v>
      </c>
      <c r="H264" s="41">
        <v>0</v>
      </c>
      <c r="I264" s="41">
        <v>0</v>
      </c>
      <c r="J264" s="41">
        <v>0</v>
      </c>
      <c r="K264" s="41">
        <v>0</v>
      </c>
      <c r="L264" s="41">
        <v>0</v>
      </c>
      <c r="M264" s="41">
        <v>0</v>
      </c>
      <c r="N264" s="42">
        <v>110</v>
      </c>
      <c r="O264" s="42">
        <v>110</v>
      </c>
      <c r="P264" s="42">
        <v>26</v>
      </c>
      <c r="Q264" s="42">
        <v>65</v>
      </c>
      <c r="R264" s="42">
        <v>200</v>
      </c>
      <c r="S264" s="42">
        <v>230</v>
      </c>
      <c r="T264" s="42">
        <v>250</v>
      </c>
      <c r="U264" s="42">
        <v>170</v>
      </c>
      <c r="V264" s="42">
        <v>25</v>
      </c>
      <c r="W264" s="42">
        <v>4</v>
      </c>
      <c r="X264" s="42">
        <v>265</v>
      </c>
      <c r="Y264" s="43">
        <v>130</v>
      </c>
      <c r="Z264" s="43">
        <v>150</v>
      </c>
      <c r="AA264" s="43">
        <v>30</v>
      </c>
      <c r="AB264" s="43">
        <v>95</v>
      </c>
      <c r="AC264" s="43">
        <v>250</v>
      </c>
      <c r="AD264" s="43">
        <v>260</v>
      </c>
      <c r="AE264" s="43">
        <v>280</v>
      </c>
      <c r="AF264" s="43">
        <v>200</v>
      </c>
      <c r="AG264" s="43">
        <v>30</v>
      </c>
      <c r="AH264" s="43">
        <v>6</v>
      </c>
      <c r="AI264" s="43">
        <v>300</v>
      </c>
      <c r="AJ264" s="41">
        <f t="shared" si="36"/>
        <v>3510</v>
      </c>
      <c r="AK264" s="41">
        <f t="shared" si="34"/>
        <v>600</v>
      </c>
      <c r="AL264" s="41">
        <f t="shared" si="34"/>
        <v>0</v>
      </c>
      <c r="AM264" s="41">
        <f t="shared" si="34"/>
        <v>760</v>
      </c>
      <c r="AN264" s="41">
        <f t="shared" si="34"/>
        <v>0</v>
      </c>
      <c r="AO264" s="41">
        <f t="shared" si="34"/>
        <v>0</v>
      </c>
      <c r="AP264" s="41">
        <f t="shared" si="32"/>
        <v>0</v>
      </c>
      <c r="AQ264" s="41">
        <f t="shared" si="32"/>
        <v>0</v>
      </c>
      <c r="AR264" s="41">
        <f t="shared" si="32"/>
        <v>0</v>
      </c>
      <c r="AS264" s="41">
        <f t="shared" si="32"/>
        <v>0</v>
      </c>
      <c r="AT264" s="41">
        <f t="shared" si="32"/>
        <v>0</v>
      </c>
      <c r="AU264" s="43">
        <f t="shared" si="31"/>
        <v>540</v>
      </c>
      <c r="AV264" s="43">
        <f t="shared" si="31"/>
        <v>160</v>
      </c>
      <c r="AW264" s="43">
        <f t="shared" si="31"/>
        <v>0</v>
      </c>
      <c r="AX264" s="43">
        <f t="shared" si="31"/>
        <v>240</v>
      </c>
      <c r="AY264" s="43">
        <f t="shared" si="31"/>
        <v>0</v>
      </c>
      <c r="AZ264" s="43">
        <f t="shared" si="33"/>
        <v>0</v>
      </c>
      <c r="BA264" s="43">
        <f t="shared" si="33"/>
        <v>0</v>
      </c>
      <c r="BB264" s="43">
        <f t="shared" si="33"/>
        <v>0</v>
      </c>
      <c r="BC264" s="43">
        <f t="shared" si="33"/>
        <v>0</v>
      </c>
      <c r="BD264" s="43">
        <f t="shared" si="33"/>
        <v>0</v>
      </c>
      <c r="BE264" s="43">
        <f t="shared" si="33"/>
        <v>0</v>
      </c>
      <c r="BF264" s="41">
        <f t="shared" si="37"/>
        <v>940</v>
      </c>
      <c r="BG264" s="41" t="str">
        <f t="array" ref="BG264">_xlfn.IFS(
OR(MONTH(A264)=11,MONTH(A264)=12,MONTH(A264)=1,MONTH(A264)=2),"Winter",
OR(MONTH(A264)=3,MONTH(A264)=4),"Spring",
OR(MONTH(A264)=5,MONTH(A264)=6),"Summer",
OR(MONTH(A264)=7,MONTH(A264)=8,MONTH(A264)=9),"Monsoon",
MONTH(A264)=10,"Autumn/Festive",
TRUE,""
)</f>
        <v>Autumn/Festive</v>
      </c>
    </row>
    <row r="265" spans="1:59" x14ac:dyDescent="0.3">
      <c r="A265" s="39">
        <v>45590</v>
      </c>
      <c r="B265" s="40" t="str">
        <f t="shared" si="35"/>
        <v>October</v>
      </c>
      <c r="C265" s="41">
        <v>29</v>
      </c>
      <c r="D265" s="41">
        <v>3</v>
      </c>
      <c r="E265" s="41">
        <v>0</v>
      </c>
      <c r="F265" s="41">
        <v>0</v>
      </c>
      <c r="G265" s="41">
        <v>2</v>
      </c>
      <c r="H265" s="41">
        <v>0</v>
      </c>
      <c r="I265" s="41">
        <v>2.5</v>
      </c>
      <c r="J265" s="41">
        <v>0</v>
      </c>
      <c r="K265" s="41">
        <v>0</v>
      </c>
      <c r="L265" s="41">
        <v>0</v>
      </c>
      <c r="M265" s="41">
        <v>0</v>
      </c>
      <c r="N265" s="42">
        <v>110</v>
      </c>
      <c r="O265" s="42">
        <v>110</v>
      </c>
      <c r="P265" s="42">
        <v>26</v>
      </c>
      <c r="Q265" s="42">
        <v>65</v>
      </c>
      <c r="R265" s="42">
        <v>200</v>
      </c>
      <c r="S265" s="42">
        <v>230</v>
      </c>
      <c r="T265" s="42">
        <v>250</v>
      </c>
      <c r="U265" s="42">
        <v>170</v>
      </c>
      <c r="V265" s="42">
        <v>25</v>
      </c>
      <c r="W265" s="42">
        <v>4</v>
      </c>
      <c r="X265" s="42">
        <v>265</v>
      </c>
      <c r="Y265" s="43">
        <v>130</v>
      </c>
      <c r="Z265" s="43">
        <v>150</v>
      </c>
      <c r="AA265" s="43">
        <v>30</v>
      </c>
      <c r="AB265" s="43">
        <v>95</v>
      </c>
      <c r="AC265" s="43">
        <v>250</v>
      </c>
      <c r="AD265" s="43">
        <v>260</v>
      </c>
      <c r="AE265" s="43">
        <v>280</v>
      </c>
      <c r="AF265" s="43">
        <v>200</v>
      </c>
      <c r="AG265" s="43">
        <v>30</v>
      </c>
      <c r="AH265" s="43">
        <v>6</v>
      </c>
      <c r="AI265" s="43">
        <v>300</v>
      </c>
      <c r="AJ265" s="41">
        <f t="shared" si="36"/>
        <v>3770</v>
      </c>
      <c r="AK265" s="41">
        <f t="shared" si="34"/>
        <v>450</v>
      </c>
      <c r="AL265" s="41">
        <f t="shared" si="34"/>
        <v>0</v>
      </c>
      <c r="AM265" s="41">
        <f t="shared" si="34"/>
        <v>0</v>
      </c>
      <c r="AN265" s="41">
        <f t="shared" si="34"/>
        <v>500</v>
      </c>
      <c r="AO265" s="41">
        <f t="shared" si="34"/>
        <v>0</v>
      </c>
      <c r="AP265" s="41">
        <f t="shared" si="32"/>
        <v>700</v>
      </c>
      <c r="AQ265" s="41">
        <f t="shared" si="32"/>
        <v>0</v>
      </c>
      <c r="AR265" s="41">
        <f t="shared" si="32"/>
        <v>0</v>
      </c>
      <c r="AS265" s="41">
        <f t="shared" si="32"/>
        <v>0</v>
      </c>
      <c r="AT265" s="41">
        <f t="shared" si="32"/>
        <v>0</v>
      </c>
      <c r="AU265" s="43">
        <f t="shared" si="31"/>
        <v>580</v>
      </c>
      <c r="AV265" s="43">
        <f t="shared" si="31"/>
        <v>120</v>
      </c>
      <c r="AW265" s="43">
        <f t="shared" si="31"/>
        <v>0</v>
      </c>
      <c r="AX265" s="43">
        <f t="shared" si="31"/>
        <v>0</v>
      </c>
      <c r="AY265" s="43">
        <f t="shared" si="31"/>
        <v>100</v>
      </c>
      <c r="AZ265" s="43">
        <f t="shared" si="33"/>
        <v>0</v>
      </c>
      <c r="BA265" s="43">
        <f t="shared" si="33"/>
        <v>75</v>
      </c>
      <c r="BB265" s="43">
        <f t="shared" si="33"/>
        <v>0</v>
      </c>
      <c r="BC265" s="43">
        <f t="shared" si="33"/>
        <v>0</v>
      </c>
      <c r="BD265" s="43">
        <f t="shared" si="33"/>
        <v>0</v>
      </c>
      <c r="BE265" s="43">
        <f t="shared" si="33"/>
        <v>0</v>
      </c>
      <c r="BF265" s="41">
        <f t="shared" si="37"/>
        <v>875</v>
      </c>
      <c r="BG265" s="41" t="str">
        <f t="array" ref="BG265">_xlfn.IFS(
OR(MONTH(A265)=11,MONTH(A265)=12,MONTH(A265)=1,MONTH(A265)=2),"Winter",
OR(MONTH(A265)=3,MONTH(A265)=4),"Spring",
OR(MONTH(A265)=5,MONTH(A265)=6),"Summer",
OR(MONTH(A265)=7,MONTH(A265)=8,MONTH(A265)=9),"Monsoon",
MONTH(A265)=10,"Autumn/Festive",
TRUE,""
)</f>
        <v>Autumn/Festive</v>
      </c>
    </row>
    <row r="266" spans="1:59" x14ac:dyDescent="0.3">
      <c r="A266" s="39">
        <v>45591</v>
      </c>
      <c r="B266" s="40" t="str">
        <f t="shared" si="35"/>
        <v>October</v>
      </c>
      <c r="C266" s="41">
        <v>10</v>
      </c>
      <c r="D266" s="41">
        <v>2</v>
      </c>
      <c r="E266" s="41">
        <v>0</v>
      </c>
      <c r="F266" s="41">
        <v>10</v>
      </c>
      <c r="G266" s="41">
        <v>4</v>
      </c>
      <c r="H266" s="41">
        <v>2</v>
      </c>
      <c r="I266" s="41">
        <v>0</v>
      </c>
      <c r="J266" s="41">
        <v>0</v>
      </c>
      <c r="K266" s="41">
        <v>0</v>
      </c>
      <c r="L266" s="41">
        <v>6</v>
      </c>
      <c r="M266" s="41">
        <v>0</v>
      </c>
      <c r="N266" s="42">
        <v>110</v>
      </c>
      <c r="O266" s="42">
        <v>110</v>
      </c>
      <c r="P266" s="42">
        <v>26</v>
      </c>
      <c r="Q266" s="42">
        <v>65</v>
      </c>
      <c r="R266" s="42">
        <v>200</v>
      </c>
      <c r="S266" s="42">
        <v>230</v>
      </c>
      <c r="T266" s="42">
        <v>250</v>
      </c>
      <c r="U266" s="42">
        <v>170</v>
      </c>
      <c r="V266" s="42">
        <v>25</v>
      </c>
      <c r="W266" s="42">
        <v>4</v>
      </c>
      <c r="X266" s="42">
        <v>265</v>
      </c>
      <c r="Y266" s="43">
        <v>130</v>
      </c>
      <c r="Z266" s="43">
        <v>150</v>
      </c>
      <c r="AA266" s="43">
        <v>30</v>
      </c>
      <c r="AB266" s="43">
        <v>95</v>
      </c>
      <c r="AC266" s="43">
        <v>250</v>
      </c>
      <c r="AD266" s="43">
        <v>260</v>
      </c>
      <c r="AE266" s="43">
        <v>280</v>
      </c>
      <c r="AF266" s="43">
        <v>200</v>
      </c>
      <c r="AG266" s="43">
        <v>30</v>
      </c>
      <c r="AH266" s="43">
        <v>6</v>
      </c>
      <c r="AI266" s="43">
        <v>300</v>
      </c>
      <c r="AJ266" s="41">
        <f t="shared" si="36"/>
        <v>1300</v>
      </c>
      <c r="AK266" s="41">
        <f t="shared" si="34"/>
        <v>300</v>
      </c>
      <c r="AL266" s="41">
        <f t="shared" si="34"/>
        <v>0</v>
      </c>
      <c r="AM266" s="41">
        <f t="shared" si="34"/>
        <v>950</v>
      </c>
      <c r="AN266" s="41">
        <f t="shared" si="34"/>
        <v>1000</v>
      </c>
      <c r="AO266" s="41">
        <f t="shared" si="34"/>
        <v>520</v>
      </c>
      <c r="AP266" s="41">
        <f t="shared" si="32"/>
        <v>0</v>
      </c>
      <c r="AQ266" s="41">
        <f t="shared" si="32"/>
        <v>0</v>
      </c>
      <c r="AR266" s="41">
        <f t="shared" si="32"/>
        <v>0</v>
      </c>
      <c r="AS266" s="41">
        <f t="shared" si="32"/>
        <v>36</v>
      </c>
      <c r="AT266" s="41">
        <f t="shared" si="32"/>
        <v>0</v>
      </c>
      <c r="AU266" s="43">
        <f t="shared" si="31"/>
        <v>200</v>
      </c>
      <c r="AV266" s="43">
        <f t="shared" si="31"/>
        <v>80</v>
      </c>
      <c r="AW266" s="43">
        <f t="shared" si="31"/>
        <v>0</v>
      </c>
      <c r="AX266" s="43">
        <f t="shared" si="31"/>
        <v>300</v>
      </c>
      <c r="AY266" s="43">
        <f t="shared" si="31"/>
        <v>200</v>
      </c>
      <c r="AZ266" s="43">
        <f t="shared" si="33"/>
        <v>60</v>
      </c>
      <c r="BA266" s="43">
        <f t="shared" si="33"/>
        <v>0</v>
      </c>
      <c r="BB266" s="43">
        <f t="shared" si="33"/>
        <v>0</v>
      </c>
      <c r="BC266" s="43">
        <f t="shared" si="33"/>
        <v>0</v>
      </c>
      <c r="BD266" s="43">
        <f t="shared" si="33"/>
        <v>12</v>
      </c>
      <c r="BE266" s="43">
        <f t="shared" si="33"/>
        <v>0</v>
      </c>
      <c r="BF266" s="41">
        <f t="shared" si="37"/>
        <v>852</v>
      </c>
      <c r="BG266" s="41" t="str">
        <f t="array" ref="BG266">_xlfn.IFS(
OR(MONTH(A266)=11,MONTH(A266)=12,MONTH(A266)=1,MONTH(A266)=2),"Winter",
OR(MONTH(A266)=3,MONTH(A266)=4),"Spring",
OR(MONTH(A266)=5,MONTH(A266)=6),"Summer",
OR(MONTH(A266)=7,MONTH(A266)=8,MONTH(A266)=9),"Monsoon",
MONTH(A266)=10,"Autumn/Festive",
TRUE,""
)</f>
        <v>Autumn/Festive</v>
      </c>
    </row>
    <row r="267" spans="1:59" x14ac:dyDescent="0.3">
      <c r="A267" s="39">
        <v>45592</v>
      </c>
      <c r="B267" s="40" t="str">
        <f t="shared" si="35"/>
        <v>October</v>
      </c>
      <c r="C267" s="41">
        <v>14</v>
      </c>
      <c r="D267" s="41">
        <v>3</v>
      </c>
      <c r="E267" s="41">
        <v>0</v>
      </c>
      <c r="F267" s="41">
        <v>2</v>
      </c>
      <c r="G267" s="41">
        <v>1</v>
      </c>
      <c r="H267" s="41">
        <v>0</v>
      </c>
      <c r="I267" s="41">
        <v>0</v>
      </c>
      <c r="J267" s="41">
        <v>0</v>
      </c>
      <c r="K267" s="41">
        <v>0</v>
      </c>
      <c r="L267" s="41">
        <v>0</v>
      </c>
      <c r="M267" s="41">
        <v>1</v>
      </c>
      <c r="N267" s="42">
        <v>110</v>
      </c>
      <c r="O267" s="42">
        <v>110</v>
      </c>
      <c r="P267" s="42">
        <v>26</v>
      </c>
      <c r="Q267" s="42">
        <v>65</v>
      </c>
      <c r="R267" s="42">
        <v>200</v>
      </c>
      <c r="S267" s="42">
        <v>230</v>
      </c>
      <c r="T267" s="42">
        <v>250</v>
      </c>
      <c r="U267" s="42">
        <v>170</v>
      </c>
      <c r="V267" s="42">
        <v>25</v>
      </c>
      <c r="W267" s="42">
        <v>4</v>
      </c>
      <c r="X267" s="42">
        <v>265</v>
      </c>
      <c r="Y267" s="43">
        <v>130</v>
      </c>
      <c r="Z267" s="43">
        <v>150</v>
      </c>
      <c r="AA267" s="43">
        <v>30</v>
      </c>
      <c r="AB267" s="43">
        <v>95</v>
      </c>
      <c r="AC267" s="43">
        <v>250</v>
      </c>
      <c r="AD267" s="43">
        <v>260</v>
      </c>
      <c r="AE267" s="43">
        <v>280</v>
      </c>
      <c r="AF267" s="43">
        <v>200</v>
      </c>
      <c r="AG267" s="43">
        <v>30</v>
      </c>
      <c r="AH267" s="43">
        <v>6</v>
      </c>
      <c r="AI267" s="43">
        <v>300</v>
      </c>
      <c r="AJ267" s="41">
        <f t="shared" si="36"/>
        <v>1820</v>
      </c>
      <c r="AK267" s="41">
        <f t="shared" si="34"/>
        <v>450</v>
      </c>
      <c r="AL267" s="41">
        <f t="shared" si="34"/>
        <v>0</v>
      </c>
      <c r="AM267" s="41">
        <f t="shared" si="34"/>
        <v>190</v>
      </c>
      <c r="AN267" s="41">
        <f t="shared" si="34"/>
        <v>250</v>
      </c>
      <c r="AO267" s="41">
        <f t="shared" si="34"/>
        <v>0</v>
      </c>
      <c r="AP267" s="41">
        <f t="shared" si="32"/>
        <v>0</v>
      </c>
      <c r="AQ267" s="41">
        <f t="shared" si="32"/>
        <v>0</v>
      </c>
      <c r="AR267" s="41">
        <f t="shared" si="32"/>
        <v>0</v>
      </c>
      <c r="AS267" s="41">
        <f t="shared" si="32"/>
        <v>0</v>
      </c>
      <c r="AT267" s="41">
        <f t="shared" si="32"/>
        <v>300</v>
      </c>
      <c r="AU267" s="43">
        <f t="shared" si="31"/>
        <v>280</v>
      </c>
      <c r="AV267" s="43">
        <f t="shared" si="31"/>
        <v>120</v>
      </c>
      <c r="AW267" s="43">
        <f t="shared" si="31"/>
        <v>0</v>
      </c>
      <c r="AX267" s="43">
        <f t="shared" si="31"/>
        <v>60</v>
      </c>
      <c r="AY267" s="43">
        <f t="shared" si="31"/>
        <v>50</v>
      </c>
      <c r="AZ267" s="43">
        <f t="shared" si="33"/>
        <v>0</v>
      </c>
      <c r="BA267" s="43">
        <f t="shared" si="33"/>
        <v>0</v>
      </c>
      <c r="BB267" s="43">
        <f t="shared" si="33"/>
        <v>0</v>
      </c>
      <c r="BC267" s="43">
        <f t="shared" si="33"/>
        <v>0</v>
      </c>
      <c r="BD267" s="43">
        <f t="shared" si="33"/>
        <v>0</v>
      </c>
      <c r="BE267" s="43">
        <f t="shared" si="33"/>
        <v>35</v>
      </c>
      <c r="BF267" s="41">
        <f t="shared" si="37"/>
        <v>545</v>
      </c>
      <c r="BG267" s="41" t="str">
        <f t="array" ref="BG267">_xlfn.IFS(
OR(MONTH(A267)=11,MONTH(A267)=12,MONTH(A267)=1,MONTH(A267)=2),"Winter",
OR(MONTH(A267)=3,MONTH(A267)=4),"Spring",
OR(MONTH(A267)=5,MONTH(A267)=6),"Summer",
OR(MONTH(A267)=7,MONTH(A267)=8,MONTH(A267)=9),"Monsoon",
MONTH(A267)=10,"Autumn/Festive",
TRUE,""
)</f>
        <v>Autumn/Festive</v>
      </c>
    </row>
    <row r="268" spans="1:59" x14ac:dyDescent="0.3">
      <c r="A268" s="39">
        <v>45593</v>
      </c>
      <c r="B268" s="40" t="str">
        <f t="shared" si="35"/>
        <v>October</v>
      </c>
      <c r="C268" s="41">
        <v>36</v>
      </c>
      <c r="D268" s="41">
        <v>0</v>
      </c>
      <c r="E268" s="41">
        <v>0</v>
      </c>
      <c r="F268" s="41">
        <v>2</v>
      </c>
      <c r="G268" s="41">
        <v>2</v>
      </c>
      <c r="H268" s="41">
        <v>0</v>
      </c>
      <c r="I268" s="41">
        <v>0</v>
      </c>
      <c r="J268" s="41">
        <v>0</v>
      </c>
      <c r="K268" s="41">
        <v>0</v>
      </c>
      <c r="L268" s="41">
        <v>0</v>
      </c>
      <c r="M268" s="41">
        <v>0</v>
      </c>
      <c r="N268" s="42">
        <v>110</v>
      </c>
      <c r="O268" s="42">
        <v>110</v>
      </c>
      <c r="P268" s="42">
        <v>26</v>
      </c>
      <c r="Q268" s="42">
        <v>65</v>
      </c>
      <c r="R268" s="42">
        <v>200</v>
      </c>
      <c r="S268" s="42">
        <v>230</v>
      </c>
      <c r="T268" s="42">
        <v>250</v>
      </c>
      <c r="U268" s="42">
        <v>170</v>
      </c>
      <c r="V268" s="42">
        <v>25</v>
      </c>
      <c r="W268" s="42">
        <v>4</v>
      </c>
      <c r="X268" s="42">
        <v>265</v>
      </c>
      <c r="Y268" s="43">
        <v>130</v>
      </c>
      <c r="Z268" s="43">
        <v>150</v>
      </c>
      <c r="AA268" s="43">
        <v>30</v>
      </c>
      <c r="AB268" s="43">
        <v>95</v>
      </c>
      <c r="AC268" s="43">
        <v>250</v>
      </c>
      <c r="AD268" s="43">
        <v>260</v>
      </c>
      <c r="AE268" s="43">
        <v>280</v>
      </c>
      <c r="AF268" s="43">
        <v>200</v>
      </c>
      <c r="AG268" s="43">
        <v>30</v>
      </c>
      <c r="AH268" s="43">
        <v>6</v>
      </c>
      <c r="AI268" s="43">
        <v>300</v>
      </c>
      <c r="AJ268" s="41">
        <f t="shared" si="36"/>
        <v>4680</v>
      </c>
      <c r="AK268" s="41">
        <f t="shared" si="34"/>
        <v>0</v>
      </c>
      <c r="AL268" s="41">
        <f t="shared" si="34"/>
        <v>0</v>
      </c>
      <c r="AM268" s="41">
        <f t="shared" si="34"/>
        <v>190</v>
      </c>
      <c r="AN268" s="41">
        <f t="shared" si="34"/>
        <v>500</v>
      </c>
      <c r="AO268" s="41">
        <f t="shared" si="34"/>
        <v>0</v>
      </c>
      <c r="AP268" s="41">
        <f t="shared" si="32"/>
        <v>0</v>
      </c>
      <c r="AQ268" s="41">
        <f t="shared" si="32"/>
        <v>0</v>
      </c>
      <c r="AR268" s="41">
        <f t="shared" si="32"/>
        <v>0</v>
      </c>
      <c r="AS268" s="41">
        <f t="shared" si="32"/>
        <v>0</v>
      </c>
      <c r="AT268" s="41">
        <f t="shared" si="32"/>
        <v>0</v>
      </c>
      <c r="AU268" s="43">
        <f t="shared" si="31"/>
        <v>720</v>
      </c>
      <c r="AV268" s="43">
        <f t="shared" si="31"/>
        <v>0</v>
      </c>
      <c r="AW268" s="43">
        <f t="shared" si="31"/>
        <v>0</v>
      </c>
      <c r="AX268" s="43">
        <f t="shared" si="31"/>
        <v>60</v>
      </c>
      <c r="AY268" s="43">
        <f t="shared" si="31"/>
        <v>100</v>
      </c>
      <c r="AZ268" s="43">
        <f t="shared" si="33"/>
        <v>0</v>
      </c>
      <c r="BA268" s="43">
        <f t="shared" si="33"/>
        <v>0</v>
      </c>
      <c r="BB268" s="43">
        <f t="shared" si="33"/>
        <v>0</v>
      </c>
      <c r="BC268" s="43">
        <f t="shared" si="33"/>
        <v>0</v>
      </c>
      <c r="BD268" s="43">
        <f t="shared" si="33"/>
        <v>0</v>
      </c>
      <c r="BE268" s="43">
        <f t="shared" si="33"/>
        <v>0</v>
      </c>
      <c r="BF268" s="41">
        <f t="shared" si="37"/>
        <v>880</v>
      </c>
      <c r="BG268" s="41" t="str">
        <f t="array" ref="BG268">_xlfn.IFS(
OR(MONTH(A268)=11,MONTH(A268)=12,MONTH(A268)=1,MONTH(A268)=2),"Winter",
OR(MONTH(A268)=3,MONTH(A268)=4),"Spring",
OR(MONTH(A268)=5,MONTH(A268)=6),"Summer",
OR(MONTH(A268)=7,MONTH(A268)=8,MONTH(A268)=9),"Monsoon",
MONTH(A268)=10,"Autumn/Festive",
TRUE,""
)</f>
        <v>Autumn/Festive</v>
      </c>
    </row>
    <row r="269" spans="1:59" x14ac:dyDescent="0.3">
      <c r="A269" s="39">
        <v>45594</v>
      </c>
      <c r="B269" s="40" t="str">
        <f t="shared" si="35"/>
        <v>October</v>
      </c>
      <c r="C269" s="41">
        <v>8</v>
      </c>
      <c r="D269" s="41">
        <v>3</v>
      </c>
      <c r="E269" s="41">
        <v>0</v>
      </c>
      <c r="F269" s="41">
        <v>2</v>
      </c>
      <c r="G269" s="41">
        <v>4</v>
      </c>
      <c r="H269" s="41">
        <v>1.5</v>
      </c>
      <c r="I269" s="41">
        <v>2</v>
      </c>
      <c r="J269" s="41">
        <v>2</v>
      </c>
      <c r="K269" s="41">
        <v>0</v>
      </c>
      <c r="L269" s="41">
        <v>0</v>
      </c>
      <c r="M269" s="41">
        <v>0</v>
      </c>
      <c r="N269" s="42">
        <v>110</v>
      </c>
      <c r="O269" s="42">
        <v>110</v>
      </c>
      <c r="P269" s="42">
        <v>26</v>
      </c>
      <c r="Q269" s="42">
        <v>65</v>
      </c>
      <c r="R269" s="42">
        <v>200</v>
      </c>
      <c r="S269" s="42">
        <v>230</v>
      </c>
      <c r="T269" s="42">
        <v>250</v>
      </c>
      <c r="U269" s="42">
        <v>170</v>
      </c>
      <c r="V269" s="42">
        <v>25</v>
      </c>
      <c r="W269" s="42">
        <v>4</v>
      </c>
      <c r="X269" s="42">
        <v>265</v>
      </c>
      <c r="Y269" s="43">
        <v>130</v>
      </c>
      <c r="Z269" s="43">
        <v>150</v>
      </c>
      <c r="AA269" s="43">
        <v>30</v>
      </c>
      <c r="AB269" s="43">
        <v>95</v>
      </c>
      <c r="AC269" s="43">
        <v>250</v>
      </c>
      <c r="AD269" s="43">
        <v>260</v>
      </c>
      <c r="AE269" s="43">
        <v>280</v>
      </c>
      <c r="AF269" s="43">
        <v>200</v>
      </c>
      <c r="AG269" s="43">
        <v>30</v>
      </c>
      <c r="AH269" s="43">
        <v>6</v>
      </c>
      <c r="AI269" s="43">
        <v>300</v>
      </c>
      <c r="AJ269" s="41">
        <f t="shared" si="36"/>
        <v>1040</v>
      </c>
      <c r="AK269" s="41">
        <f t="shared" si="34"/>
        <v>450</v>
      </c>
      <c r="AL269" s="41">
        <f t="shared" si="34"/>
        <v>0</v>
      </c>
      <c r="AM269" s="41">
        <f t="shared" si="34"/>
        <v>190</v>
      </c>
      <c r="AN269" s="41">
        <f t="shared" si="34"/>
        <v>1000</v>
      </c>
      <c r="AO269" s="41">
        <f t="shared" si="34"/>
        <v>390</v>
      </c>
      <c r="AP269" s="41">
        <f t="shared" si="32"/>
        <v>560</v>
      </c>
      <c r="AQ269" s="41">
        <f t="shared" si="32"/>
        <v>400</v>
      </c>
      <c r="AR269" s="41">
        <f t="shared" si="32"/>
        <v>0</v>
      </c>
      <c r="AS269" s="41">
        <f t="shared" si="32"/>
        <v>0</v>
      </c>
      <c r="AT269" s="41">
        <f t="shared" si="32"/>
        <v>0</v>
      </c>
      <c r="AU269" s="43">
        <f t="shared" si="31"/>
        <v>160</v>
      </c>
      <c r="AV269" s="43">
        <f t="shared" si="31"/>
        <v>120</v>
      </c>
      <c r="AW269" s="43">
        <f t="shared" si="31"/>
        <v>0</v>
      </c>
      <c r="AX269" s="43">
        <f t="shared" si="31"/>
        <v>60</v>
      </c>
      <c r="AY269" s="43">
        <f t="shared" si="31"/>
        <v>200</v>
      </c>
      <c r="AZ269" s="43">
        <f t="shared" si="33"/>
        <v>45</v>
      </c>
      <c r="BA269" s="43">
        <f t="shared" si="33"/>
        <v>60</v>
      </c>
      <c r="BB269" s="43">
        <f t="shared" si="33"/>
        <v>60</v>
      </c>
      <c r="BC269" s="43">
        <f t="shared" si="33"/>
        <v>0</v>
      </c>
      <c r="BD269" s="43">
        <f t="shared" si="33"/>
        <v>0</v>
      </c>
      <c r="BE269" s="43">
        <f t="shared" si="33"/>
        <v>0</v>
      </c>
      <c r="BF269" s="41">
        <f t="shared" si="37"/>
        <v>705</v>
      </c>
      <c r="BG269" s="41" t="str">
        <f t="array" ref="BG269">_xlfn.IFS(
OR(MONTH(A269)=11,MONTH(A269)=12,MONTH(A269)=1,MONTH(A269)=2),"Winter",
OR(MONTH(A269)=3,MONTH(A269)=4),"Spring",
OR(MONTH(A269)=5,MONTH(A269)=6),"Summer",
OR(MONTH(A269)=7,MONTH(A269)=8,MONTH(A269)=9),"Monsoon",
MONTH(A269)=10,"Autumn/Festive",
TRUE,""
)</f>
        <v>Autumn/Festive</v>
      </c>
    </row>
    <row r="270" spans="1:59" x14ac:dyDescent="0.3">
      <c r="A270" s="39">
        <v>45595</v>
      </c>
      <c r="B270" s="40" t="str">
        <f t="shared" si="35"/>
        <v>October</v>
      </c>
      <c r="C270" s="41">
        <v>6</v>
      </c>
      <c r="D270" s="41">
        <v>8</v>
      </c>
      <c r="E270" s="41">
        <v>0</v>
      </c>
      <c r="F270" s="41">
        <v>2</v>
      </c>
      <c r="G270" s="41">
        <v>2</v>
      </c>
      <c r="H270" s="41">
        <v>3</v>
      </c>
      <c r="I270" s="41">
        <v>2.5</v>
      </c>
      <c r="J270" s="41">
        <v>2</v>
      </c>
      <c r="K270" s="41">
        <v>0</v>
      </c>
      <c r="L270" s="41">
        <v>0</v>
      </c>
      <c r="M270" s="41">
        <v>1</v>
      </c>
      <c r="N270" s="42">
        <v>110</v>
      </c>
      <c r="O270" s="42">
        <v>110</v>
      </c>
      <c r="P270" s="42">
        <v>26</v>
      </c>
      <c r="Q270" s="42">
        <v>65</v>
      </c>
      <c r="R270" s="42">
        <v>200</v>
      </c>
      <c r="S270" s="42">
        <v>230</v>
      </c>
      <c r="T270" s="42">
        <v>250</v>
      </c>
      <c r="U270" s="42">
        <v>170</v>
      </c>
      <c r="V270" s="42">
        <v>25</v>
      </c>
      <c r="W270" s="42">
        <v>4</v>
      </c>
      <c r="X270" s="42">
        <v>265</v>
      </c>
      <c r="Y270" s="43">
        <v>130</v>
      </c>
      <c r="Z270" s="43">
        <v>150</v>
      </c>
      <c r="AA270" s="43">
        <v>30</v>
      </c>
      <c r="AB270" s="43">
        <v>95</v>
      </c>
      <c r="AC270" s="43">
        <v>250</v>
      </c>
      <c r="AD270" s="43">
        <v>260</v>
      </c>
      <c r="AE270" s="43">
        <v>280</v>
      </c>
      <c r="AF270" s="43">
        <v>200</v>
      </c>
      <c r="AG270" s="43">
        <v>30</v>
      </c>
      <c r="AH270" s="43">
        <v>6</v>
      </c>
      <c r="AI270" s="43">
        <v>300</v>
      </c>
      <c r="AJ270" s="41">
        <f t="shared" si="36"/>
        <v>780</v>
      </c>
      <c r="AK270" s="41">
        <f t="shared" si="34"/>
        <v>1200</v>
      </c>
      <c r="AL270" s="41">
        <f t="shared" si="34"/>
        <v>0</v>
      </c>
      <c r="AM270" s="41">
        <f t="shared" si="34"/>
        <v>190</v>
      </c>
      <c r="AN270" s="41">
        <f t="shared" si="34"/>
        <v>500</v>
      </c>
      <c r="AO270" s="41">
        <f t="shared" si="34"/>
        <v>780</v>
      </c>
      <c r="AP270" s="41">
        <f t="shared" si="32"/>
        <v>700</v>
      </c>
      <c r="AQ270" s="41">
        <f t="shared" si="32"/>
        <v>400</v>
      </c>
      <c r="AR270" s="41">
        <f t="shared" si="32"/>
        <v>0</v>
      </c>
      <c r="AS270" s="41">
        <f t="shared" si="32"/>
        <v>0</v>
      </c>
      <c r="AT270" s="41">
        <f t="shared" si="32"/>
        <v>300</v>
      </c>
      <c r="AU270" s="43">
        <f t="shared" ref="AU270:BB333" si="38">AJ270-(C270*N270)</f>
        <v>120</v>
      </c>
      <c r="AV270" s="43">
        <f t="shared" si="38"/>
        <v>320</v>
      </c>
      <c r="AW270" s="43">
        <f t="shared" si="38"/>
        <v>0</v>
      </c>
      <c r="AX270" s="43">
        <f t="shared" si="38"/>
        <v>60</v>
      </c>
      <c r="AY270" s="43">
        <f t="shared" si="38"/>
        <v>100</v>
      </c>
      <c r="AZ270" s="43">
        <f t="shared" si="33"/>
        <v>90</v>
      </c>
      <c r="BA270" s="43">
        <f t="shared" si="33"/>
        <v>75</v>
      </c>
      <c r="BB270" s="43">
        <f t="shared" si="33"/>
        <v>60</v>
      </c>
      <c r="BC270" s="43">
        <f t="shared" si="33"/>
        <v>0</v>
      </c>
      <c r="BD270" s="43">
        <f t="shared" si="33"/>
        <v>0</v>
      </c>
      <c r="BE270" s="43">
        <f t="shared" si="33"/>
        <v>35</v>
      </c>
      <c r="BF270" s="41">
        <f t="shared" si="37"/>
        <v>860</v>
      </c>
      <c r="BG270" s="41" t="str">
        <f t="array" ref="BG270">_xlfn.IFS(
OR(MONTH(A270)=11,MONTH(A270)=12,MONTH(A270)=1,MONTH(A270)=2),"Winter",
OR(MONTH(A270)=3,MONTH(A270)=4),"Spring",
OR(MONTH(A270)=5,MONTH(A270)=6),"Summer",
OR(MONTH(A270)=7,MONTH(A270)=8,MONTH(A270)=9),"Monsoon",
MONTH(A270)=10,"Autumn/Festive",
TRUE,""
)</f>
        <v>Autumn/Festive</v>
      </c>
    </row>
    <row r="271" spans="1:59" x14ac:dyDescent="0.3">
      <c r="A271" s="39">
        <v>45596</v>
      </c>
      <c r="B271" s="40" t="str">
        <f t="shared" si="35"/>
        <v>October</v>
      </c>
      <c r="C271" s="41">
        <v>6</v>
      </c>
      <c r="D271" s="41">
        <v>0</v>
      </c>
      <c r="E271" s="41">
        <v>0</v>
      </c>
      <c r="F271" s="41">
        <v>4</v>
      </c>
      <c r="G271" s="41">
        <v>2</v>
      </c>
      <c r="H271" s="41">
        <v>1</v>
      </c>
      <c r="I271" s="41">
        <v>2.5</v>
      </c>
      <c r="J271" s="41">
        <v>2</v>
      </c>
      <c r="K271" s="41">
        <v>1</v>
      </c>
      <c r="L271" s="41">
        <v>14</v>
      </c>
      <c r="M271" s="41">
        <v>2</v>
      </c>
      <c r="N271" s="42">
        <v>110</v>
      </c>
      <c r="O271" s="42">
        <v>110</v>
      </c>
      <c r="P271" s="42">
        <v>26</v>
      </c>
      <c r="Q271" s="42">
        <v>65</v>
      </c>
      <c r="R271" s="42">
        <v>200</v>
      </c>
      <c r="S271" s="42">
        <v>230</v>
      </c>
      <c r="T271" s="42">
        <v>250</v>
      </c>
      <c r="U271" s="42">
        <v>170</v>
      </c>
      <c r="V271" s="42">
        <v>25</v>
      </c>
      <c r="W271" s="42">
        <v>4</v>
      </c>
      <c r="X271" s="42">
        <v>265</v>
      </c>
      <c r="Y271" s="43">
        <v>130</v>
      </c>
      <c r="Z271" s="43">
        <v>150</v>
      </c>
      <c r="AA271" s="43">
        <v>30</v>
      </c>
      <c r="AB271" s="43">
        <v>95</v>
      </c>
      <c r="AC271" s="43">
        <v>250</v>
      </c>
      <c r="AD271" s="43">
        <v>260</v>
      </c>
      <c r="AE271" s="43">
        <v>280</v>
      </c>
      <c r="AF271" s="43">
        <v>200</v>
      </c>
      <c r="AG271" s="43">
        <v>30</v>
      </c>
      <c r="AH271" s="43">
        <v>6</v>
      </c>
      <c r="AI271" s="43">
        <v>300</v>
      </c>
      <c r="AJ271" s="41">
        <f t="shared" si="36"/>
        <v>780</v>
      </c>
      <c r="AK271" s="41">
        <f t="shared" si="34"/>
        <v>0</v>
      </c>
      <c r="AL271" s="41">
        <f t="shared" si="34"/>
        <v>0</v>
      </c>
      <c r="AM271" s="41">
        <f t="shared" si="34"/>
        <v>380</v>
      </c>
      <c r="AN271" s="41">
        <f t="shared" si="34"/>
        <v>500</v>
      </c>
      <c r="AO271" s="41">
        <f t="shared" si="34"/>
        <v>260</v>
      </c>
      <c r="AP271" s="41">
        <f t="shared" si="32"/>
        <v>700</v>
      </c>
      <c r="AQ271" s="41">
        <f t="shared" si="32"/>
        <v>400</v>
      </c>
      <c r="AR271" s="41">
        <f t="shared" si="32"/>
        <v>30</v>
      </c>
      <c r="AS271" s="41">
        <f t="shared" si="32"/>
        <v>84</v>
      </c>
      <c r="AT271" s="41">
        <f t="shared" si="32"/>
        <v>600</v>
      </c>
      <c r="AU271" s="43">
        <f t="shared" si="38"/>
        <v>120</v>
      </c>
      <c r="AV271" s="43">
        <f t="shared" si="38"/>
        <v>0</v>
      </c>
      <c r="AW271" s="43">
        <f t="shared" si="38"/>
        <v>0</v>
      </c>
      <c r="AX271" s="43">
        <f t="shared" si="38"/>
        <v>120</v>
      </c>
      <c r="AY271" s="43">
        <f t="shared" si="38"/>
        <v>100</v>
      </c>
      <c r="AZ271" s="43">
        <f t="shared" si="33"/>
        <v>30</v>
      </c>
      <c r="BA271" s="43">
        <f t="shared" si="33"/>
        <v>75</v>
      </c>
      <c r="BB271" s="43">
        <f t="shared" si="33"/>
        <v>60</v>
      </c>
      <c r="BC271" s="43">
        <f t="shared" si="33"/>
        <v>5</v>
      </c>
      <c r="BD271" s="43">
        <f t="shared" si="33"/>
        <v>28</v>
      </c>
      <c r="BE271" s="43">
        <f t="shared" si="33"/>
        <v>70</v>
      </c>
      <c r="BF271" s="41">
        <f t="shared" si="37"/>
        <v>608</v>
      </c>
      <c r="BG271" s="41" t="str">
        <f t="array" ref="BG271">_xlfn.IFS(
OR(MONTH(A271)=11,MONTH(A271)=12,MONTH(A271)=1,MONTH(A271)=2),"Winter",
OR(MONTH(A271)=3,MONTH(A271)=4),"Spring",
OR(MONTH(A271)=5,MONTH(A271)=6),"Summer",
OR(MONTH(A271)=7,MONTH(A271)=8,MONTH(A271)=9),"Monsoon",
MONTH(A271)=10,"Autumn/Festive",
TRUE,""
)</f>
        <v>Autumn/Festive</v>
      </c>
    </row>
    <row r="272" spans="1:59" x14ac:dyDescent="0.3">
      <c r="A272" s="39">
        <v>45597</v>
      </c>
      <c r="B272" s="40" t="str">
        <f t="shared" si="35"/>
        <v>November</v>
      </c>
      <c r="C272" s="41">
        <v>7</v>
      </c>
      <c r="D272" s="41">
        <v>2</v>
      </c>
      <c r="E272" s="41">
        <v>0</v>
      </c>
      <c r="F272" s="41">
        <v>0</v>
      </c>
      <c r="G272" s="41">
        <v>0</v>
      </c>
      <c r="H272" s="41">
        <v>3.25</v>
      </c>
      <c r="I272" s="41">
        <v>0</v>
      </c>
      <c r="J272" s="41">
        <v>0</v>
      </c>
      <c r="K272" s="41">
        <v>0</v>
      </c>
      <c r="L272" s="41">
        <v>0</v>
      </c>
      <c r="M272" s="41">
        <v>0</v>
      </c>
      <c r="N272" s="42">
        <v>110</v>
      </c>
      <c r="O272" s="42">
        <v>110</v>
      </c>
      <c r="P272" s="42">
        <v>26</v>
      </c>
      <c r="Q272" s="42">
        <v>65</v>
      </c>
      <c r="R272" s="42">
        <v>200</v>
      </c>
      <c r="S272" s="42">
        <v>230</v>
      </c>
      <c r="T272" s="42">
        <v>250</v>
      </c>
      <c r="U272" s="42">
        <v>170</v>
      </c>
      <c r="V272" s="42">
        <v>25</v>
      </c>
      <c r="W272" s="42">
        <v>4</v>
      </c>
      <c r="X272" s="42">
        <v>265</v>
      </c>
      <c r="Y272" s="43">
        <v>130</v>
      </c>
      <c r="Z272" s="43">
        <v>150</v>
      </c>
      <c r="AA272" s="43">
        <v>30</v>
      </c>
      <c r="AB272" s="43">
        <v>95</v>
      </c>
      <c r="AC272" s="43">
        <v>250</v>
      </c>
      <c r="AD272" s="43">
        <v>260</v>
      </c>
      <c r="AE272" s="43">
        <v>280</v>
      </c>
      <c r="AF272" s="43">
        <v>200</v>
      </c>
      <c r="AG272" s="43">
        <v>30</v>
      </c>
      <c r="AH272" s="43">
        <v>6</v>
      </c>
      <c r="AI272" s="43">
        <v>300</v>
      </c>
      <c r="AJ272" s="41">
        <f t="shared" si="36"/>
        <v>910</v>
      </c>
      <c r="AK272" s="41">
        <f t="shared" si="34"/>
        <v>300</v>
      </c>
      <c r="AL272" s="41">
        <f t="shared" si="34"/>
        <v>0</v>
      </c>
      <c r="AM272" s="41">
        <f t="shared" si="34"/>
        <v>0</v>
      </c>
      <c r="AN272" s="41">
        <f t="shared" si="34"/>
        <v>0</v>
      </c>
      <c r="AO272" s="41">
        <f t="shared" si="34"/>
        <v>845</v>
      </c>
      <c r="AP272" s="41">
        <f t="shared" si="32"/>
        <v>0</v>
      </c>
      <c r="AQ272" s="41">
        <f t="shared" si="32"/>
        <v>0</v>
      </c>
      <c r="AR272" s="41">
        <f t="shared" si="32"/>
        <v>0</v>
      </c>
      <c r="AS272" s="41">
        <f t="shared" si="32"/>
        <v>0</v>
      </c>
      <c r="AT272" s="41">
        <f t="shared" si="32"/>
        <v>0</v>
      </c>
      <c r="AU272" s="43">
        <f t="shared" si="38"/>
        <v>140</v>
      </c>
      <c r="AV272" s="43">
        <f t="shared" si="38"/>
        <v>80</v>
      </c>
      <c r="AW272" s="43">
        <f t="shared" si="38"/>
        <v>0</v>
      </c>
      <c r="AX272" s="43">
        <f t="shared" si="38"/>
        <v>0</v>
      </c>
      <c r="AY272" s="43">
        <f t="shared" si="38"/>
        <v>0</v>
      </c>
      <c r="AZ272" s="43">
        <f t="shared" si="33"/>
        <v>97.5</v>
      </c>
      <c r="BA272" s="43">
        <f t="shared" si="33"/>
        <v>0</v>
      </c>
      <c r="BB272" s="43">
        <f t="shared" si="33"/>
        <v>0</v>
      </c>
      <c r="BC272" s="43">
        <f t="shared" si="33"/>
        <v>0</v>
      </c>
      <c r="BD272" s="43">
        <f t="shared" si="33"/>
        <v>0</v>
      </c>
      <c r="BE272" s="43">
        <f t="shared" si="33"/>
        <v>0</v>
      </c>
      <c r="BF272" s="41">
        <f t="shared" si="37"/>
        <v>317.5</v>
      </c>
      <c r="BG272" s="41" t="str">
        <f t="array" ref="BG272">_xlfn.IFS(
OR(MONTH(A272)=11,MONTH(A272)=12,MONTH(A272)=1,MONTH(A272)=2),"Winter",
OR(MONTH(A272)=3,MONTH(A272)=4),"Spring",
OR(MONTH(A272)=5,MONTH(A272)=6),"Summer",
OR(MONTH(A272)=7,MONTH(A272)=8,MONTH(A272)=9),"Monsoon",
MONTH(A272)=10,"Autumn/Festive",
TRUE,""
)</f>
        <v>Winter</v>
      </c>
    </row>
    <row r="273" spans="1:59" x14ac:dyDescent="0.3">
      <c r="A273" s="39">
        <v>45598</v>
      </c>
      <c r="B273" s="40" t="str">
        <f t="shared" si="35"/>
        <v>November</v>
      </c>
      <c r="C273" s="41">
        <v>2</v>
      </c>
      <c r="D273" s="41">
        <v>1</v>
      </c>
      <c r="E273" s="41">
        <v>0</v>
      </c>
      <c r="F273" s="41">
        <v>0</v>
      </c>
      <c r="G273" s="41">
        <v>0</v>
      </c>
      <c r="H273" s="41">
        <v>2</v>
      </c>
      <c r="I273" s="41">
        <v>0.5</v>
      </c>
      <c r="J273" s="41">
        <v>0</v>
      </c>
      <c r="K273" s="41">
        <v>2</v>
      </c>
      <c r="L273" s="41">
        <v>6</v>
      </c>
      <c r="M273" s="41">
        <v>1</v>
      </c>
      <c r="N273" s="42">
        <v>110</v>
      </c>
      <c r="O273" s="42">
        <v>110</v>
      </c>
      <c r="P273" s="42">
        <v>26</v>
      </c>
      <c r="Q273" s="42">
        <v>65</v>
      </c>
      <c r="R273" s="42">
        <v>200</v>
      </c>
      <c r="S273" s="42">
        <v>230</v>
      </c>
      <c r="T273" s="42">
        <v>250</v>
      </c>
      <c r="U273" s="42">
        <v>170</v>
      </c>
      <c r="V273" s="42">
        <v>25</v>
      </c>
      <c r="W273" s="42">
        <v>4</v>
      </c>
      <c r="X273" s="42">
        <v>265</v>
      </c>
      <c r="Y273" s="43">
        <v>130</v>
      </c>
      <c r="Z273" s="43">
        <v>150</v>
      </c>
      <c r="AA273" s="43">
        <v>30</v>
      </c>
      <c r="AB273" s="43">
        <v>95</v>
      </c>
      <c r="AC273" s="43">
        <v>250</v>
      </c>
      <c r="AD273" s="43">
        <v>260</v>
      </c>
      <c r="AE273" s="43">
        <v>280</v>
      </c>
      <c r="AF273" s="43">
        <v>200</v>
      </c>
      <c r="AG273" s="43">
        <v>30</v>
      </c>
      <c r="AH273" s="43">
        <v>6</v>
      </c>
      <c r="AI273" s="43">
        <v>300</v>
      </c>
      <c r="AJ273" s="41">
        <f t="shared" si="36"/>
        <v>260</v>
      </c>
      <c r="AK273" s="41">
        <f t="shared" si="34"/>
        <v>150</v>
      </c>
      <c r="AL273" s="41">
        <f t="shared" si="34"/>
        <v>0</v>
      </c>
      <c r="AM273" s="41">
        <f t="shared" si="34"/>
        <v>0</v>
      </c>
      <c r="AN273" s="41">
        <f t="shared" si="34"/>
        <v>0</v>
      </c>
      <c r="AO273" s="41">
        <f t="shared" si="34"/>
        <v>520</v>
      </c>
      <c r="AP273" s="41">
        <f t="shared" si="32"/>
        <v>140</v>
      </c>
      <c r="AQ273" s="41">
        <f t="shared" si="32"/>
        <v>0</v>
      </c>
      <c r="AR273" s="41">
        <f t="shared" si="32"/>
        <v>60</v>
      </c>
      <c r="AS273" s="41">
        <f t="shared" si="32"/>
        <v>36</v>
      </c>
      <c r="AT273" s="41">
        <f t="shared" si="32"/>
        <v>300</v>
      </c>
      <c r="AU273" s="43">
        <f t="shared" si="38"/>
        <v>40</v>
      </c>
      <c r="AV273" s="43">
        <f t="shared" si="38"/>
        <v>40</v>
      </c>
      <c r="AW273" s="43">
        <f t="shared" si="38"/>
        <v>0</v>
      </c>
      <c r="AX273" s="43">
        <f t="shared" si="38"/>
        <v>0</v>
      </c>
      <c r="AY273" s="43">
        <f t="shared" si="38"/>
        <v>0</v>
      </c>
      <c r="AZ273" s="43">
        <f t="shared" si="33"/>
        <v>60</v>
      </c>
      <c r="BA273" s="43">
        <f t="shared" si="33"/>
        <v>15</v>
      </c>
      <c r="BB273" s="43">
        <f t="shared" si="33"/>
        <v>0</v>
      </c>
      <c r="BC273" s="43">
        <f t="shared" si="33"/>
        <v>10</v>
      </c>
      <c r="BD273" s="43">
        <f t="shared" si="33"/>
        <v>12</v>
      </c>
      <c r="BE273" s="43">
        <f t="shared" si="33"/>
        <v>35</v>
      </c>
      <c r="BF273" s="41">
        <f t="shared" si="37"/>
        <v>212</v>
      </c>
      <c r="BG273" s="41" t="str">
        <f t="array" ref="BG273">_xlfn.IFS(
OR(MONTH(A273)=11,MONTH(A273)=12,MONTH(A273)=1,MONTH(A273)=2),"Winter",
OR(MONTH(A273)=3,MONTH(A273)=4),"Spring",
OR(MONTH(A273)=5,MONTH(A273)=6),"Summer",
OR(MONTH(A273)=7,MONTH(A273)=8,MONTH(A273)=9),"Monsoon",
MONTH(A273)=10,"Autumn/Festive",
TRUE,""
)</f>
        <v>Winter</v>
      </c>
    </row>
    <row r="274" spans="1:59" x14ac:dyDescent="0.3">
      <c r="A274" s="39">
        <v>45599</v>
      </c>
      <c r="B274" s="40" t="str">
        <f t="shared" si="35"/>
        <v>November</v>
      </c>
      <c r="C274" s="41">
        <v>4</v>
      </c>
      <c r="D274" s="41">
        <v>2</v>
      </c>
      <c r="E274" s="41">
        <v>0</v>
      </c>
      <c r="F274" s="41">
        <v>0</v>
      </c>
      <c r="G274" s="41">
        <v>0</v>
      </c>
      <c r="H274" s="41">
        <v>1</v>
      </c>
      <c r="I274" s="41">
        <v>2</v>
      </c>
      <c r="J274" s="41">
        <v>0</v>
      </c>
      <c r="K274" s="41">
        <v>1</v>
      </c>
      <c r="L274" s="41">
        <v>0</v>
      </c>
      <c r="M274" s="41">
        <v>1</v>
      </c>
      <c r="N274" s="42">
        <v>110</v>
      </c>
      <c r="O274" s="42">
        <v>110</v>
      </c>
      <c r="P274" s="42">
        <v>26</v>
      </c>
      <c r="Q274" s="42">
        <v>65</v>
      </c>
      <c r="R274" s="42">
        <v>200</v>
      </c>
      <c r="S274" s="42">
        <v>230</v>
      </c>
      <c r="T274" s="42">
        <v>250</v>
      </c>
      <c r="U274" s="42">
        <v>170</v>
      </c>
      <c r="V274" s="42">
        <v>25</v>
      </c>
      <c r="W274" s="42">
        <v>4</v>
      </c>
      <c r="X274" s="42">
        <v>265</v>
      </c>
      <c r="Y274" s="43">
        <v>130</v>
      </c>
      <c r="Z274" s="43">
        <v>150</v>
      </c>
      <c r="AA274" s="43">
        <v>30</v>
      </c>
      <c r="AB274" s="43">
        <v>95</v>
      </c>
      <c r="AC274" s="43">
        <v>250</v>
      </c>
      <c r="AD274" s="43">
        <v>260</v>
      </c>
      <c r="AE274" s="43">
        <v>280</v>
      </c>
      <c r="AF274" s="43">
        <v>200</v>
      </c>
      <c r="AG274" s="43">
        <v>30</v>
      </c>
      <c r="AH274" s="43">
        <v>6</v>
      </c>
      <c r="AI274" s="43">
        <v>300</v>
      </c>
      <c r="AJ274" s="41">
        <f t="shared" si="36"/>
        <v>520</v>
      </c>
      <c r="AK274" s="41">
        <f t="shared" si="34"/>
        <v>300</v>
      </c>
      <c r="AL274" s="41">
        <f t="shared" si="34"/>
        <v>0</v>
      </c>
      <c r="AM274" s="41">
        <f t="shared" si="34"/>
        <v>0</v>
      </c>
      <c r="AN274" s="41">
        <f t="shared" si="34"/>
        <v>0</v>
      </c>
      <c r="AO274" s="41">
        <f t="shared" si="34"/>
        <v>260</v>
      </c>
      <c r="AP274" s="41">
        <f t="shared" si="32"/>
        <v>560</v>
      </c>
      <c r="AQ274" s="41">
        <f t="shared" si="32"/>
        <v>0</v>
      </c>
      <c r="AR274" s="41">
        <f t="shared" si="32"/>
        <v>30</v>
      </c>
      <c r="AS274" s="41">
        <f t="shared" si="32"/>
        <v>0</v>
      </c>
      <c r="AT274" s="41">
        <f t="shared" si="32"/>
        <v>300</v>
      </c>
      <c r="AU274" s="43">
        <f t="shared" si="38"/>
        <v>80</v>
      </c>
      <c r="AV274" s="43">
        <f t="shared" si="38"/>
        <v>80</v>
      </c>
      <c r="AW274" s="43">
        <f t="shared" si="38"/>
        <v>0</v>
      </c>
      <c r="AX274" s="43">
        <f t="shared" si="38"/>
        <v>0</v>
      </c>
      <c r="AY274" s="43">
        <f t="shared" si="38"/>
        <v>0</v>
      </c>
      <c r="AZ274" s="43">
        <f t="shared" si="33"/>
        <v>30</v>
      </c>
      <c r="BA274" s="43">
        <f t="shared" si="33"/>
        <v>60</v>
      </c>
      <c r="BB274" s="43">
        <f t="shared" si="33"/>
        <v>0</v>
      </c>
      <c r="BC274" s="43">
        <f t="shared" si="33"/>
        <v>5</v>
      </c>
      <c r="BD274" s="43">
        <f t="shared" si="33"/>
        <v>0</v>
      </c>
      <c r="BE274" s="43">
        <f t="shared" si="33"/>
        <v>35</v>
      </c>
      <c r="BF274" s="41">
        <f t="shared" si="37"/>
        <v>290</v>
      </c>
      <c r="BG274" s="41" t="str">
        <f t="array" ref="BG274">_xlfn.IFS(
OR(MONTH(A274)=11,MONTH(A274)=12,MONTH(A274)=1,MONTH(A274)=2),"Winter",
OR(MONTH(A274)=3,MONTH(A274)=4),"Spring",
OR(MONTH(A274)=5,MONTH(A274)=6),"Summer",
OR(MONTH(A274)=7,MONTH(A274)=8,MONTH(A274)=9),"Monsoon",
MONTH(A274)=10,"Autumn/Festive",
TRUE,""
)</f>
        <v>Winter</v>
      </c>
    </row>
    <row r="275" spans="1:59" x14ac:dyDescent="0.3">
      <c r="A275" s="39">
        <v>45600</v>
      </c>
      <c r="B275" s="40" t="str">
        <f t="shared" si="35"/>
        <v>November</v>
      </c>
      <c r="C275" s="41">
        <v>2</v>
      </c>
      <c r="D275" s="41">
        <v>0</v>
      </c>
      <c r="E275" s="41">
        <v>0</v>
      </c>
      <c r="F275" s="41">
        <v>0</v>
      </c>
      <c r="G275" s="41">
        <v>0</v>
      </c>
      <c r="H275" s="41">
        <v>0.75</v>
      </c>
      <c r="I275" s="41">
        <v>2</v>
      </c>
      <c r="J275" s="41">
        <v>0</v>
      </c>
      <c r="K275" s="41">
        <v>2</v>
      </c>
      <c r="L275" s="41">
        <v>0</v>
      </c>
      <c r="M275" s="41">
        <v>1</v>
      </c>
      <c r="N275" s="42">
        <v>110</v>
      </c>
      <c r="O275" s="42">
        <v>110</v>
      </c>
      <c r="P275" s="42">
        <v>26</v>
      </c>
      <c r="Q275" s="42">
        <v>65</v>
      </c>
      <c r="R275" s="42">
        <v>200</v>
      </c>
      <c r="S275" s="42">
        <v>230</v>
      </c>
      <c r="T275" s="42">
        <v>250</v>
      </c>
      <c r="U275" s="42">
        <v>170</v>
      </c>
      <c r="V275" s="42">
        <v>25</v>
      </c>
      <c r="W275" s="42">
        <v>4</v>
      </c>
      <c r="X275" s="42">
        <v>265</v>
      </c>
      <c r="Y275" s="43">
        <v>130</v>
      </c>
      <c r="Z275" s="43">
        <v>150</v>
      </c>
      <c r="AA275" s="43">
        <v>30</v>
      </c>
      <c r="AB275" s="43">
        <v>95</v>
      </c>
      <c r="AC275" s="43">
        <v>250</v>
      </c>
      <c r="AD275" s="43">
        <v>260</v>
      </c>
      <c r="AE275" s="43">
        <v>280</v>
      </c>
      <c r="AF275" s="43">
        <v>200</v>
      </c>
      <c r="AG275" s="43">
        <v>30</v>
      </c>
      <c r="AH275" s="43">
        <v>6</v>
      </c>
      <c r="AI275" s="43">
        <v>300</v>
      </c>
      <c r="AJ275" s="41">
        <f t="shared" si="36"/>
        <v>260</v>
      </c>
      <c r="AK275" s="41">
        <f t="shared" si="34"/>
        <v>0</v>
      </c>
      <c r="AL275" s="41">
        <f t="shared" si="34"/>
        <v>0</v>
      </c>
      <c r="AM275" s="41">
        <f t="shared" si="34"/>
        <v>0</v>
      </c>
      <c r="AN275" s="41">
        <f t="shared" si="34"/>
        <v>0</v>
      </c>
      <c r="AO275" s="41">
        <f t="shared" si="34"/>
        <v>195</v>
      </c>
      <c r="AP275" s="41">
        <f t="shared" si="32"/>
        <v>560</v>
      </c>
      <c r="AQ275" s="41">
        <f t="shared" si="32"/>
        <v>0</v>
      </c>
      <c r="AR275" s="41">
        <f t="shared" si="32"/>
        <v>60</v>
      </c>
      <c r="AS275" s="41">
        <f t="shared" si="32"/>
        <v>0</v>
      </c>
      <c r="AT275" s="41">
        <f t="shared" si="32"/>
        <v>300</v>
      </c>
      <c r="AU275" s="43">
        <f t="shared" si="38"/>
        <v>40</v>
      </c>
      <c r="AV275" s="43">
        <f t="shared" si="38"/>
        <v>0</v>
      </c>
      <c r="AW275" s="43">
        <f t="shared" si="38"/>
        <v>0</v>
      </c>
      <c r="AX275" s="43">
        <f t="shared" si="38"/>
        <v>0</v>
      </c>
      <c r="AY275" s="43">
        <f t="shared" si="38"/>
        <v>0</v>
      </c>
      <c r="AZ275" s="43">
        <f t="shared" si="33"/>
        <v>22.5</v>
      </c>
      <c r="BA275" s="43">
        <f t="shared" si="33"/>
        <v>60</v>
      </c>
      <c r="BB275" s="43">
        <f t="shared" si="33"/>
        <v>0</v>
      </c>
      <c r="BC275" s="43">
        <f t="shared" ref="BC275:BE338" si="39">AR275-(K275*V275)</f>
        <v>10</v>
      </c>
      <c r="BD275" s="43">
        <f t="shared" si="39"/>
        <v>0</v>
      </c>
      <c r="BE275" s="43">
        <f t="shared" si="39"/>
        <v>35</v>
      </c>
      <c r="BF275" s="41">
        <f t="shared" si="37"/>
        <v>167.5</v>
      </c>
      <c r="BG275" s="41" t="str">
        <f t="array" ref="BG275">_xlfn.IFS(
OR(MONTH(A275)=11,MONTH(A275)=12,MONTH(A275)=1,MONTH(A275)=2),"Winter",
OR(MONTH(A275)=3,MONTH(A275)=4),"Spring",
OR(MONTH(A275)=5,MONTH(A275)=6),"Summer",
OR(MONTH(A275)=7,MONTH(A275)=8,MONTH(A275)=9),"Monsoon",
MONTH(A275)=10,"Autumn/Festive",
TRUE,""
)</f>
        <v>Winter</v>
      </c>
    </row>
    <row r="276" spans="1:59" x14ac:dyDescent="0.3">
      <c r="A276" s="39">
        <v>45601</v>
      </c>
      <c r="B276" s="40" t="str">
        <f t="shared" si="35"/>
        <v>November</v>
      </c>
      <c r="C276" s="41">
        <v>3</v>
      </c>
      <c r="D276" s="41">
        <v>0</v>
      </c>
      <c r="E276" s="41">
        <v>0</v>
      </c>
      <c r="F276" s="41">
        <v>0</v>
      </c>
      <c r="G276" s="41">
        <v>0</v>
      </c>
      <c r="H276" s="41">
        <v>4.5</v>
      </c>
      <c r="I276" s="41">
        <v>0.25</v>
      </c>
      <c r="J276" s="41">
        <v>0</v>
      </c>
      <c r="K276" s="41">
        <v>0</v>
      </c>
      <c r="L276" s="41">
        <v>6</v>
      </c>
      <c r="M276" s="41">
        <v>2</v>
      </c>
      <c r="N276" s="42">
        <v>110</v>
      </c>
      <c r="O276" s="42">
        <v>110</v>
      </c>
      <c r="P276" s="42">
        <v>26</v>
      </c>
      <c r="Q276" s="42">
        <v>65</v>
      </c>
      <c r="R276" s="42">
        <v>200</v>
      </c>
      <c r="S276" s="42">
        <v>230</v>
      </c>
      <c r="T276" s="42">
        <v>250</v>
      </c>
      <c r="U276" s="42">
        <v>170</v>
      </c>
      <c r="V276" s="42">
        <v>25</v>
      </c>
      <c r="W276" s="42">
        <v>4</v>
      </c>
      <c r="X276" s="42">
        <v>265</v>
      </c>
      <c r="Y276" s="43">
        <v>130</v>
      </c>
      <c r="Z276" s="43">
        <v>150</v>
      </c>
      <c r="AA276" s="43">
        <v>30</v>
      </c>
      <c r="AB276" s="43">
        <v>95</v>
      </c>
      <c r="AC276" s="43">
        <v>250</v>
      </c>
      <c r="AD276" s="43">
        <v>260</v>
      </c>
      <c r="AE276" s="43">
        <v>280</v>
      </c>
      <c r="AF276" s="43">
        <v>200</v>
      </c>
      <c r="AG276" s="43">
        <v>30</v>
      </c>
      <c r="AH276" s="43">
        <v>6</v>
      </c>
      <c r="AI276" s="43">
        <v>300</v>
      </c>
      <c r="AJ276" s="41">
        <f t="shared" si="36"/>
        <v>390</v>
      </c>
      <c r="AK276" s="41">
        <f t="shared" si="34"/>
        <v>0</v>
      </c>
      <c r="AL276" s="41">
        <f t="shared" si="34"/>
        <v>0</v>
      </c>
      <c r="AM276" s="41">
        <f t="shared" si="34"/>
        <v>0</v>
      </c>
      <c r="AN276" s="41">
        <f t="shared" si="34"/>
        <v>0</v>
      </c>
      <c r="AO276" s="41">
        <f t="shared" si="34"/>
        <v>1170</v>
      </c>
      <c r="AP276" s="41">
        <f t="shared" si="32"/>
        <v>70</v>
      </c>
      <c r="AQ276" s="41">
        <f t="shared" si="32"/>
        <v>0</v>
      </c>
      <c r="AR276" s="41">
        <f t="shared" si="32"/>
        <v>0</v>
      </c>
      <c r="AS276" s="41">
        <f t="shared" si="32"/>
        <v>36</v>
      </c>
      <c r="AT276" s="41">
        <f t="shared" si="32"/>
        <v>600</v>
      </c>
      <c r="AU276" s="43">
        <f t="shared" si="38"/>
        <v>60</v>
      </c>
      <c r="AV276" s="43">
        <f t="shared" si="38"/>
        <v>0</v>
      </c>
      <c r="AW276" s="43">
        <f t="shared" si="38"/>
        <v>0</v>
      </c>
      <c r="AX276" s="43">
        <f t="shared" si="38"/>
        <v>0</v>
      </c>
      <c r="AY276" s="43">
        <f t="shared" si="38"/>
        <v>0</v>
      </c>
      <c r="AZ276" s="43">
        <f t="shared" si="38"/>
        <v>135</v>
      </c>
      <c r="BA276" s="43">
        <f t="shared" si="38"/>
        <v>7.5</v>
      </c>
      <c r="BB276" s="43">
        <f t="shared" si="38"/>
        <v>0</v>
      </c>
      <c r="BC276" s="43">
        <f t="shared" si="39"/>
        <v>0</v>
      </c>
      <c r="BD276" s="43">
        <f t="shared" si="39"/>
        <v>12</v>
      </c>
      <c r="BE276" s="43">
        <f t="shared" si="39"/>
        <v>70</v>
      </c>
      <c r="BF276" s="41">
        <f t="shared" si="37"/>
        <v>284.5</v>
      </c>
      <c r="BG276" s="41" t="str">
        <f t="array" ref="BG276">_xlfn.IFS(
OR(MONTH(A276)=11,MONTH(A276)=12,MONTH(A276)=1,MONTH(A276)=2),"Winter",
OR(MONTH(A276)=3,MONTH(A276)=4),"Spring",
OR(MONTH(A276)=5,MONTH(A276)=6),"Summer",
OR(MONTH(A276)=7,MONTH(A276)=8,MONTH(A276)=9),"Monsoon",
MONTH(A276)=10,"Autumn/Festive",
TRUE,""
)</f>
        <v>Winter</v>
      </c>
    </row>
    <row r="277" spans="1:59" x14ac:dyDescent="0.3">
      <c r="A277" s="39">
        <v>45602</v>
      </c>
      <c r="B277" s="40" t="str">
        <f t="shared" si="35"/>
        <v>November</v>
      </c>
      <c r="C277" s="41">
        <v>0</v>
      </c>
      <c r="D277" s="41">
        <v>0</v>
      </c>
      <c r="E277" s="41">
        <v>0</v>
      </c>
      <c r="F277" s="41">
        <v>0</v>
      </c>
      <c r="G277" s="41">
        <v>0</v>
      </c>
      <c r="H277" s="41">
        <v>1.5</v>
      </c>
      <c r="I277" s="41">
        <v>0</v>
      </c>
      <c r="J277" s="41">
        <v>1</v>
      </c>
      <c r="K277" s="41">
        <v>4</v>
      </c>
      <c r="L277" s="41">
        <v>18</v>
      </c>
      <c r="M277" s="41">
        <v>0</v>
      </c>
      <c r="N277" s="42">
        <v>110</v>
      </c>
      <c r="O277" s="42">
        <v>110</v>
      </c>
      <c r="P277" s="42">
        <v>26</v>
      </c>
      <c r="Q277" s="42">
        <v>65</v>
      </c>
      <c r="R277" s="42">
        <v>200</v>
      </c>
      <c r="S277" s="42">
        <v>230</v>
      </c>
      <c r="T277" s="42">
        <v>250</v>
      </c>
      <c r="U277" s="42">
        <v>170</v>
      </c>
      <c r="V277" s="42">
        <v>25</v>
      </c>
      <c r="W277" s="42">
        <v>4</v>
      </c>
      <c r="X277" s="42">
        <v>265</v>
      </c>
      <c r="Y277" s="43">
        <v>130</v>
      </c>
      <c r="Z277" s="43">
        <v>150</v>
      </c>
      <c r="AA277" s="43">
        <v>30</v>
      </c>
      <c r="AB277" s="43">
        <v>95</v>
      </c>
      <c r="AC277" s="43">
        <v>250</v>
      </c>
      <c r="AD277" s="43">
        <v>260</v>
      </c>
      <c r="AE277" s="43">
        <v>280</v>
      </c>
      <c r="AF277" s="43">
        <v>200</v>
      </c>
      <c r="AG277" s="43">
        <v>30</v>
      </c>
      <c r="AH277" s="43">
        <v>6</v>
      </c>
      <c r="AI277" s="43">
        <v>300</v>
      </c>
      <c r="AJ277" s="41">
        <f t="shared" si="36"/>
        <v>0</v>
      </c>
      <c r="AK277" s="41">
        <f t="shared" si="34"/>
        <v>0</v>
      </c>
      <c r="AL277" s="41">
        <f t="shared" si="34"/>
        <v>0</v>
      </c>
      <c r="AM277" s="41">
        <f t="shared" si="34"/>
        <v>0</v>
      </c>
      <c r="AN277" s="41">
        <f t="shared" si="34"/>
        <v>0</v>
      </c>
      <c r="AO277" s="41">
        <f t="shared" si="34"/>
        <v>390</v>
      </c>
      <c r="AP277" s="41">
        <f t="shared" si="32"/>
        <v>0</v>
      </c>
      <c r="AQ277" s="41">
        <f t="shared" si="32"/>
        <v>200</v>
      </c>
      <c r="AR277" s="41">
        <f t="shared" si="32"/>
        <v>120</v>
      </c>
      <c r="AS277" s="41">
        <f t="shared" si="32"/>
        <v>108</v>
      </c>
      <c r="AT277" s="41">
        <f t="shared" si="32"/>
        <v>0</v>
      </c>
      <c r="AU277" s="43">
        <f t="shared" si="38"/>
        <v>0</v>
      </c>
      <c r="AV277" s="43">
        <f t="shared" si="38"/>
        <v>0</v>
      </c>
      <c r="AW277" s="43">
        <f t="shared" si="38"/>
        <v>0</v>
      </c>
      <c r="AX277" s="43">
        <f t="shared" si="38"/>
        <v>0</v>
      </c>
      <c r="AY277" s="43">
        <f t="shared" si="38"/>
        <v>0</v>
      </c>
      <c r="AZ277" s="43">
        <f t="shared" si="38"/>
        <v>45</v>
      </c>
      <c r="BA277" s="43">
        <f t="shared" si="38"/>
        <v>0</v>
      </c>
      <c r="BB277" s="43">
        <f t="shared" si="38"/>
        <v>30</v>
      </c>
      <c r="BC277" s="43">
        <f t="shared" si="39"/>
        <v>20</v>
      </c>
      <c r="BD277" s="43">
        <f t="shared" si="39"/>
        <v>36</v>
      </c>
      <c r="BE277" s="43">
        <f t="shared" si="39"/>
        <v>0</v>
      </c>
      <c r="BF277" s="41">
        <f t="shared" si="37"/>
        <v>131</v>
      </c>
      <c r="BG277" s="41" t="str">
        <f t="array" ref="BG277">_xlfn.IFS(
OR(MONTH(A277)=11,MONTH(A277)=12,MONTH(A277)=1,MONTH(A277)=2),"Winter",
OR(MONTH(A277)=3,MONTH(A277)=4),"Spring",
OR(MONTH(A277)=5,MONTH(A277)=6),"Summer",
OR(MONTH(A277)=7,MONTH(A277)=8,MONTH(A277)=9),"Monsoon",
MONTH(A277)=10,"Autumn/Festive",
TRUE,""
)</f>
        <v>Winter</v>
      </c>
    </row>
    <row r="278" spans="1:59" x14ac:dyDescent="0.3">
      <c r="A278" s="39">
        <v>45603</v>
      </c>
      <c r="B278" s="40" t="str">
        <f t="shared" si="35"/>
        <v>November</v>
      </c>
      <c r="C278" s="41">
        <v>2</v>
      </c>
      <c r="D278" s="41">
        <v>0</v>
      </c>
      <c r="E278" s="41">
        <v>0</v>
      </c>
      <c r="F278" s="41">
        <v>0</v>
      </c>
      <c r="G278" s="41">
        <v>0</v>
      </c>
      <c r="H278" s="41">
        <v>1</v>
      </c>
      <c r="I278" s="41">
        <v>3.25</v>
      </c>
      <c r="J278" s="41">
        <v>1</v>
      </c>
      <c r="K278" s="41">
        <v>0</v>
      </c>
      <c r="L278" s="41">
        <v>0</v>
      </c>
      <c r="M278" s="41">
        <v>0</v>
      </c>
      <c r="N278" s="42">
        <v>110</v>
      </c>
      <c r="O278" s="42">
        <v>110</v>
      </c>
      <c r="P278" s="42">
        <v>26</v>
      </c>
      <c r="Q278" s="42">
        <v>65</v>
      </c>
      <c r="R278" s="42">
        <v>200</v>
      </c>
      <c r="S278" s="42">
        <v>230</v>
      </c>
      <c r="T278" s="42">
        <v>250</v>
      </c>
      <c r="U278" s="42">
        <v>170</v>
      </c>
      <c r="V278" s="42">
        <v>25</v>
      </c>
      <c r="W278" s="42">
        <v>4</v>
      </c>
      <c r="X278" s="42">
        <v>265</v>
      </c>
      <c r="Y278" s="43">
        <v>130</v>
      </c>
      <c r="Z278" s="43">
        <v>150</v>
      </c>
      <c r="AA278" s="43">
        <v>30</v>
      </c>
      <c r="AB278" s="43">
        <v>95</v>
      </c>
      <c r="AC278" s="43">
        <v>250</v>
      </c>
      <c r="AD278" s="43">
        <v>260</v>
      </c>
      <c r="AE278" s="43">
        <v>280</v>
      </c>
      <c r="AF278" s="43">
        <v>200</v>
      </c>
      <c r="AG278" s="43">
        <v>30</v>
      </c>
      <c r="AH278" s="43">
        <v>6</v>
      </c>
      <c r="AI278" s="43">
        <v>300</v>
      </c>
      <c r="AJ278" s="41">
        <f t="shared" si="36"/>
        <v>260</v>
      </c>
      <c r="AK278" s="41">
        <f t="shared" si="34"/>
        <v>0</v>
      </c>
      <c r="AL278" s="41">
        <f t="shared" si="34"/>
        <v>0</v>
      </c>
      <c r="AM278" s="41">
        <f t="shared" si="34"/>
        <v>0</v>
      </c>
      <c r="AN278" s="41">
        <f t="shared" si="34"/>
        <v>0</v>
      </c>
      <c r="AO278" s="41">
        <f t="shared" si="34"/>
        <v>260</v>
      </c>
      <c r="AP278" s="41">
        <f t="shared" si="32"/>
        <v>910</v>
      </c>
      <c r="AQ278" s="41">
        <f t="shared" si="32"/>
        <v>200</v>
      </c>
      <c r="AR278" s="41">
        <f t="shared" si="32"/>
        <v>0</v>
      </c>
      <c r="AS278" s="41">
        <f t="shared" si="32"/>
        <v>0</v>
      </c>
      <c r="AT278" s="41">
        <f t="shared" si="32"/>
        <v>0</v>
      </c>
      <c r="AU278" s="43">
        <f t="shared" si="38"/>
        <v>40</v>
      </c>
      <c r="AV278" s="43">
        <f t="shared" si="38"/>
        <v>0</v>
      </c>
      <c r="AW278" s="43">
        <f t="shared" si="38"/>
        <v>0</v>
      </c>
      <c r="AX278" s="43">
        <f t="shared" si="38"/>
        <v>0</v>
      </c>
      <c r="AY278" s="43">
        <f t="shared" si="38"/>
        <v>0</v>
      </c>
      <c r="AZ278" s="43">
        <f t="shared" si="38"/>
        <v>30</v>
      </c>
      <c r="BA278" s="43">
        <f t="shared" si="38"/>
        <v>97.5</v>
      </c>
      <c r="BB278" s="43">
        <f t="shared" si="38"/>
        <v>30</v>
      </c>
      <c r="BC278" s="43">
        <f t="shared" si="39"/>
        <v>0</v>
      </c>
      <c r="BD278" s="43">
        <f t="shared" si="39"/>
        <v>0</v>
      </c>
      <c r="BE278" s="43">
        <f t="shared" si="39"/>
        <v>0</v>
      </c>
      <c r="BF278" s="41">
        <f t="shared" si="37"/>
        <v>197.5</v>
      </c>
      <c r="BG278" s="41" t="str">
        <f t="array" ref="BG278">_xlfn.IFS(
OR(MONTH(A278)=11,MONTH(A278)=12,MONTH(A278)=1,MONTH(A278)=2),"Winter",
OR(MONTH(A278)=3,MONTH(A278)=4),"Spring",
OR(MONTH(A278)=5,MONTH(A278)=6),"Summer",
OR(MONTH(A278)=7,MONTH(A278)=8,MONTH(A278)=9),"Monsoon",
MONTH(A278)=10,"Autumn/Festive",
TRUE,""
)</f>
        <v>Winter</v>
      </c>
    </row>
    <row r="279" spans="1:59" x14ac:dyDescent="0.3">
      <c r="A279" s="39">
        <v>45604</v>
      </c>
      <c r="B279" s="40" t="str">
        <f t="shared" si="35"/>
        <v>November</v>
      </c>
      <c r="C279" s="41">
        <v>5</v>
      </c>
      <c r="D279" s="41">
        <v>2</v>
      </c>
      <c r="E279" s="41">
        <v>0</v>
      </c>
      <c r="F279" s="41">
        <v>0</v>
      </c>
      <c r="G279" s="41">
        <v>0</v>
      </c>
      <c r="H279" s="41">
        <v>0</v>
      </c>
      <c r="I279" s="41">
        <v>0.5</v>
      </c>
      <c r="J279" s="41">
        <v>0</v>
      </c>
      <c r="K279" s="41">
        <v>1</v>
      </c>
      <c r="L279" s="41">
        <v>5</v>
      </c>
      <c r="M279" s="41">
        <v>2</v>
      </c>
      <c r="N279" s="42">
        <v>110</v>
      </c>
      <c r="O279" s="42">
        <v>110</v>
      </c>
      <c r="P279" s="42">
        <v>26</v>
      </c>
      <c r="Q279" s="42">
        <v>65</v>
      </c>
      <c r="R279" s="42">
        <v>200</v>
      </c>
      <c r="S279" s="42">
        <v>230</v>
      </c>
      <c r="T279" s="42">
        <v>250</v>
      </c>
      <c r="U279" s="42">
        <v>170</v>
      </c>
      <c r="V279" s="42">
        <v>25</v>
      </c>
      <c r="W279" s="42">
        <v>4</v>
      </c>
      <c r="X279" s="42">
        <v>265</v>
      </c>
      <c r="Y279" s="43">
        <v>130</v>
      </c>
      <c r="Z279" s="43">
        <v>150</v>
      </c>
      <c r="AA279" s="43">
        <v>30</v>
      </c>
      <c r="AB279" s="43">
        <v>95</v>
      </c>
      <c r="AC279" s="43">
        <v>250</v>
      </c>
      <c r="AD279" s="43">
        <v>260</v>
      </c>
      <c r="AE279" s="43">
        <v>280</v>
      </c>
      <c r="AF279" s="43">
        <v>200</v>
      </c>
      <c r="AG279" s="43">
        <v>30</v>
      </c>
      <c r="AH279" s="43">
        <v>6</v>
      </c>
      <c r="AI279" s="43">
        <v>300</v>
      </c>
      <c r="AJ279" s="41">
        <f t="shared" si="36"/>
        <v>650</v>
      </c>
      <c r="AK279" s="41">
        <f t="shared" si="34"/>
        <v>300</v>
      </c>
      <c r="AL279" s="41">
        <f t="shared" si="34"/>
        <v>0</v>
      </c>
      <c r="AM279" s="41">
        <f t="shared" si="34"/>
        <v>0</v>
      </c>
      <c r="AN279" s="41">
        <f t="shared" si="34"/>
        <v>0</v>
      </c>
      <c r="AO279" s="41">
        <f t="shared" si="34"/>
        <v>0</v>
      </c>
      <c r="AP279" s="41">
        <f t="shared" si="32"/>
        <v>140</v>
      </c>
      <c r="AQ279" s="41">
        <f t="shared" si="32"/>
        <v>0</v>
      </c>
      <c r="AR279" s="41">
        <f t="shared" si="32"/>
        <v>30</v>
      </c>
      <c r="AS279" s="41">
        <f t="shared" si="32"/>
        <v>30</v>
      </c>
      <c r="AT279" s="41">
        <f t="shared" si="32"/>
        <v>600</v>
      </c>
      <c r="AU279" s="43">
        <f t="shared" si="38"/>
        <v>100</v>
      </c>
      <c r="AV279" s="43">
        <f t="shared" si="38"/>
        <v>80</v>
      </c>
      <c r="AW279" s="43">
        <f t="shared" si="38"/>
        <v>0</v>
      </c>
      <c r="AX279" s="43">
        <f t="shared" si="38"/>
        <v>0</v>
      </c>
      <c r="AY279" s="43">
        <f t="shared" si="38"/>
        <v>0</v>
      </c>
      <c r="AZ279" s="43">
        <f t="shared" si="38"/>
        <v>0</v>
      </c>
      <c r="BA279" s="43">
        <f t="shared" si="38"/>
        <v>15</v>
      </c>
      <c r="BB279" s="43">
        <f t="shared" si="38"/>
        <v>0</v>
      </c>
      <c r="BC279" s="43">
        <f t="shared" si="39"/>
        <v>5</v>
      </c>
      <c r="BD279" s="43">
        <f t="shared" si="39"/>
        <v>10</v>
      </c>
      <c r="BE279" s="43">
        <f t="shared" si="39"/>
        <v>70</v>
      </c>
      <c r="BF279" s="41">
        <f t="shared" si="37"/>
        <v>280</v>
      </c>
      <c r="BG279" s="41" t="str">
        <f t="array" ref="BG279">_xlfn.IFS(
OR(MONTH(A279)=11,MONTH(A279)=12,MONTH(A279)=1,MONTH(A279)=2),"Winter",
OR(MONTH(A279)=3,MONTH(A279)=4),"Spring",
OR(MONTH(A279)=5,MONTH(A279)=6),"Summer",
OR(MONTH(A279)=7,MONTH(A279)=8,MONTH(A279)=9),"Monsoon",
MONTH(A279)=10,"Autumn/Festive",
TRUE,""
)</f>
        <v>Winter</v>
      </c>
    </row>
    <row r="280" spans="1:59" x14ac:dyDescent="0.3">
      <c r="A280" s="39">
        <v>45605</v>
      </c>
      <c r="B280" s="40" t="str">
        <f t="shared" si="35"/>
        <v>November</v>
      </c>
      <c r="C280" s="41">
        <v>6</v>
      </c>
      <c r="D280" s="41">
        <v>0</v>
      </c>
      <c r="E280" s="41">
        <v>0</v>
      </c>
      <c r="F280" s="41">
        <v>0</v>
      </c>
      <c r="G280" s="41">
        <v>0</v>
      </c>
      <c r="H280" s="41">
        <v>3</v>
      </c>
      <c r="I280" s="41">
        <v>3.5</v>
      </c>
      <c r="J280" s="41">
        <v>1</v>
      </c>
      <c r="K280" s="41">
        <v>1</v>
      </c>
      <c r="L280" s="41">
        <v>6</v>
      </c>
      <c r="M280" s="41">
        <v>0</v>
      </c>
      <c r="N280" s="42">
        <v>110</v>
      </c>
      <c r="O280" s="42">
        <v>110</v>
      </c>
      <c r="P280" s="42">
        <v>26</v>
      </c>
      <c r="Q280" s="42">
        <v>65</v>
      </c>
      <c r="R280" s="42">
        <v>200</v>
      </c>
      <c r="S280" s="42">
        <v>230</v>
      </c>
      <c r="T280" s="42">
        <v>250</v>
      </c>
      <c r="U280" s="42">
        <v>170</v>
      </c>
      <c r="V280" s="42">
        <v>25</v>
      </c>
      <c r="W280" s="42">
        <v>4</v>
      </c>
      <c r="X280" s="42">
        <v>265</v>
      </c>
      <c r="Y280" s="43">
        <v>130</v>
      </c>
      <c r="Z280" s="43">
        <v>150</v>
      </c>
      <c r="AA280" s="43">
        <v>30</v>
      </c>
      <c r="AB280" s="43">
        <v>95</v>
      </c>
      <c r="AC280" s="43">
        <v>250</v>
      </c>
      <c r="AD280" s="43">
        <v>260</v>
      </c>
      <c r="AE280" s="43">
        <v>280</v>
      </c>
      <c r="AF280" s="43">
        <v>200</v>
      </c>
      <c r="AG280" s="43">
        <v>30</v>
      </c>
      <c r="AH280" s="43">
        <v>6</v>
      </c>
      <c r="AI280" s="43">
        <v>300</v>
      </c>
      <c r="AJ280" s="41">
        <f t="shared" si="36"/>
        <v>780</v>
      </c>
      <c r="AK280" s="41">
        <f t="shared" si="34"/>
        <v>0</v>
      </c>
      <c r="AL280" s="41">
        <f t="shared" si="34"/>
        <v>0</v>
      </c>
      <c r="AM280" s="41">
        <f t="shared" si="34"/>
        <v>0</v>
      </c>
      <c r="AN280" s="41">
        <f t="shared" si="34"/>
        <v>0</v>
      </c>
      <c r="AO280" s="41">
        <f t="shared" si="34"/>
        <v>780</v>
      </c>
      <c r="AP280" s="41">
        <f t="shared" si="32"/>
        <v>980</v>
      </c>
      <c r="AQ280" s="41">
        <f t="shared" si="32"/>
        <v>200</v>
      </c>
      <c r="AR280" s="41">
        <f t="shared" si="32"/>
        <v>30</v>
      </c>
      <c r="AS280" s="41">
        <f t="shared" si="32"/>
        <v>36</v>
      </c>
      <c r="AT280" s="41">
        <f t="shared" si="32"/>
        <v>0</v>
      </c>
      <c r="AU280" s="43">
        <f t="shared" si="38"/>
        <v>120</v>
      </c>
      <c r="AV280" s="43">
        <f t="shared" si="38"/>
        <v>0</v>
      </c>
      <c r="AW280" s="43">
        <f t="shared" si="38"/>
        <v>0</v>
      </c>
      <c r="AX280" s="43">
        <f t="shared" si="38"/>
        <v>0</v>
      </c>
      <c r="AY280" s="43">
        <f t="shared" si="38"/>
        <v>0</v>
      </c>
      <c r="AZ280" s="43">
        <f t="shared" si="38"/>
        <v>90</v>
      </c>
      <c r="BA280" s="43">
        <f t="shared" si="38"/>
        <v>105</v>
      </c>
      <c r="BB280" s="43">
        <f t="shared" si="38"/>
        <v>30</v>
      </c>
      <c r="BC280" s="43">
        <f t="shared" si="39"/>
        <v>5</v>
      </c>
      <c r="BD280" s="43">
        <f t="shared" si="39"/>
        <v>12</v>
      </c>
      <c r="BE280" s="43">
        <f t="shared" si="39"/>
        <v>0</v>
      </c>
      <c r="BF280" s="41">
        <f t="shared" si="37"/>
        <v>362</v>
      </c>
      <c r="BG280" s="41" t="str">
        <f t="array" ref="BG280">_xlfn.IFS(
OR(MONTH(A280)=11,MONTH(A280)=12,MONTH(A280)=1,MONTH(A280)=2),"Winter",
OR(MONTH(A280)=3,MONTH(A280)=4),"Spring",
OR(MONTH(A280)=5,MONTH(A280)=6),"Summer",
OR(MONTH(A280)=7,MONTH(A280)=8,MONTH(A280)=9),"Monsoon",
MONTH(A280)=10,"Autumn/Festive",
TRUE,""
)</f>
        <v>Winter</v>
      </c>
    </row>
    <row r="281" spans="1:59" x14ac:dyDescent="0.3">
      <c r="A281" s="39">
        <v>45606</v>
      </c>
      <c r="B281" s="40" t="str">
        <f t="shared" si="35"/>
        <v>November</v>
      </c>
      <c r="C281" s="41">
        <v>0</v>
      </c>
      <c r="D281" s="41">
        <v>2</v>
      </c>
      <c r="E281" s="41">
        <v>0</v>
      </c>
      <c r="F281" s="41">
        <v>0</v>
      </c>
      <c r="G281" s="41">
        <v>0</v>
      </c>
      <c r="H281" s="41">
        <v>1</v>
      </c>
      <c r="I281" s="41">
        <v>1.75</v>
      </c>
      <c r="J281" s="41">
        <v>0</v>
      </c>
      <c r="K281" s="41">
        <v>3</v>
      </c>
      <c r="L281" s="41">
        <v>6</v>
      </c>
      <c r="M281" s="41">
        <v>1</v>
      </c>
      <c r="N281" s="42">
        <v>110</v>
      </c>
      <c r="O281" s="42">
        <v>110</v>
      </c>
      <c r="P281" s="42">
        <v>26</v>
      </c>
      <c r="Q281" s="42">
        <v>65</v>
      </c>
      <c r="R281" s="42">
        <v>200</v>
      </c>
      <c r="S281" s="42">
        <v>230</v>
      </c>
      <c r="T281" s="42">
        <v>250</v>
      </c>
      <c r="U281" s="42">
        <v>170</v>
      </c>
      <c r="V281" s="42">
        <v>25</v>
      </c>
      <c r="W281" s="42">
        <v>4</v>
      </c>
      <c r="X281" s="42">
        <v>265</v>
      </c>
      <c r="Y281" s="43">
        <v>130</v>
      </c>
      <c r="Z281" s="43">
        <v>150</v>
      </c>
      <c r="AA281" s="43">
        <v>30</v>
      </c>
      <c r="AB281" s="43">
        <v>95</v>
      </c>
      <c r="AC281" s="43">
        <v>250</v>
      </c>
      <c r="AD281" s="43">
        <v>260</v>
      </c>
      <c r="AE281" s="43">
        <v>280</v>
      </c>
      <c r="AF281" s="43">
        <v>200</v>
      </c>
      <c r="AG281" s="43">
        <v>30</v>
      </c>
      <c r="AH281" s="43">
        <v>6</v>
      </c>
      <c r="AI281" s="43">
        <v>300</v>
      </c>
      <c r="AJ281" s="41">
        <f t="shared" si="36"/>
        <v>0</v>
      </c>
      <c r="AK281" s="41">
        <f t="shared" si="34"/>
        <v>300</v>
      </c>
      <c r="AL281" s="41">
        <f t="shared" si="34"/>
        <v>0</v>
      </c>
      <c r="AM281" s="41">
        <f t="shared" si="34"/>
        <v>0</v>
      </c>
      <c r="AN281" s="41">
        <f t="shared" si="34"/>
        <v>0</v>
      </c>
      <c r="AO281" s="41">
        <f t="shared" si="34"/>
        <v>260</v>
      </c>
      <c r="AP281" s="41">
        <f t="shared" si="32"/>
        <v>490</v>
      </c>
      <c r="AQ281" s="41">
        <f t="shared" si="32"/>
        <v>0</v>
      </c>
      <c r="AR281" s="41">
        <f t="shared" si="32"/>
        <v>90</v>
      </c>
      <c r="AS281" s="41">
        <f t="shared" si="32"/>
        <v>36</v>
      </c>
      <c r="AT281" s="41">
        <f t="shared" si="32"/>
        <v>300</v>
      </c>
      <c r="AU281" s="43">
        <f t="shared" si="38"/>
        <v>0</v>
      </c>
      <c r="AV281" s="43">
        <f t="shared" si="38"/>
        <v>80</v>
      </c>
      <c r="AW281" s="43">
        <f t="shared" si="38"/>
        <v>0</v>
      </c>
      <c r="AX281" s="43">
        <f t="shared" si="38"/>
        <v>0</v>
      </c>
      <c r="AY281" s="43">
        <f t="shared" si="38"/>
        <v>0</v>
      </c>
      <c r="AZ281" s="43">
        <f t="shared" si="38"/>
        <v>30</v>
      </c>
      <c r="BA281" s="43">
        <f t="shared" si="38"/>
        <v>52.5</v>
      </c>
      <c r="BB281" s="43">
        <f t="shared" si="38"/>
        <v>0</v>
      </c>
      <c r="BC281" s="43">
        <f t="shared" si="39"/>
        <v>15</v>
      </c>
      <c r="BD281" s="43">
        <f t="shared" si="39"/>
        <v>12</v>
      </c>
      <c r="BE281" s="43">
        <f t="shared" si="39"/>
        <v>35</v>
      </c>
      <c r="BF281" s="41">
        <f t="shared" si="37"/>
        <v>224.5</v>
      </c>
      <c r="BG281" s="41" t="str">
        <f t="array" ref="BG281">_xlfn.IFS(
OR(MONTH(A281)=11,MONTH(A281)=12,MONTH(A281)=1,MONTH(A281)=2),"Winter",
OR(MONTH(A281)=3,MONTH(A281)=4),"Spring",
OR(MONTH(A281)=5,MONTH(A281)=6),"Summer",
OR(MONTH(A281)=7,MONTH(A281)=8,MONTH(A281)=9),"Monsoon",
MONTH(A281)=10,"Autumn/Festive",
TRUE,""
)</f>
        <v>Winter</v>
      </c>
    </row>
    <row r="282" spans="1:59" x14ac:dyDescent="0.3">
      <c r="A282" s="39">
        <v>45607</v>
      </c>
      <c r="B282" s="40" t="str">
        <f t="shared" si="35"/>
        <v>November</v>
      </c>
      <c r="C282" s="41">
        <v>0</v>
      </c>
      <c r="D282" s="41">
        <v>0</v>
      </c>
      <c r="E282" s="41">
        <v>0</v>
      </c>
      <c r="F282" s="41">
        <v>0</v>
      </c>
      <c r="G282" s="41">
        <v>0</v>
      </c>
      <c r="H282" s="41">
        <v>0</v>
      </c>
      <c r="I282" s="41">
        <v>0</v>
      </c>
      <c r="J282" s="41">
        <v>0</v>
      </c>
      <c r="K282" s="41">
        <v>0</v>
      </c>
      <c r="L282" s="41">
        <v>0</v>
      </c>
      <c r="M282" s="41">
        <v>0</v>
      </c>
      <c r="N282" s="42">
        <v>110</v>
      </c>
      <c r="O282" s="42">
        <v>110</v>
      </c>
      <c r="P282" s="42">
        <v>26</v>
      </c>
      <c r="Q282" s="42">
        <v>65</v>
      </c>
      <c r="R282" s="42">
        <v>200</v>
      </c>
      <c r="S282" s="42">
        <v>230</v>
      </c>
      <c r="T282" s="42">
        <v>250</v>
      </c>
      <c r="U282" s="42">
        <v>170</v>
      </c>
      <c r="V282" s="42">
        <v>25</v>
      </c>
      <c r="W282" s="42">
        <v>4</v>
      </c>
      <c r="X282" s="42">
        <v>265</v>
      </c>
      <c r="Y282" s="43">
        <v>130</v>
      </c>
      <c r="Z282" s="43">
        <v>150</v>
      </c>
      <c r="AA282" s="43">
        <v>30</v>
      </c>
      <c r="AB282" s="43">
        <v>95</v>
      </c>
      <c r="AC282" s="43">
        <v>250</v>
      </c>
      <c r="AD282" s="43">
        <v>260</v>
      </c>
      <c r="AE282" s="43">
        <v>280</v>
      </c>
      <c r="AF282" s="43">
        <v>200</v>
      </c>
      <c r="AG282" s="43">
        <v>30</v>
      </c>
      <c r="AH282" s="43">
        <v>6</v>
      </c>
      <c r="AI282" s="43">
        <v>300</v>
      </c>
      <c r="AJ282" s="41">
        <f t="shared" si="36"/>
        <v>0</v>
      </c>
      <c r="AK282" s="41">
        <f t="shared" si="34"/>
        <v>0</v>
      </c>
      <c r="AL282" s="41">
        <f t="shared" si="34"/>
        <v>0</v>
      </c>
      <c r="AM282" s="41">
        <f t="shared" si="34"/>
        <v>0</v>
      </c>
      <c r="AN282" s="41">
        <f t="shared" si="34"/>
        <v>0</v>
      </c>
      <c r="AO282" s="41">
        <f t="shared" si="34"/>
        <v>0</v>
      </c>
      <c r="AP282" s="41">
        <f t="shared" si="32"/>
        <v>0</v>
      </c>
      <c r="AQ282" s="41">
        <f t="shared" si="32"/>
        <v>0</v>
      </c>
      <c r="AR282" s="41">
        <f t="shared" si="32"/>
        <v>0</v>
      </c>
      <c r="AS282" s="41">
        <f t="shared" si="32"/>
        <v>0</v>
      </c>
      <c r="AT282" s="41">
        <f t="shared" si="32"/>
        <v>0</v>
      </c>
      <c r="AU282" s="43">
        <f t="shared" si="38"/>
        <v>0</v>
      </c>
      <c r="AV282" s="43">
        <f t="shared" si="38"/>
        <v>0</v>
      </c>
      <c r="AW282" s="43">
        <f t="shared" si="38"/>
        <v>0</v>
      </c>
      <c r="AX282" s="43">
        <f t="shared" si="38"/>
        <v>0</v>
      </c>
      <c r="AY282" s="43">
        <f t="shared" si="38"/>
        <v>0</v>
      </c>
      <c r="AZ282" s="43">
        <f t="shared" si="38"/>
        <v>0</v>
      </c>
      <c r="BA282" s="43">
        <f t="shared" si="38"/>
        <v>0</v>
      </c>
      <c r="BB282" s="43">
        <f t="shared" si="38"/>
        <v>0</v>
      </c>
      <c r="BC282" s="43">
        <f t="shared" si="39"/>
        <v>0</v>
      </c>
      <c r="BD282" s="43">
        <f t="shared" si="39"/>
        <v>0</v>
      </c>
      <c r="BE282" s="43">
        <f t="shared" si="39"/>
        <v>0</v>
      </c>
      <c r="BF282" s="41">
        <f t="shared" si="37"/>
        <v>0</v>
      </c>
      <c r="BG282" s="41" t="str">
        <f t="array" ref="BG282">_xlfn.IFS(
OR(MONTH(A282)=11,MONTH(A282)=12,MONTH(A282)=1,MONTH(A282)=2),"Winter",
OR(MONTH(A282)=3,MONTH(A282)=4),"Spring",
OR(MONTH(A282)=5,MONTH(A282)=6),"Summer",
OR(MONTH(A282)=7,MONTH(A282)=8,MONTH(A282)=9),"Monsoon",
MONTH(A282)=10,"Autumn/Festive",
TRUE,""
)</f>
        <v>Winter</v>
      </c>
    </row>
    <row r="283" spans="1:59" x14ac:dyDescent="0.3">
      <c r="A283" s="39">
        <v>45608</v>
      </c>
      <c r="B283" s="40" t="str">
        <f t="shared" si="35"/>
        <v>November</v>
      </c>
      <c r="C283" s="41">
        <v>4</v>
      </c>
      <c r="D283" s="41">
        <v>0</v>
      </c>
      <c r="E283" s="41">
        <v>0</v>
      </c>
      <c r="F283" s="41">
        <v>0</v>
      </c>
      <c r="G283" s="41">
        <v>0</v>
      </c>
      <c r="H283" s="41">
        <v>3</v>
      </c>
      <c r="I283" s="41">
        <v>0.25</v>
      </c>
      <c r="J283" s="41">
        <v>0</v>
      </c>
      <c r="K283" s="41">
        <v>0</v>
      </c>
      <c r="L283" s="41">
        <v>0</v>
      </c>
      <c r="M283" s="41">
        <v>2</v>
      </c>
      <c r="N283" s="42">
        <v>110</v>
      </c>
      <c r="O283" s="42">
        <v>110</v>
      </c>
      <c r="P283" s="42">
        <v>26</v>
      </c>
      <c r="Q283" s="42">
        <v>65</v>
      </c>
      <c r="R283" s="42">
        <v>200</v>
      </c>
      <c r="S283" s="42">
        <v>230</v>
      </c>
      <c r="T283" s="42">
        <v>250</v>
      </c>
      <c r="U283" s="42">
        <v>170</v>
      </c>
      <c r="V283" s="42">
        <v>25</v>
      </c>
      <c r="W283" s="42">
        <v>4</v>
      </c>
      <c r="X283" s="42">
        <v>265</v>
      </c>
      <c r="Y283" s="43">
        <v>130</v>
      </c>
      <c r="Z283" s="43">
        <v>150</v>
      </c>
      <c r="AA283" s="43">
        <v>30</v>
      </c>
      <c r="AB283" s="43">
        <v>95</v>
      </c>
      <c r="AC283" s="43">
        <v>250</v>
      </c>
      <c r="AD283" s="43">
        <v>260</v>
      </c>
      <c r="AE283" s="43">
        <v>280</v>
      </c>
      <c r="AF283" s="43">
        <v>200</v>
      </c>
      <c r="AG283" s="43">
        <v>30</v>
      </c>
      <c r="AH283" s="43">
        <v>6</v>
      </c>
      <c r="AI283" s="43">
        <v>300</v>
      </c>
      <c r="AJ283" s="41">
        <f t="shared" si="36"/>
        <v>520</v>
      </c>
      <c r="AK283" s="41">
        <f t="shared" si="34"/>
        <v>0</v>
      </c>
      <c r="AL283" s="41">
        <f t="shared" si="34"/>
        <v>0</v>
      </c>
      <c r="AM283" s="41">
        <f t="shared" si="34"/>
        <v>0</v>
      </c>
      <c r="AN283" s="41">
        <f t="shared" si="34"/>
        <v>0</v>
      </c>
      <c r="AO283" s="41">
        <f t="shared" si="34"/>
        <v>780</v>
      </c>
      <c r="AP283" s="41">
        <f t="shared" si="32"/>
        <v>70</v>
      </c>
      <c r="AQ283" s="41">
        <f t="shared" si="32"/>
        <v>0</v>
      </c>
      <c r="AR283" s="41">
        <f t="shared" si="32"/>
        <v>0</v>
      </c>
      <c r="AS283" s="41">
        <f t="shared" si="32"/>
        <v>0</v>
      </c>
      <c r="AT283" s="41">
        <f t="shared" si="32"/>
        <v>600</v>
      </c>
      <c r="AU283" s="43">
        <f t="shared" si="38"/>
        <v>80</v>
      </c>
      <c r="AV283" s="43">
        <f t="shared" si="38"/>
        <v>0</v>
      </c>
      <c r="AW283" s="43">
        <f t="shared" si="38"/>
        <v>0</v>
      </c>
      <c r="AX283" s="43">
        <f t="shared" si="38"/>
        <v>0</v>
      </c>
      <c r="AY283" s="43">
        <f t="shared" si="38"/>
        <v>0</v>
      </c>
      <c r="AZ283" s="43">
        <f t="shared" si="38"/>
        <v>90</v>
      </c>
      <c r="BA283" s="43">
        <f t="shared" si="38"/>
        <v>7.5</v>
      </c>
      <c r="BB283" s="43">
        <f t="shared" si="38"/>
        <v>0</v>
      </c>
      <c r="BC283" s="43">
        <f t="shared" si="39"/>
        <v>0</v>
      </c>
      <c r="BD283" s="43">
        <f t="shared" si="39"/>
        <v>0</v>
      </c>
      <c r="BE283" s="43">
        <f t="shared" si="39"/>
        <v>70</v>
      </c>
      <c r="BF283" s="41">
        <f t="shared" si="37"/>
        <v>247.5</v>
      </c>
      <c r="BG283" s="41" t="str">
        <f t="array" ref="BG283">_xlfn.IFS(
OR(MONTH(A283)=11,MONTH(A283)=12,MONTH(A283)=1,MONTH(A283)=2),"Winter",
OR(MONTH(A283)=3,MONTH(A283)=4),"Spring",
OR(MONTH(A283)=5,MONTH(A283)=6),"Summer",
OR(MONTH(A283)=7,MONTH(A283)=8,MONTH(A283)=9),"Monsoon",
MONTH(A283)=10,"Autumn/Festive",
TRUE,""
)</f>
        <v>Winter</v>
      </c>
    </row>
    <row r="284" spans="1:59" x14ac:dyDescent="0.3">
      <c r="A284" s="39">
        <v>45609</v>
      </c>
      <c r="B284" s="40" t="str">
        <f t="shared" si="35"/>
        <v>November</v>
      </c>
      <c r="C284" s="41">
        <v>2</v>
      </c>
      <c r="D284" s="41">
        <v>0</v>
      </c>
      <c r="E284" s="41">
        <v>0</v>
      </c>
      <c r="F284" s="41">
        <v>0</v>
      </c>
      <c r="G284" s="41">
        <v>0</v>
      </c>
      <c r="H284" s="41">
        <v>2</v>
      </c>
      <c r="I284" s="41">
        <v>0.5</v>
      </c>
      <c r="J284" s="41">
        <v>1</v>
      </c>
      <c r="K284" s="41">
        <v>2</v>
      </c>
      <c r="L284" s="41">
        <v>12</v>
      </c>
      <c r="M284" s="41">
        <v>1</v>
      </c>
      <c r="N284" s="42">
        <v>110</v>
      </c>
      <c r="O284" s="42">
        <v>110</v>
      </c>
      <c r="P284" s="42">
        <v>26</v>
      </c>
      <c r="Q284" s="42">
        <v>65</v>
      </c>
      <c r="R284" s="42">
        <v>200</v>
      </c>
      <c r="S284" s="42">
        <v>230</v>
      </c>
      <c r="T284" s="42">
        <v>250</v>
      </c>
      <c r="U284" s="42">
        <v>170</v>
      </c>
      <c r="V284" s="42">
        <v>25</v>
      </c>
      <c r="W284" s="42">
        <v>4</v>
      </c>
      <c r="X284" s="42">
        <v>265</v>
      </c>
      <c r="Y284" s="43">
        <v>130</v>
      </c>
      <c r="Z284" s="43">
        <v>150</v>
      </c>
      <c r="AA284" s="43">
        <v>30</v>
      </c>
      <c r="AB284" s="43">
        <v>95</v>
      </c>
      <c r="AC284" s="43">
        <v>250</v>
      </c>
      <c r="AD284" s="43">
        <v>260</v>
      </c>
      <c r="AE284" s="43">
        <v>280</v>
      </c>
      <c r="AF284" s="43">
        <v>200</v>
      </c>
      <c r="AG284" s="43">
        <v>30</v>
      </c>
      <c r="AH284" s="43">
        <v>6</v>
      </c>
      <c r="AI284" s="43">
        <v>300</v>
      </c>
      <c r="AJ284" s="41">
        <f t="shared" si="36"/>
        <v>260</v>
      </c>
      <c r="AK284" s="41">
        <f t="shared" si="34"/>
        <v>0</v>
      </c>
      <c r="AL284" s="41">
        <f t="shared" si="34"/>
        <v>0</v>
      </c>
      <c r="AM284" s="41">
        <f t="shared" si="34"/>
        <v>0</v>
      </c>
      <c r="AN284" s="41">
        <f t="shared" si="34"/>
        <v>0</v>
      </c>
      <c r="AO284" s="41">
        <f t="shared" si="34"/>
        <v>520</v>
      </c>
      <c r="AP284" s="41">
        <f t="shared" ref="AP284:AT347" si="40">I284*AE284</f>
        <v>140</v>
      </c>
      <c r="AQ284" s="41">
        <f t="shared" si="40"/>
        <v>200</v>
      </c>
      <c r="AR284" s="41">
        <f t="shared" si="40"/>
        <v>60</v>
      </c>
      <c r="AS284" s="41">
        <f t="shared" si="40"/>
        <v>72</v>
      </c>
      <c r="AT284" s="41">
        <f t="shared" si="40"/>
        <v>300</v>
      </c>
      <c r="AU284" s="43">
        <f t="shared" si="38"/>
        <v>40</v>
      </c>
      <c r="AV284" s="43">
        <f t="shared" si="38"/>
        <v>0</v>
      </c>
      <c r="AW284" s="43">
        <f t="shared" si="38"/>
        <v>0</v>
      </c>
      <c r="AX284" s="43">
        <f t="shared" si="38"/>
        <v>0</v>
      </c>
      <c r="AY284" s="43">
        <f t="shared" si="38"/>
        <v>0</v>
      </c>
      <c r="AZ284" s="43">
        <f t="shared" si="38"/>
        <v>60</v>
      </c>
      <c r="BA284" s="43">
        <f t="shared" si="38"/>
        <v>15</v>
      </c>
      <c r="BB284" s="43">
        <f t="shared" si="38"/>
        <v>30</v>
      </c>
      <c r="BC284" s="43">
        <f t="shared" si="39"/>
        <v>10</v>
      </c>
      <c r="BD284" s="43">
        <f t="shared" si="39"/>
        <v>24</v>
      </c>
      <c r="BE284" s="43">
        <f t="shared" si="39"/>
        <v>35</v>
      </c>
      <c r="BF284" s="41">
        <f t="shared" si="37"/>
        <v>214</v>
      </c>
      <c r="BG284" s="41" t="str">
        <f t="array" ref="BG284">_xlfn.IFS(
OR(MONTH(A284)=11,MONTH(A284)=12,MONTH(A284)=1,MONTH(A284)=2),"Winter",
OR(MONTH(A284)=3,MONTH(A284)=4),"Spring",
OR(MONTH(A284)=5,MONTH(A284)=6),"Summer",
OR(MONTH(A284)=7,MONTH(A284)=8,MONTH(A284)=9),"Monsoon",
MONTH(A284)=10,"Autumn/Festive",
TRUE,""
)</f>
        <v>Winter</v>
      </c>
    </row>
    <row r="285" spans="1:59" x14ac:dyDescent="0.3">
      <c r="A285" s="39">
        <v>45610</v>
      </c>
      <c r="B285" s="40" t="str">
        <f t="shared" si="35"/>
        <v>November</v>
      </c>
      <c r="C285" s="41">
        <v>0</v>
      </c>
      <c r="D285" s="41">
        <v>0</v>
      </c>
      <c r="E285" s="41">
        <v>0</v>
      </c>
      <c r="F285" s="41">
        <v>0</v>
      </c>
      <c r="G285" s="41">
        <v>0</v>
      </c>
      <c r="H285" s="41">
        <v>0</v>
      </c>
      <c r="I285" s="41">
        <v>0</v>
      </c>
      <c r="J285" s="41">
        <v>0</v>
      </c>
      <c r="K285" s="41">
        <v>0</v>
      </c>
      <c r="L285" s="41">
        <v>0</v>
      </c>
      <c r="M285" s="41">
        <v>1</v>
      </c>
      <c r="N285" s="42">
        <v>110</v>
      </c>
      <c r="O285" s="42">
        <v>110</v>
      </c>
      <c r="P285" s="42">
        <v>26</v>
      </c>
      <c r="Q285" s="42">
        <v>65</v>
      </c>
      <c r="R285" s="42">
        <v>200</v>
      </c>
      <c r="S285" s="42">
        <v>230</v>
      </c>
      <c r="T285" s="42">
        <v>250</v>
      </c>
      <c r="U285" s="42">
        <v>170</v>
      </c>
      <c r="V285" s="42">
        <v>25</v>
      </c>
      <c r="W285" s="42">
        <v>4</v>
      </c>
      <c r="X285" s="42">
        <v>265</v>
      </c>
      <c r="Y285" s="43">
        <v>130</v>
      </c>
      <c r="Z285" s="43">
        <v>150</v>
      </c>
      <c r="AA285" s="43">
        <v>30</v>
      </c>
      <c r="AB285" s="43">
        <v>95</v>
      </c>
      <c r="AC285" s="43">
        <v>250</v>
      </c>
      <c r="AD285" s="43">
        <v>260</v>
      </c>
      <c r="AE285" s="43">
        <v>280</v>
      </c>
      <c r="AF285" s="43">
        <v>200</v>
      </c>
      <c r="AG285" s="43">
        <v>30</v>
      </c>
      <c r="AH285" s="43">
        <v>6</v>
      </c>
      <c r="AI285" s="43">
        <v>300</v>
      </c>
      <c r="AJ285" s="41">
        <f t="shared" si="36"/>
        <v>0</v>
      </c>
      <c r="AK285" s="41">
        <f t="shared" ref="AK285:AO348" si="41">D285*Z285</f>
        <v>0</v>
      </c>
      <c r="AL285" s="41">
        <f t="shared" si="41"/>
        <v>0</v>
      </c>
      <c r="AM285" s="41">
        <f t="shared" si="41"/>
        <v>0</v>
      </c>
      <c r="AN285" s="41">
        <f t="shared" si="41"/>
        <v>0</v>
      </c>
      <c r="AO285" s="41">
        <f t="shared" si="41"/>
        <v>0</v>
      </c>
      <c r="AP285" s="41">
        <f t="shared" si="40"/>
        <v>0</v>
      </c>
      <c r="AQ285" s="41">
        <f t="shared" si="40"/>
        <v>0</v>
      </c>
      <c r="AR285" s="41">
        <f t="shared" si="40"/>
        <v>0</v>
      </c>
      <c r="AS285" s="41">
        <f t="shared" si="40"/>
        <v>0</v>
      </c>
      <c r="AT285" s="41">
        <f t="shared" si="40"/>
        <v>300</v>
      </c>
      <c r="AU285" s="43">
        <f t="shared" si="38"/>
        <v>0</v>
      </c>
      <c r="AV285" s="43">
        <f t="shared" si="38"/>
        <v>0</v>
      </c>
      <c r="AW285" s="43">
        <f t="shared" si="38"/>
        <v>0</v>
      </c>
      <c r="AX285" s="43">
        <f t="shared" si="38"/>
        <v>0</v>
      </c>
      <c r="AY285" s="43">
        <f t="shared" si="38"/>
        <v>0</v>
      </c>
      <c r="AZ285" s="43">
        <f t="shared" si="38"/>
        <v>0</v>
      </c>
      <c r="BA285" s="43">
        <f t="shared" si="38"/>
        <v>0</v>
      </c>
      <c r="BB285" s="43">
        <f t="shared" si="38"/>
        <v>0</v>
      </c>
      <c r="BC285" s="43">
        <f t="shared" si="39"/>
        <v>0</v>
      </c>
      <c r="BD285" s="43">
        <f t="shared" si="39"/>
        <v>0</v>
      </c>
      <c r="BE285" s="43">
        <f t="shared" si="39"/>
        <v>35</v>
      </c>
      <c r="BF285" s="41">
        <f t="shared" si="37"/>
        <v>35</v>
      </c>
      <c r="BG285" s="41" t="str">
        <f t="array" ref="BG285">_xlfn.IFS(
OR(MONTH(A285)=11,MONTH(A285)=12,MONTH(A285)=1,MONTH(A285)=2),"Winter",
OR(MONTH(A285)=3,MONTH(A285)=4),"Spring",
OR(MONTH(A285)=5,MONTH(A285)=6),"Summer",
OR(MONTH(A285)=7,MONTH(A285)=8,MONTH(A285)=9),"Monsoon",
MONTH(A285)=10,"Autumn/Festive",
TRUE,""
)</f>
        <v>Winter</v>
      </c>
    </row>
    <row r="286" spans="1:59" x14ac:dyDescent="0.3">
      <c r="A286" s="39">
        <v>45611</v>
      </c>
      <c r="B286" s="40" t="str">
        <f t="shared" si="35"/>
        <v>November</v>
      </c>
      <c r="C286" s="41">
        <v>2</v>
      </c>
      <c r="D286" s="41">
        <v>2</v>
      </c>
      <c r="E286" s="41">
        <v>0</v>
      </c>
      <c r="F286" s="41">
        <v>0</v>
      </c>
      <c r="G286" s="41">
        <v>0</v>
      </c>
      <c r="H286" s="41">
        <v>5</v>
      </c>
      <c r="I286" s="41">
        <v>0</v>
      </c>
      <c r="J286" s="41">
        <v>0</v>
      </c>
      <c r="K286" s="41">
        <v>1</v>
      </c>
      <c r="L286" s="41">
        <v>5</v>
      </c>
      <c r="M286" s="41">
        <v>0</v>
      </c>
      <c r="N286" s="42">
        <v>110</v>
      </c>
      <c r="O286" s="42">
        <v>110</v>
      </c>
      <c r="P286" s="42">
        <v>26</v>
      </c>
      <c r="Q286" s="42">
        <v>65</v>
      </c>
      <c r="R286" s="42">
        <v>200</v>
      </c>
      <c r="S286" s="42">
        <v>230</v>
      </c>
      <c r="T286" s="42">
        <v>250</v>
      </c>
      <c r="U286" s="42">
        <v>170</v>
      </c>
      <c r="V286" s="42">
        <v>25</v>
      </c>
      <c r="W286" s="42">
        <v>4</v>
      </c>
      <c r="X286" s="42">
        <v>265</v>
      </c>
      <c r="Y286" s="43">
        <v>130</v>
      </c>
      <c r="Z286" s="43">
        <v>150</v>
      </c>
      <c r="AA286" s="43">
        <v>30</v>
      </c>
      <c r="AB286" s="43">
        <v>95</v>
      </c>
      <c r="AC286" s="43">
        <v>250</v>
      </c>
      <c r="AD286" s="43">
        <v>260</v>
      </c>
      <c r="AE286" s="43">
        <v>280</v>
      </c>
      <c r="AF286" s="43">
        <v>200</v>
      </c>
      <c r="AG286" s="43">
        <v>30</v>
      </c>
      <c r="AH286" s="43">
        <v>6</v>
      </c>
      <c r="AI286" s="43">
        <v>300</v>
      </c>
      <c r="AJ286" s="41">
        <f t="shared" si="36"/>
        <v>260</v>
      </c>
      <c r="AK286" s="41">
        <f t="shared" si="41"/>
        <v>300</v>
      </c>
      <c r="AL286" s="41">
        <f t="shared" si="41"/>
        <v>0</v>
      </c>
      <c r="AM286" s="41">
        <f t="shared" si="41"/>
        <v>0</v>
      </c>
      <c r="AN286" s="41">
        <f t="shared" si="41"/>
        <v>0</v>
      </c>
      <c r="AO286" s="41">
        <f t="shared" si="41"/>
        <v>1300</v>
      </c>
      <c r="AP286" s="41">
        <f t="shared" si="40"/>
        <v>0</v>
      </c>
      <c r="AQ286" s="41">
        <f t="shared" si="40"/>
        <v>0</v>
      </c>
      <c r="AR286" s="41">
        <f t="shared" si="40"/>
        <v>30</v>
      </c>
      <c r="AS286" s="41">
        <f t="shared" si="40"/>
        <v>30</v>
      </c>
      <c r="AT286" s="41">
        <f t="shared" si="40"/>
        <v>0</v>
      </c>
      <c r="AU286" s="43">
        <f t="shared" si="38"/>
        <v>40</v>
      </c>
      <c r="AV286" s="43">
        <f t="shared" si="38"/>
        <v>80</v>
      </c>
      <c r="AW286" s="43">
        <f t="shared" si="38"/>
        <v>0</v>
      </c>
      <c r="AX286" s="43">
        <f t="shared" si="38"/>
        <v>0</v>
      </c>
      <c r="AY286" s="43">
        <f t="shared" si="38"/>
        <v>0</v>
      </c>
      <c r="AZ286" s="43">
        <f t="shared" si="38"/>
        <v>150</v>
      </c>
      <c r="BA286" s="43">
        <f t="shared" si="38"/>
        <v>0</v>
      </c>
      <c r="BB286" s="43">
        <f t="shared" si="38"/>
        <v>0</v>
      </c>
      <c r="BC286" s="43">
        <f t="shared" si="39"/>
        <v>5</v>
      </c>
      <c r="BD286" s="43">
        <f t="shared" si="39"/>
        <v>10</v>
      </c>
      <c r="BE286" s="43">
        <f t="shared" si="39"/>
        <v>0</v>
      </c>
      <c r="BF286" s="41">
        <f t="shared" si="37"/>
        <v>285</v>
      </c>
      <c r="BG286" s="41" t="str">
        <f t="array" ref="BG286">_xlfn.IFS(
OR(MONTH(A286)=11,MONTH(A286)=12,MONTH(A286)=1,MONTH(A286)=2),"Winter",
OR(MONTH(A286)=3,MONTH(A286)=4),"Spring",
OR(MONTH(A286)=5,MONTH(A286)=6),"Summer",
OR(MONTH(A286)=7,MONTH(A286)=8,MONTH(A286)=9),"Monsoon",
MONTH(A286)=10,"Autumn/Festive",
TRUE,""
)</f>
        <v>Winter</v>
      </c>
    </row>
    <row r="287" spans="1:59" x14ac:dyDescent="0.3">
      <c r="A287" s="39">
        <v>45612</v>
      </c>
      <c r="B287" s="40" t="str">
        <f t="shared" si="35"/>
        <v>November</v>
      </c>
      <c r="C287" s="41">
        <v>3</v>
      </c>
      <c r="D287" s="41">
        <v>0</v>
      </c>
      <c r="E287" s="41">
        <v>0</v>
      </c>
      <c r="F287" s="41">
        <v>0</v>
      </c>
      <c r="G287" s="41">
        <v>0</v>
      </c>
      <c r="H287" s="41">
        <v>2.5</v>
      </c>
      <c r="I287" s="41">
        <v>2.5</v>
      </c>
      <c r="J287" s="41">
        <v>0</v>
      </c>
      <c r="K287" s="41">
        <v>2</v>
      </c>
      <c r="L287" s="41">
        <v>5</v>
      </c>
      <c r="M287" s="41">
        <v>0</v>
      </c>
      <c r="N287" s="42">
        <v>110</v>
      </c>
      <c r="O287" s="42">
        <v>110</v>
      </c>
      <c r="P287" s="42">
        <v>26</v>
      </c>
      <c r="Q287" s="42">
        <v>65</v>
      </c>
      <c r="R287" s="42">
        <v>200</v>
      </c>
      <c r="S287" s="42">
        <v>230</v>
      </c>
      <c r="T287" s="42">
        <v>250</v>
      </c>
      <c r="U287" s="42">
        <v>170</v>
      </c>
      <c r="V287" s="42">
        <v>25</v>
      </c>
      <c r="W287" s="42">
        <v>4</v>
      </c>
      <c r="X287" s="42">
        <v>265</v>
      </c>
      <c r="Y287" s="43">
        <v>130</v>
      </c>
      <c r="Z287" s="43">
        <v>150</v>
      </c>
      <c r="AA287" s="43">
        <v>30</v>
      </c>
      <c r="AB287" s="43">
        <v>95</v>
      </c>
      <c r="AC287" s="43">
        <v>250</v>
      </c>
      <c r="AD287" s="43">
        <v>260</v>
      </c>
      <c r="AE287" s="43">
        <v>280</v>
      </c>
      <c r="AF287" s="43">
        <v>200</v>
      </c>
      <c r="AG287" s="43">
        <v>30</v>
      </c>
      <c r="AH287" s="43">
        <v>6</v>
      </c>
      <c r="AI287" s="43">
        <v>300</v>
      </c>
      <c r="AJ287" s="41">
        <f t="shared" si="36"/>
        <v>390</v>
      </c>
      <c r="AK287" s="41">
        <f t="shared" si="41"/>
        <v>0</v>
      </c>
      <c r="AL287" s="41">
        <f t="shared" si="41"/>
        <v>0</v>
      </c>
      <c r="AM287" s="41">
        <f t="shared" si="41"/>
        <v>0</v>
      </c>
      <c r="AN287" s="41">
        <f t="shared" si="41"/>
        <v>0</v>
      </c>
      <c r="AO287" s="41">
        <f t="shared" si="41"/>
        <v>650</v>
      </c>
      <c r="AP287" s="41">
        <f t="shared" si="40"/>
        <v>700</v>
      </c>
      <c r="AQ287" s="41">
        <f t="shared" si="40"/>
        <v>0</v>
      </c>
      <c r="AR287" s="41">
        <f t="shared" si="40"/>
        <v>60</v>
      </c>
      <c r="AS287" s="41">
        <f t="shared" si="40"/>
        <v>30</v>
      </c>
      <c r="AT287" s="41">
        <f t="shared" si="40"/>
        <v>0</v>
      </c>
      <c r="AU287" s="43">
        <f t="shared" si="38"/>
        <v>60</v>
      </c>
      <c r="AV287" s="43">
        <f t="shared" si="38"/>
        <v>0</v>
      </c>
      <c r="AW287" s="43">
        <f t="shared" si="38"/>
        <v>0</v>
      </c>
      <c r="AX287" s="43">
        <f t="shared" si="38"/>
        <v>0</v>
      </c>
      <c r="AY287" s="43">
        <f t="shared" si="38"/>
        <v>0</v>
      </c>
      <c r="AZ287" s="43">
        <f t="shared" si="38"/>
        <v>75</v>
      </c>
      <c r="BA287" s="43">
        <f t="shared" si="38"/>
        <v>75</v>
      </c>
      <c r="BB287" s="43">
        <f t="shared" si="38"/>
        <v>0</v>
      </c>
      <c r="BC287" s="43">
        <f t="shared" si="39"/>
        <v>10</v>
      </c>
      <c r="BD287" s="43">
        <f t="shared" si="39"/>
        <v>10</v>
      </c>
      <c r="BE287" s="43">
        <f t="shared" si="39"/>
        <v>0</v>
      </c>
      <c r="BF287" s="41">
        <f t="shared" si="37"/>
        <v>230</v>
      </c>
      <c r="BG287" s="41" t="str">
        <f t="array" ref="BG287">_xlfn.IFS(
OR(MONTH(A287)=11,MONTH(A287)=12,MONTH(A287)=1,MONTH(A287)=2),"Winter",
OR(MONTH(A287)=3,MONTH(A287)=4),"Spring",
OR(MONTH(A287)=5,MONTH(A287)=6),"Summer",
OR(MONTH(A287)=7,MONTH(A287)=8,MONTH(A287)=9),"Monsoon",
MONTH(A287)=10,"Autumn/Festive",
TRUE,""
)</f>
        <v>Winter</v>
      </c>
    </row>
    <row r="288" spans="1:59" x14ac:dyDescent="0.3">
      <c r="A288" s="39">
        <v>45613</v>
      </c>
      <c r="B288" s="40" t="str">
        <f t="shared" si="35"/>
        <v>November</v>
      </c>
      <c r="C288" s="41">
        <v>9</v>
      </c>
      <c r="D288" s="41">
        <v>0</v>
      </c>
      <c r="E288" s="41">
        <v>0</v>
      </c>
      <c r="F288" s="41">
        <v>0</v>
      </c>
      <c r="G288" s="41">
        <v>0</v>
      </c>
      <c r="H288" s="41">
        <v>1.25</v>
      </c>
      <c r="I288" s="41">
        <v>2.5</v>
      </c>
      <c r="J288" s="41">
        <v>0</v>
      </c>
      <c r="K288" s="41">
        <v>2</v>
      </c>
      <c r="L288" s="41">
        <v>5</v>
      </c>
      <c r="M288" s="41">
        <v>1</v>
      </c>
      <c r="N288" s="42">
        <v>110</v>
      </c>
      <c r="O288" s="42">
        <v>110</v>
      </c>
      <c r="P288" s="42">
        <v>26</v>
      </c>
      <c r="Q288" s="42">
        <v>65</v>
      </c>
      <c r="R288" s="42">
        <v>200</v>
      </c>
      <c r="S288" s="42">
        <v>230</v>
      </c>
      <c r="T288" s="42">
        <v>250</v>
      </c>
      <c r="U288" s="42">
        <v>170</v>
      </c>
      <c r="V288" s="42">
        <v>25</v>
      </c>
      <c r="W288" s="42">
        <v>4</v>
      </c>
      <c r="X288" s="42">
        <v>265</v>
      </c>
      <c r="Y288" s="43">
        <v>130</v>
      </c>
      <c r="Z288" s="43">
        <v>150</v>
      </c>
      <c r="AA288" s="43">
        <v>30</v>
      </c>
      <c r="AB288" s="43">
        <v>95</v>
      </c>
      <c r="AC288" s="43">
        <v>250</v>
      </c>
      <c r="AD288" s="43">
        <v>260</v>
      </c>
      <c r="AE288" s="43">
        <v>280</v>
      </c>
      <c r="AF288" s="43">
        <v>200</v>
      </c>
      <c r="AG288" s="43">
        <v>30</v>
      </c>
      <c r="AH288" s="43">
        <v>6</v>
      </c>
      <c r="AI288" s="43">
        <v>300</v>
      </c>
      <c r="AJ288" s="41">
        <f t="shared" si="36"/>
        <v>1170</v>
      </c>
      <c r="AK288" s="41">
        <f t="shared" si="41"/>
        <v>0</v>
      </c>
      <c r="AL288" s="41">
        <f t="shared" si="41"/>
        <v>0</v>
      </c>
      <c r="AM288" s="41">
        <f t="shared" si="41"/>
        <v>0</v>
      </c>
      <c r="AN288" s="41">
        <f t="shared" si="41"/>
        <v>0</v>
      </c>
      <c r="AO288" s="41">
        <f t="shared" si="41"/>
        <v>325</v>
      </c>
      <c r="AP288" s="41">
        <f t="shared" si="40"/>
        <v>700</v>
      </c>
      <c r="AQ288" s="41">
        <f t="shared" si="40"/>
        <v>0</v>
      </c>
      <c r="AR288" s="41">
        <f t="shared" si="40"/>
        <v>60</v>
      </c>
      <c r="AS288" s="41">
        <f t="shared" si="40"/>
        <v>30</v>
      </c>
      <c r="AT288" s="41">
        <f t="shared" si="40"/>
        <v>300</v>
      </c>
      <c r="AU288" s="43">
        <f t="shared" si="38"/>
        <v>180</v>
      </c>
      <c r="AV288" s="43">
        <f t="shared" si="38"/>
        <v>0</v>
      </c>
      <c r="AW288" s="43">
        <f t="shared" si="38"/>
        <v>0</v>
      </c>
      <c r="AX288" s="43">
        <f t="shared" si="38"/>
        <v>0</v>
      </c>
      <c r="AY288" s="43">
        <f t="shared" si="38"/>
        <v>0</v>
      </c>
      <c r="AZ288" s="43">
        <f t="shared" si="38"/>
        <v>37.5</v>
      </c>
      <c r="BA288" s="43">
        <f t="shared" si="38"/>
        <v>75</v>
      </c>
      <c r="BB288" s="43">
        <f t="shared" si="38"/>
        <v>0</v>
      </c>
      <c r="BC288" s="43">
        <f t="shared" si="39"/>
        <v>10</v>
      </c>
      <c r="BD288" s="43">
        <f t="shared" si="39"/>
        <v>10</v>
      </c>
      <c r="BE288" s="43">
        <f t="shared" si="39"/>
        <v>35</v>
      </c>
      <c r="BF288" s="41">
        <f t="shared" si="37"/>
        <v>347.5</v>
      </c>
      <c r="BG288" s="41" t="str">
        <f t="array" ref="BG288">_xlfn.IFS(
OR(MONTH(A288)=11,MONTH(A288)=12,MONTH(A288)=1,MONTH(A288)=2),"Winter",
OR(MONTH(A288)=3,MONTH(A288)=4),"Spring",
OR(MONTH(A288)=5,MONTH(A288)=6),"Summer",
OR(MONTH(A288)=7,MONTH(A288)=8,MONTH(A288)=9),"Monsoon",
MONTH(A288)=10,"Autumn/Festive",
TRUE,""
)</f>
        <v>Winter</v>
      </c>
    </row>
    <row r="289" spans="1:59" x14ac:dyDescent="0.3">
      <c r="A289" s="39">
        <v>45614</v>
      </c>
      <c r="B289" s="40" t="str">
        <f t="shared" si="35"/>
        <v>November</v>
      </c>
      <c r="C289" s="41">
        <v>2</v>
      </c>
      <c r="D289" s="41">
        <v>0</v>
      </c>
      <c r="E289" s="41">
        <v>0</v>
      </c>
      <c r="F289" s="41">
        <v>0</v>
      </c>
      <c r="G289" s="41">
        <v>0</v>
      </c>
      <c r="H289" s="41">
        <v>1.75</v>
      </c>
      <c r="I289" s="41">
        <v>0</v>
      </c>
      <c r="J289" s="41">
        <v>0</v>
      </c>
      <c r="K289" s="41">
        <v>2</v>
      </c>
      <c r="L289" s="41">
        <v>12</v>
      </c>
      <c r="M289" s="41">
        <v>2</v>
      </c>
      <c r="N289" s="42">
        <v>110</v>
      </c>
      <c r="O289" s="42">
        <v>110</v>
      </c>
      <c r="P289" s="42">
        <v>26</v>
      </c>
      <c r="Q289" s="42">
        <v>65</v>
      </c>
      <c r="R289" s="42">
        <v>200</v>
      </c>
      <c r="S289" s="42">
        <v>230</v>
      </c>
      <c r="T289" s="42">
        <v>250</v>
      </c>
      <c r="U289" s="42">
        <v>170</v>
      </c>
      <c r="V289" s="42">
        <v>25</v>
      </c>
      <c r="W289" s="42">
        <v>4</v>
      </c>
      <c r="X289" s="42">
        <v>265</v>
      </c>
      <c r="Y289" s="43">
        <v>130</v>
      </c>
      <c r="Z289" s="43">
        <v>150</v>
      </c>
      <c r="AA289" s="43">
        <v>30</v>
      </c>
      <c r="AB289" s="43">
        <v>95</v>
      </c>
      <c r="AC289" s="43">
        <v>250</v>
      </c>
      <c r="AD289" s="43">
        <v>260</v>
      </c>
      <c r="AE289" s="43">
        <v>280</v>
      </c>
      <c r="AF289" s="43">
        <v>200</v>
      </c>
      <c r="AG289" s="43">
        <v>30</v>
      </c>
      <c r="AH289" s="43">
        <v>6</v>
      </c>
      <c r="AI289" s="43">
        <v>300</v>
      </c>
      <c r="AJ289" s="41">
        <f t="shared" si="36"/>
        <v>260</v>
      </c>
      <c r="AK289" s="41">
        <f t="shared" si="41"/>
        <v>0</v>
      </c>
      <c r="AL289" s="41">
        <f t="shared" si="41"/>
        <v>0</v>
      </c>
      <c r="AM289" s="41">
        <f t="shared" si="41"/>
        <v>0</v>
      </c>
      <c r="AN289" s="41">
        <f t="shared" si="41"/>
        <v>0</v>
      </c>
      <c r="AO289" s="41">
        <f t="shared" si="41"/>
        <v>455</v>
      </c>
      <c r="AP289" s="41">
        <f t="shared" si="40"/>
        <v>0</v>
      </c>
      <c r="AQ289" s="41">
        <f t="shared" si="40"/>
        <v>0</v>
      </c>
      <c r="AR289" s="41">
        <f t="shared" si="40"/>
        <v>60</v>
      </c>
      <c r="AS289" s="41">
        <f t="shared" si="40"/>
        <v>72</v>
      </c>
      <c r="AT289" s="41">
        <f t="shared" si="40"/>
        <v>600</v>
      </c>
      <c r="AU289" s="43">
        <f t="shared" si="38"/>
        <v>40</v>
      </c>
      <c r="AV289" s="43">
        <f t="shared" si="38"/>
        <v>0</v>
      </c>
      <c r="AW289" s="43">
        <f t="shared" si="38"/>
        <v>0</v>
      </c>
      <c r="AX289" s="43">
        <f t="shared" si="38"/>
        <v>0</v>
      </c>
      <c r="AY289" s="43">
        <f t="shared" si="38"/>
        <v>0</v>
      </c>
      <c r="AZ289" s="43">
        <f t="shared" si="38"/>
        <v>52.5</v>
      </c>
      <c r="BA289" s="43">
        <f t="shared" si="38"/>
        <v>0</v>
      </c>
      <c r="BB289" s="43">
        <f t="shared" si="38"/>
        <v>0</v>
      </c>
      <c r="BC289" s="43">
        <f t="shared" si="39"/>
        <v>10</v>
      </c>
      <c r="BD289" s="43">
        <f t="shared" si="39"/>
        <v>24</v>
      </c>
      <c r="BE289" s="43">
        <f t="shared" si="39"/>
        <v>70</v>
      </c>
      <c r="BF289" s="41">
        <f t="shared" si="37"/>
        <v>196.5</v>
      </c>
      <c r="BG289" s="41" t="str">
        <f t="array" ref="BG289">_xlfn.IFS(
OR(MONTH(A289)=11,MONTH(A289)=12,MONTH(A289)=1,MONTH(A289)=2),"Winter",
OR(MONTH(A289)=3,MONTH(A289)=4),"Spring",
OR(MONTH(A289)=5,MONTH(A289)=6),"Summer",
OR(MONTH(A289)=7,MONTH(A289)=8,MONTH(A289)=9),"Monsoon",
MONTH(A289)=10,"Autumn/Festive",
TRUE,""
)</f>
        <v>Winter</v>
      </c>
    </row>
    <row r="290" spans="1:59" x14ac:dyDescent="0.3">
      <c r="A290" s="39">
        <v>45615</v>
      </c>
      <c r="B290" s="40" t="str">
        <f t="shared" si="35"/>
        <v>November</v>
      </c>
      <c r="C290" s="41">
        <v>1</v>
      </c>
      <c r="D290" s="41">
        <v>0</v>
      </c>
      <c r="E290" s="41">
        <v>0</v>
      </c>
      <c r="F290" s="41">
        <v>0</v>
      </c>
      <c r="G290" s="41">
        <v>0</v>
      </c>
      <c r="H290" s="41">
        <v>1.75</v>
      </c>
      <c r="I290" s="41">
        <v>0.5</v>
      </c>
      <c r="J290" s="41">
        <v>0</v>
      </c>
      <c r="K290" s="41">
        <v>1</v>
      </c>
      <c r="L290" s="41">
        <v>5</v>
      </c>
      <c r="M290" s="41">
        <v>1</v>
      </c>
      <c r="N290" s="42">
        <v>110</v>
      </c>
      <c r="O290" s="42">
        <v>110</v>
      </c>
      <c r="P290" s="42">
        <v>26</v>
      </c>
      <c r="Q290" s="42">
        <v>65</v>
      </c>
      <c r="R290" s="42">
        <v>200</v>
      </c>
      <c r="S290" s="42">
        <v>230</v>
      </c>
      <c r="T290" s="42">
        <v>250</v>
      </c>
      <c r="U290" s="42">
        <v>170</v>
      </c>
      <c r="V290" s="42">
        <v>25</v>
      </c>
      <c r="W290" s="42">
        <v>4</v>
      </c>
      <c r="X290" s="42">
        <v>265</v>
      </c>
      <c r="Y290" s="43">
        <v>130</v>
      </c>
      <c r="Z290" s="43">
        <v>150</v>
      </c>
      <c r="AA290" s="43">
        <v>30</v>
      </c>
      <c r="AB290" s="43">
        <v>95</v>
      </c>
      <c r="AC290" s="43">
        <v>250</v>
      </c>
      <c r="AD290" s="43">
        <v>260</v>
      </c>
      <c r="AE290" s="43">
        <v>280</v>
      </c>
      <c r="AF290" s="43">
        <v>200</v>
      </c>
      <c r="AG290" s="43">
        <v>30</v>
      </c>
      <c r="AH290" s="43">
        <v>6</v>
      </c>
      <c r="AI290" s="43">
        <v>300</v>
      </c>
      <c r="AJ290" s="41">
        <f t="shared" si="36"/>
        <v>130</v>
      </c>
      <c r="AK290" s="41">
        <f t="shared" si="41"/>
        <v>0</v>
      </c>
      <c r="AL290" s="41">
        <f t="shared" si="41"/>
        <v>0</v>
      </c>
      <c r="AM290" s="41">
        <f t="shared" si="41"/>
        <v>0</v>
      </c>
      <c r="AN290" s="41">
        <f t="shared" si="41"/>
        <v>0</v>
      </c>
      <c r="AO290" s="41">
        <f t="shared" si="41"/>
        <v>455</v>
      </c>
      <c r="AP290" s="41">
        <f t="shared" si="40"/>
        <v>140</v>
      </c>
      <c r="AQ290" s="41">
        <f t="shared" si="40"/>
        <v>0</v>
      </c>
      <c r="AR290" s="41">
        <f t="shared" si="40"/>
        <v>30</v>
      </c>
      <c r="AS290" s="41">
        <f t="shared" si="40"/>
        <v>30</v>
      </c>
      <c r="AT290" s="41">
        <f t="shared" si="40"/>
        <v>300</v>
      </c>
      <c r="AU290" s="43">
        <f t="shared" si="38"/>
        <v>20</v>
      </c>
      <c r="AV290" s="43">
        <f t="shared" si="38"/>
        <v>0</v>
      </c>
      <c r="AW290" s="43">
        <f t="shared" si="38"/>
        <v>0</v>
      </c>
      <c r="AX290" s="43">
        <f t="shared" si="38"/>
        <v>0</v>
      </c>
      <c r="AY290" s="43">
        <f t="shared" si="38"/>
        <v>0</v>
      </c>
      <c r="AZ290" s="43">
        <f t="shared" si="38"/>
        <v>52.5</v>
      </c>
      <c r="BA290" s="43">
        <f t="shared" si="38"/>
        <v>15</v>
      </c>
      <c r="BB290" s="43">
        <f t="shared" si="38"/>
        <v>0</v>
      </c>
      <c r="BC290" s="43">
        <f t="shared" si="39"/>
        <v>5</v>
      </c>
      <c r="BD290" s="43">
        <f t="shared" si="39"/>
        <v>10</v>
      </c>
      <c r="BE290" s="43">
        <f t="shared" si="39"/>
        <v>35</v>
      </c>
      <c r="BF290" s="41">
        <f t="shared" si="37"/>
        <v>137.5</v>
      </c>
      <c r="BG290" s="41" t="str">
        <f t="array" ref="BG290">_xlfn.IFS(
OR(MONTH(A290)=11,MONTH(A290)=12,MONTH(A290)=1,MONTH(A290)=2),"Winter",
OR(MONTH(A290)=3,MONTH(A290)=4),"Spring",
OR(MONTH(A290)=5,MONTH(A290)=6),"Summer",
OR(MONTH(A290)=7,MONTH(A290)=8,MONTH(A290)=9),"Monsoon",
MONTH(A290)=10,"Autumn/Festive",
TRUE,""
)</f>
        <v>Winter</v>
      </c>
    </row>
    <row r="291" spans="1:59" x14ac:dyDescent="0.3">
      <c r="A291" s="39">
        <v>45616</v>
      </c>
      <c r="B291" s="40" t="str">
        <f t="shared" si="35"/>
        <v>November</v>
      </c>
      <c r="C291" s="41">
        <v>0</v>
      </c>
      <c r="D291" s="41">
        <v>0</v>
      </c>
      <c r="E291" s="41">
        <v>0</v>
      </c>
      <c r="F291" s="41">
        <v>0</v>
      </c>
      <c r="G291" s="41">
        <v>0</v>
      </c>
      <c r="H291" s="41">
        <v>0</v>
      </c>
      <c r="I291" s="41">
        <v>0</v>
      </c>
      <c r="J291" s="41">
        <v>0</v>
      </c>
      <c r="K291" s="41">
        <v>0</v>
      </c>
      <c r="L291" s="41">
        <v>0</v>
      </c>
      <c r="M291" s="41">
        <v>0</v>
      </c>
      <c r="N291" s="42">
        <v>110</v>
      </c>
      <c r="O291" s="42">
        <v>110</v>
      </c>
      <c r="P291" s="42">
        <v>26</v>
      </c>
      <c r="Q291" s="42">
        <v>65</v>
      </c>
      <c r="R291" s="42">
        <v>200</v>
      </c>
      <c r="S291" s="42">
        <v>230</v>
      </c>
      <c r="T291" s="42">
        <v>250</v>
      </c>
      <c r="U291" s="42">
        <v>170</v>
      </c>
      <c r="V291" s="42">
        <v>25</v>
      </c>
      <c r="W291" s="42">
        <v>4</v>
      </c>
      <c r="X291" s="42">
        <v>265</v>
      </c>
      <c r="Y291" s="43">
        <v>130</v>
      </c>
      <c r="Z291" s="43">
        <v>150</v>
      </c>
      <c r="AA291" s="43">
        <v>30</v>
      </c>
      <c r="AB291" s="43">
        <v>95</v>
      </c>
      <c r="AC291" s="43">
        <v>250</v>
      </c>
      <c r="AD291" s="43">
        <v>260</v>
      </c>
      <c r="AE291" s="43">
        <v>280</v>
      </c>
      <c r="AF291" s="43">
        <v>200</v>
      </c>
      <c r="AG291" s="43">
        <v>30</v>
      </c>
      <c r="AH291" s="43">
        <v>6</v>
      </c>
      <c r="AI291" s="43">
        <v>300</v>
      </c>
      <c r="AJ291" s="41">
        <f t="shared" si="36"/>
        <v>0</v>
      </c>
      <c r="AK291" s="41">
        <f t="shared" si="41"/>
        <v>0</v>
      </c>
      <c r="AL291" s="41">
        <f t="shared" si="41"/>
        <v>0</v>
      </c>
      <c r="AM291" s="41">
        <f t="shared" si="41"/>
        <v>0</v>
      </c>
      <c r="AN291" s="41">
        <f t="shared" si="41"/>
        <v>0</v>
      </c>
      <c r="AO291" s="41">
        <f t="shared" si="41"/>
        <v>0</v>
      </c>
      <c r="AP291" s="41">
        <f t="shared" si="40"/>
        <v>0</v>
      </c>
      <c r="AQ291" s="41">
        <f t="shared" si="40"/>
        <v>0</v>
      </c>
      <c r="AR291" s="41">
        <f t="shared" si="40"/>
        <v>0</v>
      </c>
      <c r="AS291" s="41">
        <f t="shared" si="40"/>
        <v>0</v>
      </c>
      <c r="AT291" s="41">
        <f t="shared" si="40"/>
        <v>0</v>
      </c>
      <c r="AU291" s="43">
        <f t="shared" si="38"/>
        <v>0</v>
      </c>
      <c r="AV291" s="43">
        <f t="shared" si="38"/>
        <v>0</v>
      </c>
      <c r="AW291" s="43">
        <f t="shared" si="38"/>
        <v>0</v>
      </c>
      <c r="AX291" s="43">
        <f t="shared" si="38"/>
        <v>0</v>
      </c>
      <c r="AY291" s="43">
        <f t="shared" si="38"/>
        <v>0</v>
      </c>
      <c r="AZ291" s="43">
        <f t="shared" si="38"/>
        <v>0</v>
      </c>
      <c r="BA291" s="43">
        <f t="shared" si="38"/>
        <v>0</v>
      </c>
      <c r="BB291" s="43">
        <f t="shared" si="38"/>
        <v>0</v>
      </c>
      <c r="BC291" s="43">
        <f t="shared" si="39"/>
        <v>0</v>
      </c>
      <c r="BD291" s="43">
        <f t="shared" si="39"/>
        <v>0</v>
      </c>
      <c r="BE291" s="43">
        <f t="shared" si="39"/>
        <v>0</v>
      </c>
      <c r="BF291" s="41">
        <f t="shared" si="37"/>
        <v>0</v>
      </c>
      <c r="BG291" s="41" t="str">
        <f t="array" ref="BG291">_xlfn.IFS(
OR(MONTH(A291)=11,MONTH(A291)=12,MONTH(A291)=1,MONTH(A291)=2),"Winter",
OR(MONTH(A291)=3,MONTH(A291)=4),"Spring",
OR(MONTH(A291)=5,MONTH(A291)=6),"Summer",
OR(MONTH(A291)=7,MONTH(A291)=8,MONTH(A291)=9),"Monsoon",
MONTH(A291)=10,"Autumn/Festive",
TRUE,""
)</f>
        <v>Winter</v>
      </c>
    </row>
    <row r="292" spans="1:59" x14ac:dyDescent="0.3">
      <c r="A292" s="39">
        <v>45617</v>
      </c>
      <c r="B292" s="40" t="str">
        <f t="shared" si="35"/>
        <v>November</v>
      </c>
      <c r="C292" s="41">
        <v>0</v>
      </c>
      <c r="D292" s="41">
        <v>0</v>
      </c>
      <c r="E292" s="41">
        <v>0</v>
      </c>
      <c r="F292" s="41">
        <v>0</v>
      </c>
      <c r="G292" s="41">
        <v>0</v>
      </c>
      <c r="H292" s="41">
        <v>2.5</v>
      </c>
      <c r="I292" s="41">
        <v>1.25</v>
      </c>
      <c r="J292" s="41">
        <v>0</v>
      </c>
      <c r="K292" s="41">
        <v>0</v>
      </c>
      <c r="L292" s="41">
        <v>0</v>
      </c>
      <c r="M292" s="41">
        <v>2</v>
      </c>
      <c r="N292" s="42">
        <v>110</v>
      </c>
      <c r="O292" s="42">
        <v>110</v>
      </c>
      <c r="P292" s="42">
        <v>26</v>
      </c>
      <c r="Q292" s="42">
        <v>65</v>
      </c>
      <c r="R292" s="42">
        <v>200</v>
      </c>
      <c r="S292" s="42">
        <v>230</v>
      </c>
      <c r="T292" s="42">
        <v>250</v>
      </c>
      <c r="U292" s="42">
        <v>170</v>
      </c>
      <c r="V292" s="42">
        <v>25</v>
      </c>
      <c r="W292" s="42">
        <v>4</v>
      </c>
      <c r="X292" s="42">
        <v>265</v>
      </c>
      <c r="Y292" s="43">
        <v>130</v>
      </c>
      <c r="Z292" s="43">
        <v>150</v>
      </c>
      <c r="AA292" s="43">
        <v>30</v>
      </c>
      <c r="AB292" s="43">
        <v>95</v>
      </c>
      <c r="AC292" s="43">
        <v>250</v>
      </c>
      <c r="AD292" s="43">
        <v>260</v>
      </c>
      <c r="AE292" s="43">
        <v>280</v>
      </c>
      <c r="AF292" s="43">
        <v>200</v>
      </c>
      <c r="AG292" s="43">
        <v>30</v>
      </c>
      <c r="AH292" s="43">
        <v>6</v>
      </c>
      <c r="AI292" s="43">
        <v>300</v>
      </c>
      <c r="AJ292" s="41">
        <f t="shared" si="36"/>
        <v>0</v>
      </c>
      <c r="AK292" s="41">
        <f t="shared" si="41"/>
        <v>0</v>
      </c>
      <c r="AL292" s="41">
        <f t="shared" si="41"/>
        <v>0</v>
      </c>
      <c r="AM292" s="41">
        <f t="shared" si="41"/>
        <v>0</v>
      </c>
      <c r="AN292" s="41">
        <f t="shared" si="41"/>
        <v>0</v>
      </c>
      <c r="AO292" s="41">
        <f t="shared" si="41"/>
        <v>650</v>
      </c>
      <c r="AP292" s="41">
        <f t="shared" si="40"/>
        <v>350</v>
      </c>
      <c r="AQ292" s="41">
        <f t="shared" si="40"/>
        <v>0</v>
      </c>
      <c r="AR292" s="41">
        <f t="shared" si="40"/>
        <v>0</v>
      </c>
      <c r="AS292" s="41">
        <f t="shared" si="40"/>
        <v>0</v>
      </c>
      <c r="AT292" s="41">
        <f t="shared" si="40"/>
        <v>600</v>
      </c>
      <c r="AU292" s="43">
        <f t="shared" si="38"/>
        <v>0</v>
      </c>
      <c r="AV292" s="43">
        <f t="shared" si="38"/>
        <v>0</v>
      </c>
      <c r="AW292" s="43">
        <f t="shared" si="38"/>
        <v>0</v>
      </c>
      <c r="AX292" s="43">
        <f t="shared" si="38"/>
        <v>0</v>
      </c>
      <c r="AY292" s="43">
        <f t="shared" si="38"/>
        <v>0</v>
      </c>
      <c r="AZ292" s="43">
        <f t="shared" si="38"/>
        <v>75</v>
      </c>
      <c r="BA292" s="43">
        <f t="shared" si="38"/>
        <v>37.5</v>
      </c>
      <c r="BB292" s="43">
        <f t="shared" si="38"/>
        <v>0</v>
      </c>
      <c r="BC292" s="43">
        <f t="shared" si="39"/>
        <v>0</v>
      </c>
      <c r="BD292" s="43">
        <f t="shared" si="39"/>
        <v>0</v>
      </c>
      <c r="BE292" s="43">
        <f t="shared" si="39"/>
        <v>70</v>
      </c>
      <c r="BF292" s="41">
        <f t="shared" si="37"/>
        <v>182.5</v>
      </c>
      <c r="BG292" s="41" t="str">
        <f t="array" ref="BG292">_xlfn.IFS(
OR(MONTH(A292)=11,MONTH(A292)=12,MONTH(A292)=1,MONTH(A292)=2),"Winter",
OR(MONTH(A292)=3,MONTH(A292)=4),"Spring",
OR(MONTH(A292)=5,MONTH(A292)=6),"Summer",
OR(MONTH(A292)=7,MONTH(A292)=8,MONTH(A292)=9),"Monsoon",
MONTH(A292)=10,"Autumn/Festive",
TRUE,""
)</f>
        <v>Winter</v>
      </c>
    </row>
    <row r="293" spans="1:59" x14ac:dyDescent="0.3">
      <c r="A293" s="39">
        <v>45618</v>
      </c>
      <c r="B293" s="40" t="str">
        <f t="shared" si="35"/>
        <v>November</v>
      </c>
      <c r="C293" s="41">
        <v>5</v>
      </c>
      <c r="D293" s="41">
        <v>0</v>
      </c>
      <c r="E293" s="41">
        <v>0</v>
      </c>
      <c r="F293" s="41">
        <v>0</v>
      </c>
      <c r="G293" s="41">
        <v>0</v>
      </c>
      <c r="H293" s="41">
        <v>1.25</v>
      </c>
      <c r="I293" s="41">
        <v>0</v>
      </c>
      <c r="J293" s="41">
        <v>0</v>
      </c>
      <c r="K293" s="41">
        <v>0</v>
      </c>
      <c r="L293" s="41">
        <v>6</v>
      </c>
      <c r="M293" s="41">
        <v>2</v>
      </c>
      <c r="N293" s="42">
        <v>110</v>
      </c>
      <c r="O293" s="42">
        <v>110</v>
      </c>
      <c r="P293" s="42">
        <v>26</v>
      </c>
      <c r="Q293" s="42">
        <v>65</v>
      </c>
      <c r="R293" s="42">
        <v>200</v>
      </c>
      <c r="S293" s="42">
        <v>230</v>
      </c>
      <c r="T293" s="42">
        <v>250</v>
      </c>
      <c r="U293" s="42">
        <v>170</v>
      </c>
      <c r="V293" s="42">
        <v>25</v>
      </c>
      <c r="W293" s="42">
        <v>4</v>
      </c>
      <c r="X293" s="42">
        <v>265</v>
      </c>
      <c r="Y293" s="43">
        <v>130</v>
      </c>
      <c r="Z293" s="43">
        <v>150</v>
      </c>
      <c r="AA293" s="43">
        <v>30</v>
      </c>
      <c r="AB293" s="43">
        <v>95</v>
      </c>
      <c r="AC293" s="43">
        <v>250</v>
      </c>
      <c r="AD293" s="43">
        <v>260</v>
      </c>
      <c r="AE293" s="43">
        <v>280</v>
      </c>
      <c r="AF293" s="43">
        <v>200</v>
      </c>
      <c r="AG293" s="43">
        <v>30</v>
      </c>
      <c r="AH293" s="43">
        <v>6</v>
      </c>
      <c r="AI293" s="43">
        <v>300</v>
      </c>
      <c r="AJ293" s="41">
        <f t="shared" si="36"/>
        <v>650</v>
      </c>
      <c r="AK293" s="41">
        <f t="shared" si="41"/>
        <v>0</v>
      </c>
      <c r="AL293" s="41">
        <f t="shared" si="41"/>
        <v>0</v>
      </c>
      <c r="AM293" s="41">
        <f t="shared" si="41"/>
        <v>0</v>
      </c>
      <c r="AN293" s="41">
        <f t="shared" si="41"/>
        <v>0</v>
      </c>
      <c r="AO293" s="41">
        <f t="shared" si="41"/>
        <v>325</v>
      </c>
      <c r="AP293" s="41">
        <f t="shared" si="40"/>
        <v>0</v>
      </c>
      <c r="AQ293" s="41">
        <f t="shared" si="40"/>
        <v>0</v>
      </c>
      <c r="AR293" s="41">
        <f t="shared" si="40"/>
        <v>0</v>
      </c>
      <c r="AS293" s="41">
        <f t="shared" si="40"/>
        <v>36</v>
      </c>
      <c r="AT293" s="41">
        <f t="shared" si="40"/>
        <v>600</v>
      </c>
      <c r="AU293" s="43">
        <f t="shared" si="38"/>
        <v>100</v>
      </c>
      <c r="AV293" s="43">
        <f t="shared" si="38"/>
        <v>0</v>
      </c>
      <c r="AW293" s="43">
        <f t="shared" si="38"/>
        <v>0</v>
      </c>
      <c r="AX293" s="43">
        <f t="shared" si="38"/>
        <v>0</v>
      </c>
      <c r="AY293" s="43">
        <f t="shared" si="38"/>
        <v>0</v>
      </c>
      <c r="AZ293" s="43">
        <f t="shared" si="38"/>
        <v>37.5</v>
      </c>
      <c r="BA293" s="43">
        <f t="shared" si="38"/>
        <v>0</v>
      </c>
      <c r="BB293" s="43">
        <f t="shared" si="38"/>
        <v>0</v>
      </c>
      <c r="BC293" s="43">
        <f t="shared" si="39"/>
        <v>0</v>
      </c>
      <c r="BD293" s="43">
        <f t="shared" si="39"/>
        <v>12</v>
      </c>
      <c r="BE293" s="43">
        <f t="shared" si="39"/>
        <v>70</v>
      </c>
      <c r="BF293" s="41">
        <f t="shared" si="37"/>
        <v>219.5</v>
      </c>
      <c r="BG293" s="41" t="str">
        <f t="array" ref="BG293">_xlfn.IFS(
OR(MONTH(A293)=11,MONTH(A293)=12,MONTH(A293)=1,MONTH(A293)=2),"Winter",
OR(MONTH(A293)=3,MONTH(A293)=4),"Spring",
OR(MONTH(A293)=5,MONTH(A293)=6),"Summer",
OR(MONTH(A293)=7,MONTH(A293)=8,MONTH(A293)=9),"Monsoon",
MONTH(A293)=10,"Autumn/Festive",
TRUE,""
)</f>
        <v>Winter</v>
      </c>
    </row>
    <row r="294" spans="1:59" x14ac:dyDescent="0.3">
      <c r="A294" s="39">
        <v>45619</v>
      </c>
      <c r="B294" s="40" t="str">
        <f t="shared" si="35"/>
        <v>November</v>
      </c>
      <c r="C294" s="41">
        <v>0</v>
      </c>
      <c r="D294" s="41">
        <v>0</v>
      </c>
      <c r="E294" s="41">
        <v>0</v>
      </c>
      <c r="F294" s="41">
        <v>0</v>
      </c>
      <c r="G294" s="41">
        <v>0</v>
      </c>
      <c r="H294" s="41">
        <v>0.25</v>
      </c>
      <c r="I294" s="41">
        <v>2.5</v>
      </c>
      <c r="J294" s="41">
        <v>0</v>
      </c>
      <c r="K294" s="41">
        <v>1</v>
      </c>
      <c r="L294" s="41">
        <v>5</v>
      </c>
      <c r="M294" s="41">
        <v>0</v>
      </c>
      <c r="N294" s="42">
        <v>110</v>
      </c>
      <c r="O294" s="42">
        <v>110</v>
      </c>
      <c r="P294" s="42">
        <v>26</v>
      </c>
      <c r="Q294" s="42">
        <v>65</v>
      </c>
      <c r="R294" s="42">
        <v>200</v>
      </c>
      <c r="S294" s="42">
        <v>230</v>
      </c>
      <c r="T294" s="42">
        <v>250</v>
      </c>
      <c r="U294" s="42">
        <v>170</v>
      </c>
      <c r="V294" s="42">
        <v>25</v>
      </c>
      <c r="W294" s="42">
        <v>4</v>
      </c>
      <c r="X294" s="42">
        <v>265</v>
      </c>
      <c r="Y294" s="43">
        <v>130</v>
      </c>
      <c r="Z294" s="43">
        <v>150</v>
      </c>
      <c r="AA294" s="43">
        <v>30</v>
      </c>
      <c r="AB294" s="43">
        <v>95</v>
      </c>
      <c r="AC294" s="43">
        <v>250</v>
      </c>
      <c r="AD294" s="43">
        <v>260</v>
      </c>
      <c r="AE294" s="43">
        <v>280</v>
      </c>
      <c r="AF294" s="43">
        <v>200</v>
      </c>
      <c r="AG294" s="43">
        <v>30</v>
      </c>
      <c r="AH294" s="43">
        <v>6</v>
      </c>
      <c r="AI294" s="43">
        <v>300</v>
      </c>
      <c r="AJ294" s="41">
        <f t="shared" si="36"/>
        <v>0</v>
      </c>
      <c r="AK294" s="41">
        <f t="shared" si="41"/>
        <v>0</v>
      </c>
      <c r="AL294" s="41">
        <f t="shared" si="41"/>
        <v>0</v>
      </c>
      <c r="AM294" s="41">
        <f t="shared" si="41"/>
        <v>0</v>
      </c>
      <c r="AN294" s="41">
        <f t="shared" si="41"/>
        <v>0</v>
      </c>
      <c r="AO294" s="41">
        <f t="shared" si="41"/>
        <v>65</v>
      </c>
      <c r="AP294" s="41">
        <f t="shared" si="40"/>
        <v>700</v>
      </c>
      <c r="AQ294" s="41">
        <f t="shared" si="40"/>
        <v>0</v>
      </c>
      <c r="AR294" s="41">
        <f t="shared" si="40"/>
        <v>30</v>
      </c>
      <c r="AS294" s="41">
        <f t="shared" si="40"/>
        <v>30</v>
      </c>
      <c r="AT294" s="41">
        <f t="shared" si="40"/>
        <v>0</v>
      </c>
      <c r="AU294" s="43">
        <f t="shared" si="38"/>
        <v>0</v>
      </c>
      <c r="AV294" s="43">
        <f t="shared" si="38"/>
        <v>0</v>
      </c>
      <c r="AW294" s="43">
        <f t="shared" si="38"/>
        <v>0</v>
      </c>
      <c r="AX294" s="43">
        <f t="shared" si="38"/>
        <v>0</v>
      </c>
      <c r="AY294" s="43">
        <f t="shared" si="38"/>
        <v>0</v>
      </c>
      <c r="AZ294" s="43">
        <f t="shared" si="38"/>
        <v>7.5</v>
      </c>
      <c r="BA294" s="43">
        <f t="shared" si="38"/>
        <v>75</v>
      </c>
      <c r="BB294" s="43">
        <f t="shared" si="38"/>
        <v>0</v>
      </c>
      <c r="BC294" s="43">
        <f t="shared" si="39"/>
        <v>5</v>
      </c>
      <c r="BD294" s="43">
        <f t="shared" si="39"/>
        <v>10</v>
      </c>
      <c r="BE294" s="43">
        <f t="shared" si="39"/>
        <v>0</v>
      </c>
      <c r="BF294" s="41">
        <f t="shared" si="37"/>
        <v>97.5</v>
      </c>
      <c r="BG294" s="41" t="str">
        <f t="array" ref="BG294">_xlfn.IFS(
OR(MONTH(A294)=11,MONTH(A294)=12,MONTH(A294)=1,MONTH(A294)=2),"Winter",
OR(MONTH(A294)=3,MONTH(A294)=4),"Spring",
OR(MONTH(A294)=5,MONTH(A294)=6),"Summer",
OR(MONTH(A294)=7,MONTH(A294)=8,MONTH(A294)=9),"Monsoon",
MONTH(A294)=10,"Autumn/Festive",
TRUE,""
)</f>
        <v>Winter</v>
      </c>
    </row>
    <row r="295" spans="1:59" x14ac:dyDescent="0.3">
      <c r="A295" s="39">
        <v>45620</v>
      </c>
      <c r="B295" s="40" t="str">
        <f t="shared" si="35"/>
        <v>November</v>
      </c>
      <c r="C295" s="41">
        <v>0</v>
      </c>
      <c r="D295" s="41">
        <v>0</v>
      </c>
      <c r="E295" s="41">
        <v>0</v>
      </c>
      <c r="F295" s="41">
        <v>0</v>
      </c>
      <c r="G295" s="41">
        <v>0</v>
      </c>
      <c r="H295" s="41">
        <v>3.75</v>
      </c>
      <c r="I295" s="41">
        <v>5</v>
      </c>
      <c r="J295" s="41">
        <v>0</v>
      </c>
      <c r="K295" s="41">
        <v>3</v>
      </c>
      <c r="L295" s="41">
        <v>16</v>
      </c>
      <c r="M295" s="41">
        <v>1</v>
      </c>
      <c r="N295" s="42">
        <v>110</v>
      </c>
      <c r="O295" s="42">
        <v>110</v>
      </c>
      <c r="P295" s="42">
        <v>26</v>
      </c>
      <c r="Q295" s="42">
        <v>65</v>
      </c>
      <c r="R295" s="42">
        <v>200</v>
      </c>
      <c r="S295" s="42">
        <v>230</v>
      </c>
      <c r="T295" s="42">
        <v>250</v>
      </c>
      <c r="U295" s="42">
        <v>170</v>
      </c>
      <c r="V295" s="42">
        <v>25</v>
      </c>
      <c r="W295" s="42">
        <v>4</v>
      </c>
      <c r="X295" s="42">
        <v>265</v>
      </c>
      <c r="Y295" s="43">
        <v>130</v>
      </c>
      <c r="Z295" s="43">
        <v>150</v>
      </c>
      <c r="AA295" s="43">
        <v>30</v>
      </c>
      <c r="AB295" s="43">
        <v>95</v>
      </c>
      <c r="AC295" s="43">
        <v>250</v>
      </c>
      <c r="AD295" s="43">
        <v>260</v>
      </c>
      <c r="AE295" s="43">
        <v>280</v>
      </c>
      <c r="AF295" s="43">
        <v>200</v>
      </c>
      <c r="AG295" s="43">
        <v>30</v>
      </c>
      <c r="AH295" s="43">
        <v>6</v>
      </c>
      <c r="AI295" s="43">
        <v>300</v>
      </c>
      <c r="AJ295" s="41">
        <f t="shared" si="36"/>
        <v>0</v>
      </c>
      <c r="AK295" s="41">
        <f t="shared" si="41"/>
        <v>0</v>
      </c>
      <c r="AL295" s="41">
        <f t="shared" si="41"/>
        <v>0</v>
      </c>
      <c r="AM295" s="41">
        <f t="shared" si="41"/>
        <v>0</v>
      </c>
      <c r="AN295" s="41">
        <f t="shared" si="41"/>
        <v>0</v>
      </c>
      <c r="AO295" s="41">
        <f t="shared" si="41"/>
        <v>975</v>
      </c>
      <c r="AP295" s="41">
        <f t="shared" si="40"/>
        <v>1400</v>
      </c>
      <c r="AQ295" s="41">
        <f t="shared" si="40"/>
        <v>0</v>
      </c>
      <c r="AR295" s="41">
        <f t="shared" si="40"/>
        <v>90</v>
      </c>
      <c r="AS295" s="41">
        <f t="shared" si="40"/>
        <v>96</v>
      </c>
      <c r="AT295" s="41">
        <f t="shared" si="40"/>
        <v>300</v>
      </c>
      <c r="AU295" s="43">
        <f t="shared" si="38"/>
        <v>0</v>
      </c>
      <c r="AV295" s="43">
        <f t="shared" si="38"/>
        <v>0</v>
      </c>
      <c r="AW295" s="43">
        <f t="shared" si="38"/>
        <v>0</v>
      </c>
      <c r="AX295" s="43">
        <f t="shared" si="38"/>
        <v>0</v>
      </c>
      <c r="AY295" s="43">
        <f t="shared" si="38"/>
        <v>0</v>
      </c>
      <c r="AZ295" s="43">
        <f t="shared" si="38"/>
        <v>112.5</v>
      </c>
      <c r="BA295" s="43">
        <f t="shared" si="38"/>
        <v>150</v>
      </c>
      <c r="BB295" s="43">
        <f t="shared" si="38"/>
        <v>0</v>
      </c>
      <c r="BC295" s="43">
        <f t="shared" si="39"/>
        <v>15</v>
      </c>
      <c r="BD295" s="43">
        <f t="shared" si="39"/>
        <v>32</v>
      </c>
      <c r="BE295" s="43">
        <f t="shared" si="39"/>
        <v>35</v>
      </c>
      <c r="BF295" s="41">
        <f t="shared" si="37"/>
        <v>344.5</v>
      </c>
      <c r="BG295" s="41" t="str">
        <f t="array" ref="BG295">_xlfn.IFS(
OR(MONTH(A295)=11,MONTH(A295)=12,MONTH(A295)=1,MONTH(A295)=2),"Winter",
OR(MONTH(A295)=3,MONTH(A295)=4),"Spring",
OR(MONTH(A295)=5,MONTH(A295)=6),"Summer",
OR(MONTH(A295)=7,MONTH(A295)=8,MONTH(A295)=9),"Monsoon",
MONTH(A295)=10,"Autumn/Festive",
TRUE,""
)</f>
        <v>Winter</v>
      </c>
    </row>
    <row r="296" spans="1:59" x14ac:dyDescent="0.3">
      <c r="A296" s="39">
        <v>45621</v>
      </c>
      <c r="B296" s="40" t="str">
        <f t="shared" si="35"/>
        <v>November</v>
      </c>
      <c r="C296" s="41">
        <v>8</v>
      </c>
      <c r="D296" s="41">
        <v>2</v>
      </c>
      <c r="E296" s="41">
        <v>0</v>
      </c>
      <c r="F296" s="41">
        <v>0</v>
      </c>
      <c r="G296" s="41">
        <v>0</v>
      </c>
      <c r="H296" s="41">
        <v>3.5</v>
      </c>
      <c r="I296" s="41">
        <v>1</v>
      </c>
      <c r="J296" s="41">
        <v>2</v>
      </c>
      <c r="K296" s="41">
        <v>1</v>
      </c>
      <c r="L296" s="41">
        <v>15</v>
      </c>
      <c r="M296" s="41">
        <v>1</v>
      </c>
      <c r="N296" s="42">
        <v>110</v>
      </c>
      <c r="O296" s="42">
        <v>110</v>
      </c>
      <c r="P296" s="42">
        <v>26</v>
      </c>
      <c r="Q296" s="42">
        <v>65</v>
      </c>
      <c r="R296" s="42">
        <v>200</v>
      </c>
      <c r="S296" s="42">
        <v>230</v>
      </c>
      <c r="T296" s="42">
        <v>250</v>
      </c>
      <c r="U296" s="42">
        <v>170</v>
      </c>
      <c r="V296" s="42">
        <v>25</v>
      </c>
      <c r="W296" s="42">
        <v>4</v>
      </c>
      <c r="X296" s="42">
        <v>265</v>
      </c>
      <c r="Y296" s="43">
        <v>130</v>
      </c>
      <c r="Z296" s="43">
        <v>150</v>
      </c>
      <c r="AA296" s="43">
        <v>30</v>
      </c>
      <c r="AB296" s="43">
        <v>95</v>
      </c>
      <c r="AC296" s="43">
        <v>250</v>
      </c>
      <c r="AD296" s="43">
        <v>260</v>
      </c>
      <c r="AE296" s="43">
        <v>280</v>
      </c>
      <c r="AF296" s="43">
        <v>200</v>
      </c>
      <c r="AG296" s="43">
        <v>30</v>
      </c>
      <c r="AH296" s="43">
        <v>6</v>
      </c>
      <c r="AI296" s="43">
        <v>300</v>
      </c>
      <c r="AJ296" s="41">
        <f t="shared" si="36"/>
        <v>1040</v>
      </c>
      <c r="AK296" s="41">
        <f t="shared" si="41"/>
        <v>300</v>
      </c>
      <c r="AL296" s="41">
        <f t="shared" si="41"/>
        <v>0</v>
      </c>
      <c r="AM296" s="41">
        <f t="shared" si="41"/>
        <v>0</v>
      </c>
      <c r="AN296" s="41">
        <f t="shared" si="41"/>
        <v>0</v>
      </c>
      <c r="AO296" s="41">
        <f t="shared" si="41"/>
        <v>910</v>
      </c>
      <c r="AP296" s="41">
        <f t="shared" si="40"/>
        <v>280</v>
      </c>
      <c r="AQ296" s="41">
        <f t="shared" si="40"/>
        <v>400</v>
      </c>
      <c r="AR296" s="41">
        <f t="shared" si="40"/>
        <v>30</v>
      </c>
      <c r="AS296" s="41">
        <f t="shared" si="40"/>
        <v>90</v>
      </c>
      <c r="AT296" s="41">
        <f t="shared" si="40"/>
        <v>300</v>
      </c>
      <c r="AU296" s="43">
        <f t="shared" si="38"/>
        <v>160</v>
      </c>
      <c r="AV296" s="43">
        <f t="shared" si="38"/>
        <v>80</v>
      </c>
      <c r="AW296" s="43">
        <f t="shared" si="38"/>
        <v>0</v>
      </c>
      <c r="AX296" s="43">
        <f t="shared" si="38"/>
        <v>0</v>
      </c>
      <c r="AY296" s="43">
        <f t="shared" si="38"/>
        <v>0</v>
      </c>
      <c r="AZ296" s="43">
        <f t="shared" si="38"/>
        <v>105</v>
      </c>
      <c r="BA296" s="43">
        <f t="shared" si="38"/>
        <v>30</v>
      </c>
      <c r="BB296" s="43">
        <f t="shared" si="38"/>
        <v>60</v>
      </c>
      <c r="BC296" s="43">
        <f t="shared" si="39"/>
        <v>5</v>
      </c>
      <c r="BD296" s="43">
        <f t="shared" si="39"/>
        <v>30</v>
      </c>
      <c r="BE296" s="43">
        <f t="shared" si="39"/>
        <v>35</v>
      </c>
      <c r="BF296" s="41">
        <f t="shared" si="37"/>
        <v>505</v>
      </c>
      <c r="BG296" s="41" t="str">
        <f t="array" ref="BG296">_xlfn.IFS(
OR(MONTH(A296)=11,MONTH(A296)=12,MONTH(A296)=1,MONTH(A296)=2),"Winter",
OR(MONTH(A296)=3,MONTH(A296)=4),"Spring",
OR(MONTH(A296)=5,MONTH(A296)=6),"Summer",
OR(MONTH(A296)=7,MONTH(A296)=8,MONTH(A296)=9),"Monsoon",
MONTH(A296)=10,"Autumn/Festive",
TRUE,""
)</f>
        <v>Winter</v>
      </c>
    </row>
    <row r="297" spans="1:59" x14ac:dyDescent="0.3">
      <c r="A297" s="39">
        <v>45622</v>
      </c>
      <c r="B297" s="40" t="str">
        <f t="shared" si="35"/>
        <v>November</v>
      </c>
      <c r="C297" s="41">
        <v>8</v>
      </c>
      <c r="D297" s="41">
        <v>2</v>
      </c>
      <c r="E297" s="41">
        <v>0</v>
      </c>
      <c r="F297" s="41">
        <v>2</v>
      </c>
      <c r="G297" s="41">
        <v>0</v>
      </c>
      <c r="H297" s="41">
        <v>4.75</v>
      </c>
      <c r="I297" s="41">
        <v>3.25</v>
      </c>
      <c r="J297" s="41">
        <v>1</v>
      </c>
      <c r="K297" s="41">
        <v>2</v>
      </c>
      <c r="L297" s="41">
        <v>17</v>
      </c>
      <c r="M297" s="41">
        <v>1</v>
      </c>
      <c r="N297" s="42">
        <v>110</v>
      </c>
      <c r="O297" s="42">
        <v>110</v>
      </c>
      <c r="P297" s="42">
        <v>26</v>
      </c>
      <c r="Q297" s="42">
        <v>65</v>
      </c>
      <c r="R297" s="42">
        <v>200</v>
      </c>
      <c r="S297" s="42">
        <v>230</v>
      </c>
      <c r="T297" s="42">
        <v>250</v>
      </c>
      <c r="U297" s="42">
        <v>170</v>
      </c>
      <c r="V297" s="42">
        <v>25</v>
      </c>
      <c r="W297" s="42">
        <v>4</v>
      </c>
      <c r="X297" s="42">
        <v>265</v>
      </c>
      <c r="Y297" s="43">
        <v>130</v>
      </c>
      <c r="Z297" s="43">
        <v>150</v>
      </c>
      <c r="AA297" s="43">
        <v>30</v>
      </c>
      <c r="AB297" s="43">
        <v>95</v>
      </c>
      <c r="AC297" s="43">
        <v>250</v>
      </c>
      <c r="AD297" s="43">
        <v>260</v>
      </c>
      <c r="AE297" s="43">
        <v>280</v>
      </c>
      <c r="AF297" s="43">
        <v>200</v>
      </c>
      <c r="AG297" s="43">
        <v>30</v>
      </c>
      <c r="AH297" s="43">
        <v>6</v>
      </c>
      <c r="AI297" s="43">
        <v>300</v>
      </c>
      <c r="AJ297" s="41">
        <f t="shared" si="36"/>
        <v>1040</v>
      </c>
      <c r="AK297" s="41">
        <f t="shared" si="41"/>
        <v>300</v>
      </c>
      <c r="AL297" s="41">
        <f t="shared" si="41"/>
        <v>0</v>
      </c>
      <c r="AM297" s="41">
        <f t="shared" si="41"/>
        <v>190</v>
      </c>
      <c r="AN297" s="41">
        <f t="shared" si="41"/>
        <v>0</v>
      </c>
      <c r="AO297" s="41">
        <f t="shared" si="41"/>
        <v>1235</v>
      </c>
      <c r="AP297" s="41">
        <f t="shared" si="40"/>
        <v>910</v>
      </c>
      <c r="AQ297" s="41">
        <f t="shared" si="40"/>
        <v>200</v>
      </c>
      <c r="AR297" s="41">
        <f t="shared" si="40"/>
        <v>60</v>
      </c>
      <c r="AS297" s="41">
        <f t="shared" si="40"/>
        <v>102</v>
      </c>
      <c r="AT297" s="41">
        <f t="shared" si="40"/>
        <v>300</v>
      </c>
      <c r="AU297" s="43">
        <f t="shared" si="38"/>
        <v>160</v>
      </c>
      <c r="AV297" s="43">
        <f t="shared" si="38"/>
        <v>80</v>
      </c>
      <c r="AW297" s="43">
        <f t="shared" si="38"/>
        <v>0</v>
      </c>
      <c r="AX297" s="43">
        <f t="shared" si="38"/>
        <v>60</v>
      </c>
      <c r="AY297" s="43">
        <f t="shared" si="38"/>
        <v>0</v>
      </c>
      <c r="AZ297" s="43">
        <f t="shared" si="38"/>
        <v>142.5</v>
      </c>
      <c r="BA297" s="43">
        <f t="shared" si="38"/>
        <v>97.5</v>
      </c>
      <c r="BB297" s="43">
        <f t="shared" si="38"/>
        <v>30</v>
      </c>
      <c r="BC297" s="43">
        <f t="shared" si="39"/>
        <v>10</v>
      </c>
      <c r="BD297" s="43">
        <f t="shared" si="39"/>
        <v>34</v>
      </c>
      <c r="BE297" s="43">
        <f t="shared" si="39"/>
        <v>35</v>
      </c>
      <c r="BF297" s="41">
        <f t="shared" si="37"/>
        <v>649</v>
      </c>
      <c r="BG297" s="41" t="str">
        <f t="array" ref="BG297">_xlfn.IFS(
OR(MONTH(A297)=11,MONTH(A297)=12,MONTH(A297)=1,MONTH(A297)=2),"Winter",
OR(MONTH(A297)=3,MONTH(A297)=4),"Spring",
OR(MONTH(A297)=5,MONTH(A297)=6),"Summer",
OR(MONTH(A297)=7,MONTH(A297)=8,MONTH(A297)=9),"Monsoon",
MONTH(A297)=10,"Autumn/Festive",
TRUE,""
)</f>
        <v>Winter</v>
      </c>
    </row>
    <row r="298" spans="1:59" x14ac:dyDescent="0.3">
      <c r="A298" s="39">
        <v>45623</v>
      </c>
      <c r="B298" s="40" t="str">
        <f t="shared" si="35"/>
        <v>November</v>
      </c>
      <c r="C298" s="41">
        <v>0</v>
      </c>
      <c r="D298" s="41">
        <v>0</v>
      </c>
      <c r="E298" s="41">
        <v>0</v>
      </c>
      <c r="F298" s="41">
        <v>0</v>
      </c>
      <c r="G298" s="41">
        <v>0</v>
      </c>
      <c r="H298" s="41">
        <v>0</v>
      </c>
      <c r="I298" s="41">
        <v>0</v>
      </c>
      <c r="J298" s="41">
        <v>0</v>
      </c>
      <c r="K298" s="41">
        <v>0</v>
      </c>
      <c r="L298" s="41">
        <v>0</v>
      </c>
      <c r="M298" s="41">
        <v>0</v>
      </c>
      <c r="N298" s="42">
        <v>110</v>
      </c>
      <c r="O298" s="42">
        <v>110</v>
      </c>
      <c r="P298" s="42">
        <v>26</v>
      </c>
      <c r="Q298" s="42">
        <v>65</v>
      </c>
      <c r="R298" s="42">
        <v>200</v>
      </c>
      <c r="S298" s="42">
        <v>230</v>
      </c>
      <c r="T298" s="42">
        <v>250</v>
      </c>
      <c r="U298" s="42">
        <v>170</v>
      </c>
      <c r="V298" s="42">
        <v>25</v>
      </c>
      <c r="W298" s="42">
        <v>4</v>
      </c>
      <c r="X298" s="42">
        <v>265</v>
      </c>
      <c r="Y298" s="43">
        <v>130</v>
      </c>
      <c r="Z298" s="43">
        <v>150</v>
      </c>
      <c r="AA298" s="43">
        <v>30</v>
      </c>
      <c r="AB298" s="43">
        <v>95</v>
      </c>
      <c r="AC298" s="43">
        <v>250</v>
      </c>
      <c r="AD298" s="43">
        <v>260</v>
      </c>
      <c r="AE298" s="43">
        <v>280</v>
      </c>
      <c r="AF298" s="43">
        <v>200</v>
      </c>
      <c r="AG298" s="43">
        <v>30</v>
      </c>
      <c r="AH298" s="43">
        <v>6</v>
      </c>
      <c r="AI298" s="43">
        <v>300</v>
      </c>
      <c r="AJ298" s="41">
        <f t="shared" si="36"/>
        <v>0</v>
      </c>
      <c r="AK298" s="41">
        <f t="shared" si="41"/>
        <v>0</v>
      </c>
      <c r="AL298" s="41">
        <f t="shared" si="41"/>
        <v>0</v>
      </c>
      <c r="AM298" s="41">
        <f t="shared" si="41"/>
        <v>0</v>
      </c>
      <c r="AN298" s="41">
        <f t="shared" si="41"/>
        <v>0</v>
      </c>
      <c r="AO298" s="41">
        <f t="shared" si="41"/>
        <v>0</v>
      </c>
      <c r="AP298" s="41">
        <f t="shared" si="40"/>
        <v>0</v>
      </c>
      <c r="AQ298" s="41">
        <f t="shared" si="40"/>
        <v>0</v>
      </c>
      <c r="AR298" s="41">
        <f t="shared" si="40"/>
        <v>0</v>
      </c>
      <c r="AS298" s="41">
        <f t="shared" si="40"/>
        <v>0</v>
      </c>
      <c r="AT298" s="41">
        <f t="shared" si="40"/>
        <v>0</v>
      </c>
      <c r="AU298" s="43">
        <f t="shared" si="38"/>
        <v>0</v>
      </c>
      <c r="AV298" s="43">
        <f t="shared" si="38"/>
        <v>0</v>
      </c>
      <c r="AW298" s="43">
        <f t="shared" si="38"/>
        <v>0</v>
      </c>
      <c r="AX298" s="43">
        <f t="shared" si="38"/>
        <v>0</v>
      </c>
      <c r="AY298" s="43">
        <f t="shared" si="38"/>
        <v>0</v>
      </c>
      <c r="AZ298" s="43">
        <f t="shared" si="38"/>
        <v>0</v>
      </c>
      <c r="BA298" s="43">
        <f t="shared" si="38"/>
        <v>0</v>
      </c>
      <c r="BB298" s="43">
        <f t="shared" si="38"/>
        <v>0</v>
      </c>
      <c r="BC298" s="43">
        <f t="shared" si="39"/>
        <v>0</v>
      </c>
      <c r="BD298" s="43">
        <f t="shared" si="39"/>
        <v>0</v>
      </c>
      <c r="BE298" s="43">
        <f t="shared" si="39"/>
        <v>0</v>
      </c>
      <c r="BF298" s="41">
        <f t="shared" si="37"/>
        <v>0</v>
      </c>
      <c r="BG298" s="41" t="str">
        <f t="array" ref="BG298">_xlfn.IFS(
OR(MONTH(A298)=11,MONTH(A298)=12,MONTH(A298)=1,MONTH(A298)=2),"Winter",
OR(MONTH(A298)=3,MONTH(A298)=4),"Spring",
OR(MONTH(A298)=5,MONTH(A298)=6),"Summer",
OR(MONTH(A298)=7,MONTH(A298)=8,MONTH(A298)=9),"Monsoon",
MONTH(A298)=10,"Autumn/Festive",
TRUE,""
)</f>
        <v>Winter</v>
      </c>
    </row>
    <row r="299" spans="1:59" x14ac:dyDescent="0.3">
      <c r="A299" s="39">
        <v>45624</v>
      </c>
      <c r="B299" s="40" t="str">
        <f t="shared" si="35"/>
        <v>November</v>
      </c>
      <c r="C299" s="41">
        <v>0</v>
      </c>
      <c r="D299" s="41">
        <v>0</v>
      </c>
      <c r="E299" s="41">
        <v>0</v>
      </c>
      <c r="F299" s="41">
        <v>0</v>
      </c>
      <c r="G299" s="41">
        <v>0</v>
      </c>
      <c r="H299" s="41">
        <v>4</v>
      </c>
      <c r="I299" s="41">
        <v>2</v>
      </c>
      <c r="J299" s="41">
        <v>2</v>
      </c>
      <c r="K299" s="41">
        <v>1</v>
      </c>
      <c r="L299" s="41">
        <v>6</v>
      </c>
      <c r="M299" s="41">
        <v>1</v>
      </c>
      <c r="N299" s="42">
        <v>110</v>
      </c>
      <c r="O299" s="42">
        <v>110</v>
      </c>
      <c r="P299" s="42">
        <v>26</v>
      </c>
      <c r="Q299" s="42">
        <v>65</v>
      </c>
      <c r="R299" s="42">
        <v>200</v>
      </c>
      <c r="S299" s="42">
        <v>230</v>
      </c>
      <c r="T299" s="42">
        <v>250</v>
      </c>
      <c r="U299" s="42">
        <v>170</v>
      </c>
      <c r="V299" s="42">
        <v>25</v>
      </c>
      <c r="W299" s="42">
        <v>4</v>
      </c>
      <c r="X299" s="42">
        <v>265</v>
      </c>
      <c r="Y299" s="43">
        <v>130</v>
      </c>
      <c r="Z299" s="43">
        <v>150</v>
      </c>
      <c r="AA299" s="43">
        <v>30</v>
      </c>
      <c r="AB299" s="43">
        <v>95</v>
      </c>
      <c r="AC299" s="43">
        <v>250</v>
      </c>
      <c r="AD299" s="43">
        <v>260</v>
      </c>
      <c r="AE299" s="43">
        <v>280</v>
      </c>
      <c r="AF299" s="43">
        <v>200</v>
      </c>
      <c r="AG299" s="43">
        <v>30</v>
      </c>
      <c r="AH299" s="43">
        <v>6</v>
      </c>
      <c r="AI299" s="43">
        <v>300</v>
      </c>
      <c r="AJ299" s="41">
        <f t="shared" si="36"/>
        <v>0</v>
      </c>
      <c r="AK299" s="41">
        <f t="shared" si="41"/>
        <v>0</v>
      </c>
      <c r="AL299" s="41">
        <f t="shared" si="41"/>
        <v>0</v>
      </c>
      <c r="AM299" s="41">
        <f t="shared" si="41"/>
        <v>0</v>
      </c>
      <c r="AN299" s="41">
        <f t="shared" si="41"/>
        <v>0</v>
      </c>
      <c r="AO299" s="41">
        <f t="shared" si="41"/>
        <v>1040</v>
      </c>
      <c r="AP299" s="41">
        <f t="shared" si="40"/>
        <v>560</v>
      </c>
      <c r="AQ299" s="41">
        <f t="shared" si="40"/>
        <v>400</v>
      </c>
      <c r="AR299" s="41">
        <f t="shared" si="40"/>
        <v>30</v>
      </c>
      <c r="AS299" s="41">
        <f t="shared" si="40"/>
        <v>36</v>
      </c>
      <c r="AT299" s="41">
        <f t="shared" si="40"/>
        <v>300</v>
      </c>
      <c r="AU299" s="43">
        <f t="shared" si="38"/>
        <v>0</v>
      </c>
      <c r="AV299" s="43">
        <f t="shared" si="38"/>
        <v>0</v>
      </c>
      <c r="AW299" s="43">
        <f t="shared" si="38"/>
        <v>0</v>
      </c>
      <c r="AX299" s="43">
        <f t="shared" si="38"/>
        <v>0</v>
      </c>
      <c r="AY299" s="43">
        <f t="shared" si="38"/>
        <v>0</v>
      </c>
      <c r="AZ299" s="43">
        <f t="shared" si="38"/>
        <v>120</v>
      </c>
      <c r="BA299" s="43">
        <f t="shared" si="38"/>
        <v>60</v>
      </c>
      <c r="BB299" s="43">
        <f t="shared" si="38"/>
        <v>60</v>
      </c>
      <c r="BC299" s="43">
        <f t="shared" si="39"/>
        <v>5</v>
      </c>
      <c r="BD299" s="43">
        <f t="shared" si="39"/>
        <v>12</v>
      </c>
      <c r="BE299" s="43">
        <f t="shared" si="39"/>
        <v>35</v>
      </c>
      <c r="BF299" s="41">
        <f t="shared" si="37"/>
        <v>292</v>
      </c>
      <c r="BG299" s="41" t="str">
        <f t="array" ref="BG299">_xlfn.IFS(
OR(MONTH(A299)=11,MONTH(A299)=12,MONTH(A299)=1,MONTH(A299)=2),"Winter",
OR(MONTH(A299)=3,MONTH(A299)=4),"Spring",
OR(MONTH(A299)=5,MONTH(A299)=6),"Summer",
OR(MONTH(A299)=7,MONTH(A299)=8,MONTH(A299)=9),"Monsoon",
MONTH(A299)=10,"Autumn/Festive",
TRUE,""
)</f>
        <v>Winter</v>
      </c>
    </row>
    <row r="300" spans="1:59" x14ac:dyDescent="0.3">
      <c r="A300" s="39">
        <v>45625</v>
      </c>
      <c r="B300" s="40" t="str">
        <f t="shared" si="35"/>
        <v>November</v>
      </c>
      <c r="C300" s="41">
        <v>0</v>
      </c>
      <c r="D300" s="41">
        <v>0</v>
      </c>
      <c r="E300" s="41">
        <v>0</v>
      </c>
      <c r="F300" s="41">
        <v>0</v>
      </c>
      <c r="G300" s="41">
        <v>0</v>
      </c>
      <c r="H300" s="41">
        <v>0</v>
      </c>
      <c r="I300" s="41">
        <v>3.25</v>
      </c>
      <c r="J300" s="41">
        <v>1</v>
      </c>
      <c r="K300" s="41">
        <v>0</v>
      </c>
      <c r="L300" s="41">
        <v>7</v>
      </c>
      <c r="M300" s="41">
        <v>0</v>
      </c>
      <c r="N300" s="42">
        <v>110</v>
      </c>
      <c r="O300" s="42">
        <v>110</v>
      </c>
      <c r="P300" s="42">
        <v>26</v>
      </c>
      <c r="Q300" s="42">
        <v>65</v>
      </c>
      <c r="R300" s="42">
        <v>200</v>
      </c>
      <c r="S300" s="42">
        <v>230</v>
      </c>
      <c r="T300" s="42">
        <v>250</v>
      </c>
      <c r="U300" s="42">
        <v>170</v>
      </c>
      <c r="V300" s="42">
        <v>25</v>
      </c>
      <c r="W300" s="42">
        <v>4</v>
      </c>
      <c r="X300" s="42">
        <v>265</v>
      </c>
      <c r="Y300" s="43">
        <v>130</v>
      </c>
      <c r="Z300" s="43">
        <v>150</v>
      </c>
      <c r="AA300" s="43">
        <v>30</v>
      </c>
      <c r="AB300" s="43">
        <v>95</v>
      </c>
      <c r="AC300" s="43">
        <v>250</v>
      </c>
      <c r="AD300" s="43">
        <v>260</v>
      </c>
      <c r="AE300" s="43">
        <v>280</v>
      </c>
      <c r="AF300" s="43">
        <v>200</v>
      </c>
      <c r="AG300" s="43">
        <v>30</v>
      </c>
      <c r="AH300" s="43">
        <v>6</v>
      </c>
      <c r="AI300" s="43">
        <v>300</v>
      </c>
      <c r="AJ300" s="41">
        <f t="shared" si="36"/>
        <v>0</v>
      </c>
      <c r="AK300" s="41">
        <f t="shared" si="41"/>
        <v>0</v>
      </c>
      <c r="AL300" s="41">
        <f t="shared" si="41"/>
        <v>0</v>
      </c>
      <c r="AM300" s="41">
        <f t="shared" si="41"/>
        <v>0</v>
      </c>
      <c r="AN300" s="41">
        <f t="shared" si="41"/>
        <v>0</v>
      </c>
      <c r="AO300" s="41">
        <f t="shared" si="41"/>
        <v>0</v>
      </c>
      <c r="AP300" s="41">
        <f t="shared" si="40"/>
        <v>910</v>
      </c>
      <c r="AQ300" s="41">
        <f t="shared" si="40"/>
        <v>200</v>
      </c>
      <c r="AR300" s="41">
        <f t="shared" si="40"/>
        <v>0</v>
      </c>
      <c r="AS300" s="41">
        <f t="shared" si="40"/>
        <v>42</v>
      </c>
      <c r="AT300" s="41">
        <f t="shared" si="40"/>
        <v>0</v>
      </c>
      <c r="AU300" s="43">
        <f t="shared" si="38"/>
        <v>0</v>
      </c>
      <c r="AV300" s="43">
        <f t="shared" si="38"/>
        <v>0</v>
      </c>
      <c r="AW300" s="43">
        <f t="shared" si="38"/>
        <v>0</v>
      </c>
      <c r="AX300" s="43">
        <f t="shared" si="38"/>
        <v>0</v>
      </c>
      <c r="AY300" s="43">
        <f t="shared" si="38"/>
        <v>0</v>
      </c>
      <c r="AZ300" s="43">
        <f t="shared" si="38"/>
        <v>0</v>
      </c>
      <c r="BA300" s="43">
        <f t="shared" si="38"/>
        <v>97.5</v>
      </c>
      <c r="BB300" s="43">
        <f t="shared" si="38"/>
        <v>30</v>
      </c>
      <c r="BC300" s="43">
        <f t="shared" si="39"/>
        <v>0</v>
      </c>
      <c r="BD300" s="43">
        <f t="shared" si="39"/>
        <v>14</v>
      </c>
      <c r="BE300" s="43">
        <f t="shared" si="39"/>
        <v>0</v>
      </c>
      <c r="BF300" s="41">
        <f t="shared" si="37"/>
        <v>141.5</v>
      </c>
      <c r="BG300" s="41" t="str">
        <f t="array" ref="BG300">_xlfn.IFS(
OR(MONTH(A300)=11,MONTH(A300)=12,MONTH(A300)=1,MONTH(A300)=2),"Winter",
OR(MONTH(A300)=3,MONTH(A300)=4),"Spring",
OR(MONTH(A300)=5,MONTH(A300)=6),"Summer",
OR(MONTH(A300)=7,MONTH(A300)=8,MONTH(A300)=9),"Monsoon",
MONTH(A300)=10,"Autumn/Festive",
TRUE,""
)</f>
        <v>Winter</v>
      </c>
    </row>
    <row r="301" spans="1:59" x14ac:dyDescent="0.3">
      <c r="A301" s="39">
        <v>45626</v>
      </c>
      <c r="B301" s="40" t="str">
        <f t="shared" si="35"/>
        <v>November</v>
      </c>
      <c r="C301" s="41">
        <v>5</v>
      </c>
      <c r="D301" s="41">
        <v>2</v>
      </c>
      <c r="E301" s="41">
        <v>0</v>
      </c>
      <c r="F301" s="41">
        <v>0</v>
      </c>
      <c r="G301" s="41">
        <v>0</v>
      </c>
      <c r="H301" s="41">
        <v>1.75</v>
      </c>
      <c r="I301" s="41">
        <v>0.5</v>
      </c>
      <c r="J301" s="41">
        <v>1</v>
      </c>
      <c r="K301" s="41">
        <v>0</v>
      </c>
      <c r="L301" s="41">
        <v>0</v>
      </c>
      <c r="M301" s="41">
        <v>0.5</v>
      </c>
      <c r="N301" s="42">
        <v>110</v>
      </c>
      <c r="O301" s="42">
        <v>110</v>
      </c>
      <c r="P301" s="42">
        <v>26</v>
      </c>
      <c r="Q301" s="42">
        <v>65</v>
      </c>
      <c r="R301" s="42">
        <v>200</v>
      </c>
      <c r="S301" s="42">
        <v>230</v>
      </c>
      <c r="T301" s="42">
        <v>250</v>
      </c>
      <c r="U301" s="42">
        <v>170</v>
      </c>
      <c r="V301" s="42">
        <v>25</v>
      </c>
      <c r="W301" s="42">
        <v>4</v>
      </c>
      <c r="X301" s="42">
        <v>265</v>
      </c>
      <c r="Y301" s="43">
        <v>130</v>
      </c>
      <c r="Z301" s="43">
        <v>150</v>
      </c>
      <c r="AA301" s="43">
        <v>30</v>
      </c>
      <c r="AB301" s="43">
        <v>95</v>
      </c>
      <c r="AC301" s="43">
        <v>250</v>
      </c>
      <c r="AD301" s="43">
        <v>260</v>
      </c>
      <c r="AE301" s="43">
        <v>280</v>
      </c>
      <c r="AF301" s="43">
        <v>200</v>
      </c>
      <c r="AG301" s="43">
        <v>30</v>
      </c>
      <c r="AH301" s="43">
        <v>6</v>
      </c>
      <c r="AI301" s="43">
        <v>300</v>
      </c>
      <c r="AJ301" s="41">
        <f t="shared" si="36"/>
        <v>650</v>
      </c>
      <c r="AK301" s="41">
        <f t="shared" si="41"/>
        <v>300</v>
      </c>
      <c r="AL301" s="41">
        <f t="shared" si="41"/>
        <v>0</v>
      </c>
      <c r="AM301" s="41">
        <f t="shared" si="41"/>
        <v>0</v>
      </c>
      <c r="AN301" s="41">
        <f t="shared" si="41"/>
        <v>0</v>
      </c>
      <c r="AO301" s="41">
        <f t="shared" si="41"/>
        <v>455</v>
      </c>
      <c r="AP301" s="41">
        <f t="shared" si="40"/>
        <v>140</v>
      </c>
      <c r="AQ301" s="41">
        <f t="shared" si="40"/>
        <v>200</v>
      </c>
      <c r="AR301" s="41">
        <f t="shared" si="40"/>
        <v>0</v>
      </c>
      <c r="AS301" s="41">
        <f t="shared" si="40"/>
        <v>0</v>
      </c>
      <c r="AT301" s="41">
        <f t="shared" si="40"/>
        <v>150</v>
      </c>
      <c r="AU301" s="43">
        <f t="shared" si="38"/>
        <v>100</v>
      </c>
      <c r="AV301" s="43">
        <f t="shared" si="38"/>
        <v>80</v>
      </c>
      <c r="AW301" s="43">
        <f t="shared" si="38"/>
        <v>0</v>
      </c>
      <c r="AX301" s="43">
        <f t="shared" si="38"/>
        <v>0</v>
      </c>
      <c r="AY301" s="43">
        <f t="shared" si="38"/>
        <v>0</v>
      </c>
      <c r="AZ301" s="43">
        <f t="shared" si="38"/>
        <v>52.5</v>
      </c>
      <c r="BA301" s="43">
        <f t="shared" si="38"/>
        <v>15</v>
      </c>
      <c r="BB301" s="43">
        <f t="shared" si="38"/>
        <v>30</v>
      </c>
      <c r="BC301" s="43">
        <f t="shared" si="39"/>
        <v>0</v>
      </c>
      <c r="BD301" s="43">
        <f t="shared" si="39"/>
        <v>0</v>
      </c>
      <c r="BE301" s="43">
        <f t="shared" si="39"/>
        <v>17.5</v>
      </c>
      <c r="BF301" s="41">
        <f t="shared" si="37"/>
        <v>295</v>
      </c>
      <c r="BG301" s="41" t="str">
        <f t="array" ref="BG301">_xlfn.IFS(
OR(MONTH(A301)=11,MONTH(A301)=12,MONTH(A301)=1,MONTH(A301)=2),"Winter",
OR(MONTH(A301)=3,MONTH(A301)=4),"Spring",
OR(MONTH(A301)=5,MONTH(A301)=6),"Summer",
OR(MONTH(A301)=7,MONTH(A301)=8,MONTH(A301)=9),"Monsoon",
MONTH(A301)=10,"Autumn/Festive",
TRUE,""
)</f>
        <v>Winter</v>
      </c>
    </row>
    <row r="302" spans="1:59" x14ac:dyDescent="0.3">
      <c r="A302" s="39">
        <v>45627</v>
      </c>
      <c r="B302" s="40" t="str">
        <f t="shared" si="35"/>
        <v>December</v>
      </c>
      <c r="C302" s="41">
        <v>5</v>
      </c>
      <c r="D302" s="41">
        <v>0</v>
      </c>
      <c r="E302" s="41">
        <v>0</v>
      </c>
      <c r="F302" s="41">
        <v>0</v>
      </c>
      <c r="G302" s="41">
        <v>0</v>
      </c>
      <c r="H302" s="41">
        <v>3.5</v>
      </c>
      <c r="I302" s="41">
        <v>2.75</v>
      </c>
      <c r="J302" s="41">
        <v>0</v>
      </c>
      <c r="K302" s="41">
        <v>1</v>
      </c>
      <c r="L302" s="41">
        <v>6</v>
      </c>
      <c r="M302" s="41">
        <v>0</v>
      </c>
      <c r="N302" s="42">
        <v>110</v>
      </c>
      <c r="O302" s="42">
        <v>110</v>
      </c>
      <c r="P302" s="42">
        <v>26</v>
      </c>
      <c r="Q302" s="42">
        <v>65</v>
      </c>
      <c r="R302" s="42">
        <v>200</v>
      </c>
      <c r="S302" s="42">
        <v>230</v>
      </c>
      <c r="T302" s="42">
        <v>250</v>
      </c>
      <c r="U302" s="42">
        <v>170</v>
      </c>
      <c r="V302" s="42">
        <v>25</v>
      </c>
      <c r="W302" s="42">
        <v>4</v>
      </c>
      <c r="X302" s="42">
        <v>265</v>
      </c>
      <c r="Y302" s="43">
        <v>130</v>
      </c>
      <c r="Z302" s="43">
        <v>150</v>
      </c>
      <c r="AA302" s="43">
        <v>30</v>
      </c>
      <c r="AB302" s="43">
        <v>95</v>
      </c>
      <c r="AC302" s="43">
        <v>250</v>
      </c>
      <c r="AD302" s="43">
        <v>260</v>
      </c>
      <c r="AE302" s="43">
        <v>280</v>
      </c>
      <c r="AF302" s="43">
        <v>200</v>
      </c>
      <c r="AG302" s="43">
        <v>30</v>
      </c>
      <c r="AH302" s="43">
        <v>6</v>
      </c>
      <c r="AI302" s="43">
        <v>300</v>
      </c>
      <c r="AJ302" s="41">
        <f t="shared" si="36"/>
        <v>650</v>
      </c>
      <c r="AK302" s="41">
        <f t="shared" si="41"/>
        <v>0</v>
      </c>
      <c r="AL302" s="41">
        <f t="shared" si="41"/>
        <v>0</v>
      </c>
      <c r="AM302" s="41">
        <f t="shared" si="41"/>
        <v>0</v>
      </c>
      <c r="AN302" s="41">
        <f t="shared" si="41"/>
        <v>0</v>
      </c>
      <c r="AO302" s="41">
        <f t="shared" si="41"/>
        <v>910</v>
      </c>
      <c r="AP302" s="41">
        <f t="shared" si="40"/>
        <v>770</v>
      </c>
      <c r="AQ302" s="41">
        <f t="shared" si="40"/>
        <v>0</v>
      </c>
      <c r="AR302" s="41">
        <f t="shared" si="40"/>
        <v>30</v>
      </c>
      <c r="AS302" s="41">
        <f t="shared" si="40"/>
        <v>36</v>
      </c>
      <c r="AT302" s="41">
        <f t="shared" si="40"/>
        <v>0</v>
      </c>
      <c r="AU302" s="43">
        <f t="shared" si="38"/>
        <v>100</v>
      </c>
      <c r="AV302" s="43">
        <f t="shared" si="38"/>
        <v>0</v>
      </c>
      <c r="AW302" s="43">
        <f t="shared" si="38"/>
        <v>0</v>
      </c>
      <c r="AX302" s="43">
        <f t="shared" si="38"/>
        <v>0</v>
      </c>
      <c r="AY302" s="43">
        <f t="shared" si="38"/>
        <v>0</v>
      </c>
      <c r="AZ302" s="43">
        <f t="shared" si="38"/>
        <v>105</v>
      </c>
      <c r="BA302" s="43">
        <f t="shared" si="38"/>
        <v>82.5</v>
      </c>
      <c r="BB302" s="43">
        <f t="shared" si="38"/>
        <v>0</v>
      </c>
      <c r="BC302" s="43">
        <f t="shared" si="39"/>
        <v>5</v>
      </c>
      <c r="BD302" s="43">
        <f t="shared" si="39"/>
        <v>12</v>
      </c>
      <c r="BE302" s="43">
        <f t="shared" si="39"/>
        <v>0</v>
      </c>
      <c r="BF302" s="41">
        <f t="shared" si="37"/>
        <v>304.5</v>
      </c>
      <c r="BG302" s="41" t="str">
        <f t="array" ref="BG302">_xlfn.IFS(
OR(MONTH(A302)=11,MONTH(A302)=12,MONTH(A302)=1,MONTH(A302)=2),"Winter",
OR(MONTH(A302)=3,MONTH(A302)=4),"Spring",
OR(MONTH(A302)=5,MONTH(A302)=6),"Summer",
OR(MONTH(A302)=7,MONTH(A302)=8,MONTH(A302)=9),"Monsoon",
MONTH(A302)=10,"Autumn/Festive",
TRUE,""
)</f>
        <v>Winter</v>
      </c>
    </row>
    <row r="303" spans="1:59" x14ac:dyDescent="0.3">
      <c r="A303" s="39">
        <v>45628</v>
      </c>
      <c r="B303" s="40" t="str">
        <f t="shared" si="35"/>
        <v>December</v>
      </c>
      <c r="C303" s="41">
        <v>4</v>
      </c>
      <c r="D303" s="41">
        <v>0</v>
      </c>
      <c r="E303" s="41">
        <v>0</v>
      </c>
      <c r="F303" s="41">
        <v>0</v>
      </c>
      <c r="G303" s="41">
        <v>0</v>
      </c>
      <c r="H303" s="41">
        <v>1</v>
      </c>
      <c r="I303" s="41">
        <v>1.5</v>
      </c>
      <c r="J303" s="41">
        <v>2</v>
      </c>
      <c r="K303" s="41">
        <v>0</v>
      </c>
      <c r="L303" s="41">
        <v>6</v>
      </c>
      <c r="M303" s="41">
        <v>2.5</v>
      </c>
      <c r="N303" s="42">
        <v>110</v>
      </c>
      <c r="O303" s="42">
        <v>110</v>
      </c>
      <c r="P303" s="42">
        <v>26</v>
      </c>
      <c r="Q303" s="42">
        <v>65</v>
      </c>
      <c r="R303" s="42">
        <v>200</v>
      </c>
      <c r="S303" s="42">
        <v>230</v>
      </c>
      <c r="T303" s="42">
        <v>250</v>
      </c>
      <c r="U303" s="42">
        <v>170</v>
      </c>
      <c r="V303" s="42">
        <v>25</v>
      </c>
      <c r="W303" s="42">
        <v>4</v>
      </c>
      <c r="X303" s="42">
        <v>265</v>
      </c>
      <c r="Y303" s="43">
        <v>130</v>
      </c>
      <c r="Z303" s="43">
        <v>150</v>
      </c>
      <c r="AA303" s="43">
        <v>30</v>
      </c>
      <c r="AB303" s="43">
        <v>95</v>
      </c>
      <c r="AC303" s="43">
        <v>250</v>
      </c>
      <c r="AD303" s="43">
        <v>260</v>
      </c>
      <c r="AE303" s="43">
        <v>280</v>
      </c>
      <c r="AF303" s="43">
        <v>200</v>
      </c>
      <c r="AG303" s="43">
        <v>30</v>
      </c>
      <c r="AH303" s="43">
        <v>6</v>
      </c>
      <c r="AI303" s="43">
        <v>300</v>
      </c>
      <c r="AJ303" s="41">
        <f t="shared" si="36"/>
        <v>520</v>
      </c>
      <c r="AK303" s="41">
        <f t="shared" si="41"/>
        <v>0</v>
      </c>
      <c r="AL303" s="41">
        <f t="shared" si="41"/>
        <v>0</v>
      </c>
      <c r="AM303" s="41">
        <f t="shared" si="41"/>
        <v>0</v>
      </c>
      <c r="AN303" s="41">
        <f t="shared" si="41"/>
        <v>0</v>
      </c>
      <c r="AO303" s="41">
        <f t="shared" si="41"/>
        <v>260</v>
      </c>
      <c r="AP303" s="41">
        <f t="shared" si="40"/>
        <v>420</v>
      </c>
      <c r="AQ303" s="41">
        <f t="shared" si="40"/>
        <v>400</v>
      </c>
      <c r="AR303" s="41">
        <f t="shared" si="40"/>
        <v>0</v>
      </c>
      <c r="AS303" s="41">
        <f t="shared" si="40"/>
        <v>36</v>
      </c>
      <c r="AT303" s="41">
        <f t="shared" si="40"/>
        <v>750</v>
      </c>
      <c r="AU303" s="43">
        <f t="shared" si="38"/>
        <v>80</v>
      </c>
      <c r="AV303" s="43">
        <f t="shared" si="38"/>
        <v>0</v>
      </c>
      <c r="AW303" s="43">
        <f t="shared" si="38"/>
        <v>0</v>
      </c>
      <c r="AX303" s="43">
        <f t="shared" si="38"/>
        <v>0</v>
      </c>
      <c r="AY303" s="43">
        <f t="shared" si="38"/>
        <v>0</v>
      </c>
      <c r="AZ303" s="43">
        <f t="shared" si="38"/>
        <v>30</v>
      </c>
      <c r="BA303" s="43">
        <f t="shared" si="38"/>
        <v>45</v>
      </c>
      <c r="BB303" s="43">
        <f t="shared" si="38"/>
        <v>60</v>
      </c>
      <c r="BC303" s="43">
        <f t="shared" si="39"/>
        <v>0</v>
      </c>
      <c r="BD303" s="43">
        <f t="shared" si="39"/>
        <v>12</v>
      </c>
      <c r="BE303" s="43">
        <f t="shared" si="39"/>
        <v>87.5</v>
      </c>
      <c r="BF303" s="41">
        <f t="shared" si="37"/>
        <v>314.5</v>
      </c>
      <c r="BG303" s="41" t="str">
        <f t="array" ref="BG303">_xlfn.IFS(
OR(MONTH(A303)=11,MONTH(A303)=12,MONTH(A303)=1,MONTH(A303)=2),"Winter",
OR(MONTH(A303)=3,MONTH(A303)=4),"Spring",
OR(MONTH(A303)=5,MONTH(A303)=6),"Summer",
OR(MONTH(A303)=7,MONTH(A303)=8,MONTH(A303)=9),"Monsoon",
MONTH(A303)=10,"Autumn/Festive",
TRUE,""
)</f>
        <v>Winter</v>
      </c>
    </row>
    <row r="304" spans="1:59" x14ac:dyDescent="0.3">
      <c r="A304" s="39">
        <v>45629</v>
      </c>
      <c r="B304" s="40" t="str">
        <f t="shared" si="35"/>
        <v>December</v>
      </c>
      <c r="C304" s="41">
        <v>11</v>
      </c>
      <c r="D304" s="41">
        <v>0</v>
      </c>
      <c r="E304" s="41">
        <v>0</v>
      </c>
      <c r="F304" s="41">
        <v>0</v>
      </c>
      <c r="G304" s="41">
        <v>0</v>
      </c>
      <c r="H304" s="41">
        <v>3.75</v>
      </c>
      <c r="I304" s="41">
        <v>0.25</v>
      </c>
      <c r="J304" s="41">
        <v>2</v>
      </c>
      <c r="K304" s="41">
        <v>2</v>
      </c>
      <c r="L304" s="41">
        <v>11</v>
      </c>
      <c r="M304" s="41">
        <v>0</v>
      </c>
      <c r="N304" s="42">
        <v>110</v>
      </c>
      <c r="O304" s="42">
        <v>110</v>
      </c>
      <c r="P304" s="42">
        <v>26</v>
      </c>
      <c r="Q304" s="42">
        <v>65</v>
      </c>
      <c r="R304" s="42">
        <v>200</v>
      </c>
      <c r="S304" s="42">
        <v>230</v>
      </c>
      <c r="T304" s="42">
        <v>250</v>
      </c>
      <c r="U304" s="42">
        <v>170</v>
      </c>
      <c r="V304" s="42">
        <v>25</v>
      </c>
      <c r="W304" s="42">
        <v>4</v>
      </c>
      <c r="X304" s="42">
        <v>265</v>
      </c>
      <c r="Y304" s="43">
        <v>130</v>
      </c>
      <c r="Z304" s="43">
        <v>150</v>
      </c>
      <c r="AA304" s="43">
        <v>30</v>
      </c>
      <c r="AB304" s="43">
        <v>95</v>
      </c>
      <c r="AC304" s="43">
        <v>250</v>
      </c>
      <c r="AD304" s="43">
        <v>260</v>
      </c>
      <c r="AE304" s="43">
        <v>280</v>
      </c>
      <c r="AF304" s="43">
        <v>200</v>
      </c>
      <c r="AG304" s="43">
        <v>30</v>
      </c>
      <c r="AH304" s="43">
        <v>6</v>
      </c>
      <c r="AI304" s="43">
        <v>300</v>
      </c>
      <c r="AJ304" s="41">
        <f t="shared" si="36"/>
        <v>1430</v>
      </c>
      <c r="AK304" s="41">
        <f t="shared" si="41"/>
        <v>0</v>
      </c>
      <c r="AL304" s="41">
        <f t="shared" si="41"/>
        <v>0</v>
      </c>
      <c r="AM304" s="41">
        <f t="shared" si="41"/>
        <v>0</v>
      </c>
      <c r="AN304" s="41">
        <f t="shared" si="41"/>
        <v>0</v>
      </c>
      <c r="AO304" s="41">
        <f t="shared" si="41"/>
        <v>975</v>
      </c>
      <c r="AP304" s="41">
        <f t="shared" si="40"/>
        <v>70</v>
      </c>
      <c r="AQ304" s="41">
        <f t="shared" si="40"/>
        <v>400</v>
      </c>
      <c r="AR304" s="41">
        <f t="shared" si="40"/>
        <v>60</v>
      </c>
      <c r="AS304" s="41">
        <f t="shared" si="40"/>
        <v>66</v>
      </c>
      <c r="AT304" s="41">
        <f t="shared" si="40"/>
        <v>0</v>
      </c>
      <c r="AU304" s="43">
        <f t="shared" si="38"/>
        <v>220</v>
      </c>
      <c r="AV304" s="43">
        <f t="shared" ref="AV304:BE363" si="42">AK304-(D304*O304)</f>
        <v>0</v>
      </c>
      <c r="AW304" s="43">
        <f t="shared" si="42"/>
        <v>0</v>
      </c>
      <c r="AX304" s="43">
        <f t="shared" si="42"/>
        <v>0</v>
      </c>
      <c r="AY304" s="43">
        <f t="shared" si="42"/>
        <v>0</v>
      </c>
      <c r="AZ304" s="43">
        <f t="shared" si="42"/>
        <v>112.5</v>
      </c>
      <c r="BA304" s="43">
        <f t="shared" si="42"/>
        <v>7.5</v>
      </c>
      <c r="BB304" s="43">
        <f t="shared" si="42"/>
        <v>60</v>
      </c>
      <c r="BC304" s="43">
        <f t="shared" si="39"/>
        <v>10</v>
      </c>
      <c r="BD304" s="43">
        <f t="shared" si="39"/>
        <v>22</v>
      </c>
      <c r="BE304" s="43">
        <f t="shared" si="39"/>
        <v>0</v>
      </c>
      <c r="BF304" s="41">
        <f t="shared" si="37"/>
        <v>432</v>
      </c>
      <c r="BG304" s="41" t="str">
        <f t="array" ref="BG304">_xlfn.IFS(
OR(MONTH(A304)=11,MONTH(A304)=12,MONTH(A304)=1,MONTH(A304)=2),"Winter",
OR(MONTH(A304)=3,MONTH(A304)=4),"Spring",
OR(MONTH(A304)=5,MONTH(A304)=6),"Summer",
OR(MONTH(A304)=7,MONTH(A304)=8,MONTH(A304)=9),"Monsoon",
MONTH(A304)=10,"Autumn/Festive",
TRUE,""
)</f>
        <v>Winter</v>
      </c>
    </row>
    <row r="305" spans="1:59" x14ac:dyDescent="0.3">
      <c r="A305" s="39">
        <v>45630</v>
      </c>
      <c r="B305" s="40" t="str">
        <f t="shared" si="35"/>
        <v>December</v>
      </c>
      <c r="C305" s="41">
        <v>5</v>
      </c>
      <c r="D305" s="41">
        <v>0</v>
      </c>
      <c r="E305" s="41">
        <v>0</v>
      </c>
      <c r="F305" s="41">
        <v>0</v>
      </c>
      <c r="G305" s="41">
        <v>0</v>
      </c>
      <c r="H305" s="41">
        <v>0.25</v>
      </c>
      <c r="I305" s="41">
        <v>0</v>
      </c>
      <c r="J305" s="41">
        <v>0</v>
      </c>
      <c r="K305" s="41">
        <v>0</v>
      </c>
      <c r="L305" s="41">
        <v>0</v>
      </c>
      <c r="M305" s="41">
        <v>0</v>
      </c>
      <c r="N305" s="42">
        <v>110</v>
      </c>
      <c r="O305" s="42">
        <v>110</v>
      </c>
      <c r="P305" s="42">
        <v>26</v>
      </c>
      <c r="Q305" s="42">
        <v>65</v>
      </c>
      <c r="R305" s="42">
        <v>200</v>
      </c>
      <c r="S305" s="42">
        <v>230</v>
      </c>
      <c r="T305" s="42">
        <v>250</v>
      </c>
      <c r="U305" s="42">
        <v>170</v>
      </c>
      <c r="V305" s="42">
        <v>25</v>
      </c>
      <c r="W305" s="42">
        <v>4</v>
      </c>
      <c r="X305" s="42">
        <v>265</v>
      </c>
      <c r="Y305" s="43">
        <v>130</v>
      </c>
      <c r="Z305" s="43">
        <v>150</v>
      </c>
      <c r="AA305" s="43">
        <v>30</v>
      </c>
      <c r="AB305" s="43">
        <v>95</v>
      </c>
      <c r="AC305" s="43">
        <v>250</v>
      </c>
      <c r="AD305" s="43">
        <v>260</v>
      </c>
      <c r="AE305" s="43">
        <v>280</v>
      </c>
      <c r="AF305" s="43">
        <v>200</v>
      </c>
      <c r="AG305" s="43">
        <v>30</v>
      </c>
      <c r="AH305" s="43">
        <v>6</v>
      </c>
      <c r="AI305" s="43">
        <v>300</v>
      </c>
      <c r="AJ305" s="41">
        <f t="shared" si="36"/>
        <v>650</v>
      </c>
      <c r="AK305" s="41">
        <f t="shared" si="41"/>
        <v>0</v>
      </c>
      <c r="AL305" s="41">
        <f t="shared" si="41"/>
        <v>0</v>
      </c>
      <c r="AM305" s="41">
        <f t="shared" si="41"/>
        <v>0</v>
      </c>
      <c r="AN305" s="41">
        <f t="shared" si="41"/>
        <v>0</v>
      </c>
      <c r="AO305" s="41">
        <f t="shared" si="41"/>
        <v>65</v>
      </c>
      <c r="AP305" s="41">
        <f t="shared" si="40"/>
        <v>0</v>
      </c>
      <c r="AQ305" s="41">
        <f t="shared" si="40"/>
        <v>0</v>
      </c>
      <c r="AR305" s="41">
        <f t="shared" si="40"/>
        <v>0</v>
      </c>
      <c r="AS305" s="41">
        <f t="shared" si="40"/>
        <v>0</v>
      </c>
      <c r="AT305" s="41">
        <f t="shared" si="40"/>
        <v>0</v>
      </c>
      <c r="AU305" s="43">
        <f t="shared" ref="AU305:BE363" si="43">AJ305-(C305*N305)</f>
        <v>100</v>
      </c>
      <c r="AV305" s="43">
        <f t="shared" si="42"/>
        <v>0</v>
      </c>
      <c r="AW305" s="43">
        <f t="shared" si="42"/>
        <v>0</v>
      </c>
      <c r="AX305" s="43">
        <f t="shared" si="42"/>
        <v>0</v>
      </c>
      <c r="AY305" s="43">
        <f t="shared" si="42"/>
        <v>0</v>
      </c>
      <c r="AZ305" s="43">
        <f t="shared" si="42"/>
        <v>7.5</v>
      </c>
      <c r="BA305" s="43">
        <f t="shared" si="42"/>
        <v>0</v>
      </c>
      <c r="BB305" s="43">
        <f t="shared" si="42"/>
        <v>0</v>
      </c>
      <c r="BC305" s="43">
        <f t="shared" si="39"/>
        <v>0</v>
      </c>
      <c r="BD305" s="43">
        <f t="shared" si="39"/>
        <v>0</v>
      </c>
      <c r="BE305" s="43">
        <f t="shared" si="39"/>
        <v>0</v>
      </c>
      <c r="BF305" s="41">
        <f t="shared" si="37"/>
        <v>107.5</v>
      </c>
      <c r="BG305" s="41" t="str">
        <f t="array" ref="BG305">_xlfn.IFS(
OR(MONTH(A305)=11,MONTH(A305)=12,MONTH(A305)=1,MONTH(A305)=2),"Winter",
OR(MONTH(A305)=3,MONTH(A305)=4),"Spring",
OR(MONTH(A305)=5,MONTH(A305)=6),"Summer",
OR(MONTH(A305)=7,MONTH(A305)=8,MONTH(A305)=9),"Monsoon",
MONTH(A305)=10,"Autumn/Festive",
TRUE,""
)</f>
        <v>Winter</v>
      </c>
    </row>
    <row r="306" spans="1:59" x14ac:dyDescent="0.3">
      <c r="A306" s="39">
        <v>45631</v>
      </c>
      <c r="B306" s="40" t="str">
        <f t="shared" si="35"/>
        <v>December</v>
      </c>
      <c r="C306" s="41">
        <v>3</v>
      </c>
      <c r="D306" s="41">
        <v>0</v>
      </c>
      <c r="E306" s="41">
        <v>0</v>
      </c>
      <c r="F306" s="41">
        <v>0</v>
      </c>
      <c r="G306" s="41">
        <v>0</v>
      </c>
      <c r="H306" s="41">
        <v>1.25</v>
      </c>
      <c r="I306" s="41">
        <v>3.25</v>
      </c>
      <c r="J306" s="41">
        <v>0</v>
      </c>
      <c r="K306" s="41">
        <v>0</v>
      </c>
      <c r="L306" s="41">
        <v>12</v>
      </c>
      <c r="M306" s="41">
        <v>2</v>
      </c>
      <c r="N306" s="42">
        <v>110</v>
      </c>
      <c r="O306" s="42">
        <v>110</v>
      </c>
      <c r="P306" s="42">
        <v>26</v>
      </c>
      <c r="Q306" s="42">
        <v>65</v>
      </c>
      <c r="R306" s="42">
        <v>200</v>
      </c>
      <c r="S306" s="42">
        <v>230</v>
      </c>
      <c r="T306" s="42">
        <v>250</v>
      </c>
      <c r="U306" s="42">
        <v>170</v>
      </c>
      <c r="V306" s="42">
        <v>25</v>
      </c>
      <c r="W306" s="42">
        <v>4</v>
      </c>
      <c r="X306" s="42">
        <v>265</v>
      </c>
      <c r="Y306" s="43">
        <v>130</v>
      </c>
      <c r="Z306" s="43">
        <v>150</v>
      </c>
      <c r="AA306" s="43">
        <v>30</v>
      </c>
      <c r="AB306" s="43">
        <v>95</v>
      </c>
      <c r="AC306" s="43">
        <v>250</v>
      </c>
      <c r="AD306" s="43">
        <v>260</v>
      </c>
      <c r="AE306" s="43">
        <v>280</v>
      </c>
      <c r="AF306" s="43">
        <v>200</v>
      </c>
      <c r="AG306" s="43">
        <v>30</v>
      </c>
      <c r="AH306" s="43">
        <v>6</v>
      </c>
      <c r="AI306" s="43">
        <v>300</v>
      </c>
      <c r="AJ306" s="41">
        <f t="shared" si="36"/>
        <v>390</v>
      </c>
      <c r="AK306" s="41">
        <f t="shared" si="41"/>
        <v>0</v>
      </c>
      <c r="AL306" s="41">
        <f t="shared" si="41"/>
        <v>0</v>
      </c>
      <c r="AM306" s="41">
        <f t="shared" si="41"/>
        <v>0</v>
      </c>
      <c r="AN306" s="41">
        <f t="shared" si="41"/>
        <v>0</v>
      </c>
      <c r="AO306" s="41">
        <f t="shared" si="41"/>
        <v>325</v>
      </c>
      <c r="AP306" s="41">
        <f t="shared" si="40"/>
        <v>910</v>
      </c>
      <c r="AQ306" s="41">
        <f t="shared" si="40"/>
        <v>0</v>
      </c>
      <c r="AR306" s="41">
        <f t="shared" si="40"/>
        <v>0</v>
      </c>
      <c r="AS306" s="41">
        <f t="shared" si="40"/>
        <v>72</v>
      </c>
      <c r="AT306" s="41">
        <f t="shared" si="40"/>
        <v>600</v>
      </c>
      <c r="AU306" s="43">
        <f t="shared" si="43"/>
        <v>60</v>
      </c>
      <c r="AV306" s="43">
        <f t="shared" si="42"/>
        <v>0</v>
      </c>
      <c r="AW306" s="43">
        <f t="shared" si="42"/>
        <v>0</v>
      </c>
      <c r="AX306" s="43">
        <f t="shared" si="42"/>
        <v>0</v>
      </c>
      <c r="AY306" s="43">
        <f t="shared" si="42"/>
        <v>0</v>
      </c>
      <c r="AZ306" s="43">
        <f t="shared" si="42"/>
        <v>37.5</v>
      </c>
      <c r="BA306" s="43">
        <f t="shared" si="42"/>
        <v>97.5</v>
      </c>
      <c r="BB306" s="43">
        <f t="shared" si="42"/>
        <v>0</v>
      </c>
      <c r="BC306" s="43">
        <f t="shared" si="39"/>
        <v>0</v>
      </c>
      <c r="BD306" s="43">
        <f t="shared" si="39"/>
        <v>24</v>
      </c>
      <c r="BE306" s="43">
        <f t="shared" si="39"/>
        <v>70</v>
      </c>
      <c r="BF306" s="41">
        <f t="shared" si="37"/>
        <v>289</v>
      </c>
      <c r="BG306" s="41" t="str">
        <f t="array" ref="BG306">_xlfn.IFS(
OR(MONTH(A306)=11,MONTH(A306)=12,MONTH(A306)=1,MONTH(A306)=2),"Winter",
OR(MONTH(A306)=3,MONTH(A306)=4),"Spring",
OR(MONTH(A306)=5,MONTH(A306)=6),"Summer",
OR(MONTH(A306)=7,MONTH(A306)=8,MONTH(A306)=9),"Monsoon",
MONTH(A306)=10,"Autumn/Festive",
TRUE,""
)</f>
        <v>Winter</v>
      </c>
    </row>
    <row r="307" spans="1:59" x14ac:dyDescent="0.3">
      <c r="A307" s="39">
        <v>45632</v>
      </c>
      <c r="B307" s="40" t="str">
        <f t="shared" si="35"/>
        <v>December</v>
      </c>
      <c r="C307" s="41">
        <v>5</v>
      </c>
      <c r="D307" s="41">
        <v>0</v>
      </c>
      <c r="E307" s="41">
        <v>0</v>
      </c>
      <c r="F307" s="41">
        <v>0</v>
      </c>
      <c r="G307" s="41">
        <v>0</v>
      </c>
      <c r="H307" s="41">
        <v>4.25</v>
      </c>
      <c r="I307" s="41">
        <v>1</v>
      </c>
      <c r="J307" s="41">
        <v>1</v>
      </c>
      <c r="K307" s="41">
        <v>0</v>
      </c>
      <c r="L307" s="41">
        <v>20</v>
      </c>
      <c r="M307" s="41">
        <v>3.5</v>
      </c>
      <c r="N307" s="42">
        <v>110</v>
      </c>
      <c r="O307" s="42">
        <v>110</v>
      </c>
      <c r="P307" s="42">
        <v>26</v>
      </c>
      <c r="Q307" s="42">
        <v>65</v>
      </c>
      <c r="R307" s="42">
        <v>200</v>
      </c>
      <c r="S307" s="42">
        <v>230</v>
      </c>
      <c r="T307" s="42">
        <v>250</v>
      </c>
      <c r="U307" s="42">
        <v>170</v>
      </c>
      <c r="V307" s="42">
        <v>25</v>
      </c>
      <c r="W307" s="42">
        <v>4</v>
      </c>
      <c r="X307" s="42">
        <v>265</v>
      </c>
      <c r="Y307" s="43">
        <v>130</v>
      </c>
      <c r="Z307" s="43">
        <v>150</v>
      </c>
      <c r="AA307" s="43">
        <v>30</v>
      </c>
      <c r="AB307" s="43">
        <v>95</v>
      </c>
      <c r="AC307" s="43">
        <v>250</v>
      </c>
      <c r="AD307" s="43">
        <v>260</v>
      </c>
      <c r="AE307" s="43">
        <v>280</v>
      </c>
      <c r="AF307" s="43">
        <v>200</v>
      </c>
      <c r="AG307" s="43">
        <v>30</v>
      </c>
      <c r="AH307" s="43">
        <v>6</v>
      </c>
      <c r="AI307" s="43">
        <v>300</v>
      </c>
      <c r="AJ307" s="41">
        <f t="shared" si="36"/>
        <v>650</v>
      </c>
      <c r="AK307" s="41">
        <f t="shared" si="41"/>
        <v>0</v>
      </c>
      <c r="AL307" s="41">
        <f t="shared" si="41"/>
        <v>0</v>
      </c>
      <c r="AM307" s="41">
        <f t="shared" si="41"/>
        <v>0</v>
      </c>
      <c r="AN307" s="41">
        <f t="shared" si="41"/>
        <v>0</v>
      </c>
      <c r="AO307" s="41">
        <f t="shared" si="41"/>
        <v>1105</v>
      </c>
      <c r="AP307" s="41">
        <f t="shared" si="40"/>
        <v>280</v>
      </c>
      <c r="AQ307" s="41">
        <f t="shared" si="40"/>
        <v>200</v>
      </c>
      <c r="AR307" s="41">
        <f t="shared" si="40"/>
        <v>0</v>
      </c>
      <c r="AS307" s="41">
        <f t="shared" si="40"/>
        <v>120</v>
      </c>
      <c r="AT307" s="41">
        <f t="shared" si="40"/>
        <v>1050</v>
      </c>
      <c r="AU307" s="43">
        <f t="shared" si="43"/>
        <v>100</v>
      </c>
      <c r="AV307" s="43">
        <f t="shared" si="42"/>
        <v>0</v>
      </c>
      <c r="AW307" s="43">
        <f t="shared" si="42"/>
        <v>0</v>
      </c>
      <c r="AX307" s="43">
        <f t="shared" si="42"/>
        <v>0</v>
      </c>
      <c r="AY307" s="43">
        <f t="shared" si="42"/>
        <v>0</v>
      </c>
      <c r="AZ307" s="43">
        <f t="shared" si="42"/>
        <v>127.5</v>
      </c>
      <c r="BA307" s="43">
        <f t="shared" si="42"/>
        <v>30</v>
      </c>
      <c r="BB307" s="43">
        <f t="shared" si="42"/>
        <v>30</v>
      </c>
      <c r="BC307" s="43">
        <f t="shared" si="39"/>
        <v>0</v>
      </c>
      <c r="BD307" s="43">
        <f t="shared" si="39"/>
        <v>40</v>
      </c>
      <c r="BE307" s="43">
        <f t="shared" si="39"/>
        <v>122.5</v>
      </c>
      <c r="BF307" s="41">
        <f t="shared" si="37"/>
        <v>450</v>
      </c>
      <c r="BG307" s="41" t="str">
        <f t="array" ref="BG307">_xlfn.IFS(
OR(MONTH(A307)=11,MONTH(A307)=12,MONTH(A307)=1,MONTH(A307)=2),"Winter",
OR(MONTH(A307)=3,MONTH(A307)=4),"Spring",
OR(MONTH(A307)=5,MONTH(A307)=6),"Summer",
OR(MONTH(A307)=7,MONTH(A307)=8,MONTH(A307)=9),"Monsoon",
MONTH(A307)=10,"Autumn/Festive",
TRUE,""
)</f>
        <v>Winter</v>
      </c>
    </row>
    <row r="308" spans="1:59" x14ac:dyDescent="0.3">
      <c r="A308" s="39">
        <v>45633</v>
      </c>
      <c r="B308" s="40" t="str">
        <f t="shared" si="35"/>
        <v>December</v>
      </c>
      <c r="C308" s="41">
        <v>2</v>
      </c>
      <c r="D308" s="41">
        <v>0</v>
      </c>
      <c r="E308" s="41">
        <v>0</v>
      </c>
      <c r="F308" s="41">
        <v>0</v>
      </c>
      <c r="G308" s="41">
        <v>0</v>
      </c>
      <c r="H308" s="41">
        <v>0</v>
      </c>
      <c r="I308" s="41">
        <v>2.75</v>
      </c>
      <c r="J308" s="41">
        <v>0</v>
      </c>
      <c r="K308" s="41">
        <v>0</v>
      </c>
      <c r="L308" s="41">
        <v>10</v>
      </c>
      <c r="M308" s="41">
        <v>1</v>
      </c>
      <c r="N308" s="42">
        <v>110</v>
      </c>
      <c r="O308" s="42">
        <v>110</v>
      </c>
      <c r="P308" s="42">
        <v>26</v>
      </c>
      <c r="Q308" s="42">
        <v>65</v>
      </c>
      <c r="R308" s="42">
        <v>200</v>
      </c>
      <c r="S308" s="42">
        <v>230</v>
      </c>
      <c r="T308" s="42">
        <v>250</v>
      </c>
      <c r="U308" s="42">
        <v>170</v>
      </c>
      <c r="V308" s="42">
        <v>25</v>
      </c>
      <c r="W308" s="42">
        <v>4</v>
      </c>
      <c r="X308" s="42">
        <v>265</v>
      </c>
      <c r="Y308" s="43">
        <v>130</v>
      </c>
      <c r="Z308" s="43">
        <v>150</v>
      </c>
      <c r="AA308" s="43">
        <v>30</v>
      </c>
      <c r="AB308" s="43">
        <v>95</v>
      </c>
      <c r="AC308" s="43">
        <v>250</v>
      </c>
      <c r="AD308" s="43">
        <v>260</v>
      </c>
      <c r="AE308" s="43">
        <v>280</v>
      </c>
      <c r="AF308" s="43">
        <v>200</v>
      </c>
      <c r="AG308" s="43">
        <v>30</v>
      </c>
      <c r="AH308" s="43">
        <v>6</v>
      </c>
      <c r="AI308" s="43">
        <v>300</v>
      </c>
      <c r="AJ308" s="41">
        <f t="shared" si="36"/>
        <v>260</v>
      </c>
      <c r="AK308" s="41">
        <f t="shared" si="41"/>
        <v>0</v>
      </c>
      <c r="AL308" s="41">
        <f t="shared" si="41"/>
        <v>0</v>
      </c>
      <c r="AM308" s="41">
        <f t="shared" si="41"/>
        <v>0</v>
      </c>
      <c r="AN308" s="41">
        <f t="shared" si="41"/>
        <v>0</v>
      </c>
      <c r="AO308" s="41">
        <f t="shared" si="41"/>
        <v>0</v>
      </c>
      <c r="AP308" s="41">
        <f t="shared" si="40"/>
        <v>770</v>
      </c>
      <c r="AQ308" s="41">
        <f t="shared" si="40"/>
        <v>0</v>
      </c>
      <c r="AR308" s="41">
        <f t="shared" si="40"/>
        <v>0</v>
      </c>
      <c r="AS308" s="41">
        <f t="shared" si="40"/>
        <v>60</v>
      </c>
      <c r="AT308" s="41">
        <f t="shared" si="40"/>
        <v>300</v>
      </c>
      <c r="AU308" s="43">
        <f t="shared" si="43"/>
        <v>40</v>
      </c>
      <c r="AV308" s="43">
        <f t="shared" si="42"/>
        <v>0</v>
      </c>
      <c r="AW308" s="43">
        <f t="shared" si="42"/>
        <v>0</v>
      </c>
      <c r="AX308" s="43">
        <f t="shared" si="42"/>
        <v>0</v>
      </c>
      <c r="AY308" s="43">
        <f t="shared" si="42"/>
        <v>0</v>
      </c>
      <c r="AZ308" s="43">
        <f t="shared" si="42"/>
        <v>0</v>
      </c>
      <c r="BA308" s="43">
        <f t="shared" si="42"/>
        <v>82.5</v>
      </c>
      <c r="BB308" s="43">
        <f t="shared" si="42"/>
        <v>0</v>
      </c>
      <c r="BC308" s="43">
        <f t="shared" si="39"/>
        <v>0</v>
      </c>
      <c r="BD308" s="43">
        <f t="shared" si="39"/>
        <v>20</v>
      </c>
      <c r="BE308" s="43">
        <f t="shared" si="39"/>
        <v>35</v>
      </c>
      <c r="BF308" s="41">
        <f t="shared" si="37"/>
        <v>177.5</v>
      </c>
      <c r="BG308" s="41" t="str">
        <f t="array" ref="BG308">_xlfn.IFS(
OR(MONTH(A308)=11,MONTH(A308)=12,MONTH(A308)=1,MONTH(A308)=2),"Winter",
OR(MONTH(A308)=3,MONTH(A308)=4),"Spring",
OR(MONTH(A308)=5,MONTH(A308)=6),"Summer",
OR(MONTH(A308)=7,MONTH(A308)=8,MONTH(A308)=9),"Monsoon",
MONTH(A308)=10,"Autumn/Festive",
TRUE,""
)</f>
        <v>Winter</v>
      </c>
    </row>
    <row r="309" spans="1:59" x14ac:dyDescent="0.3">
      <c r="A309" s="39">
        <v>45634</v>
      </c>
      <c r="B309" s="40" t="str">
        <f t="shared" si="35"/>
        <v>December</v>
      </c>
      <c r="C309" s="41">
        <v>3</v>
      </c>
      <c r="D309" s="41">
        <v>0</v>
      </c>
      <c r="E309" s="41">
        <v>0</v>
      </c>
      <c r="F309" s="41">
        <v>0</v>
      </c>
      <c r="G309" s="41">
        <v>0</v>
      </c>
      <c r="H309" s="41">
        <v>0.5</v>
      </c>
      <c r="I309" s="41">
        <v>1.5</v>
      </c>
      <c r="J309" s="41">
        <v>0</v>
      </c>
      <c r="K309" s="41">
        <v>0</v>
      </c>
      <c r="L309" s="41">
        <v>0</v>
      </c>
      <c r="M309" s="41">
        <v>1</v>
      </c>
      <c r="N309" s="42">
        <v>110</v>
      </c>
      <c r="O309" s="42">
        <v>110</v>
      </c>
      <c r="P309" s="42">
        <v>26</v>
      </c>
      <c r="Q309" s="42">
        <v>65</v>
      </c>
      <c r="R309" s="42">
        <v>200</v>
      </c>
      <c r="S309" s="42">
        <v>230</v>
      </c>
      <c r="T309" s="42">
        <v>250</v>
      </c>
      <c r="U309" s="42">
        <v>170</v>
      </c>
      <c r="V309" s="42">
        <v>25</v>
      </c>
      <c r="W309" s="42">
        <v>4</v>
      </c>
      <c r="X309" s="42">
        <v>265</v>
      </c>
      <c r="Y309" s="43">
        <v>130</v>
      </c>
      <c r="Z309" s="43">
        <v>150</v>
      </c>
      <c r="AA309" s="43">
        <v>30</v>
      </c>
      <c r="AB309" s="43">
        <v>95</v>
      </c>
      <c r="AC309" s="43">
        <v>250</v>
      </c>
      <c r="AD309" s="43">
        <v>260</v>
      </c>
      <c r="AE309" s="43">
        <v>280</v>
      </c>
      <c r="AF309" s="43">
        <v>200</v>
      </c>
      <c r="AG309" s="43">
        <v>30</v>
      </c>
      <c r="AH309" s="43">
        <v>6</v>
      </c>
      <c r="AI309" s="43">
        <v>300</v>
      </c>
      <c r="AJ309" s="41">
        <f t="shared" si="36"/>
        <v>390</v>
      </c>
      <c r="AK309" s="41">
        <f t="shared" si="41"/>
        <v>0</v>
      </c>
      <c r="AL309" s="41">
        <f t="shared" si="41"/>
        <v>0</v>
      </c>
      <c r="AM309" s="41">
        <f t="shared" si="41"/>
        <v>0</v>
      </c>
      <c r="AN309" s="41">
        <f t="shared" si="41"/>
        <v>0</v>
      </c>
      <c r="AO309" s="41">
        <f t="shared" si="41"/>
        <v>130</v>
      </c>
      <c r="AP309" s="41">
        <f t="shared" si="40"/>
        <v>420</v>
      </c>
      <c r="AQ309" s="41">
        <f t="shared" si="40"/>
        <v>0</v>
      </c>
      <c r="AR309" s="41">
        <f t="shared" si="40"/>
        <v>0</v>
      </c>
      <c r="AS309" s="41">
        <f t="shared" si="40"/>
        <v>0</v>
      </c>
      <c r="AT309" s="41">
        <f t="shared" si="40"/>
        <v>300</v>
      </c>
      <c r="AU309" s="43">
        <f t="shared" si="43"/>
        <v>60</v>
      </c>
      <c r="AV309" s="43">
        <f t="shared" si="42"/>
        <v>0</v>
      </c>
      <c r="AW309" s="43">
        <f t="shared" si="42"/>
        <v>0</v>
      </c>
      <c r="AX309" s="43">
        <f t="shared" si="42"/>
        <v>0</v>
      </c>
      <c r="AY309" s="43">
        <f t="shared" si="42"/>
        <v>0</v>
      </c>
      <c r="AZ309" s="43">
        <f t="shared" si="42"/>
        <v>15</v>
      </c>
      <c r="BA309" s="43">
        <f t="shared" si="42"/>
        <v>45</v>
      </c>
      <c r="BB309" s="43">
        <f t="shared" si="42"/>
        <v>0</v>
      </c>
      <c r="BC309" s="43">
        <f t="shared" si="39"/>
        <v>0</v>
      </c>
      <c r="BD309" s="43">
        <f t="shared" si="39"/>
        <v>0</v>
      </c>
      <c r="BE309" s="43">
        <f t="shared" si="39"/>
        <v>35</v>
      </c>
      <c r="BF309" s="41">
        <f t="shared" si="37"/>
        <v>155</v>
      </c>
      <c r="BG309" s="41" t="str">
        <f t="array" ref="BG309">_xlfn.IFS(
OR(MONTH(A309)=11,MONTH(A309)=12,MONTH(A309)=1,MONTH(A309)=2),"Winter",
OR(MONTH(A309)=3,MONTH(A309)=4),"Spring",
OR(MONTH(A309)=5,MONTH(A309)=6),"Summer",
OR(MONTH(A309)=7,MONTH(A309)=8,MONTH(A309)=9),"Monsoon",
MONTH(A309)=10,"Autumn/Festive",
TRUE,""
)</f>
        <v>Winter</v>
      </c>
    </row>
    <row r="310" spans="1:59" x14ac:dyDescent="0.3">
      <c r="A310" s="39">
        <v>45635</v>
      </c>
      <c r="B310" s="40" t="str">
        <f t="shared" si="35"/>
        <v>December</v>
      </c>
      <c r="C310" s="41">
        <v>4</v>
      </c>
      <c r="D310" s="41">
        <v>0</v>
      </c>
      <c r="E310" s="41">
        <v>0</v>
      </c>
      <c r="F310" s="41">
        <v>0</v>
      </c>
      <c r="G310" s="41">
        <v>0</v>
      </c>
      <c r="H310" s="41">
        <v>6</v>
      </c>
      <c r="I310" s="41">
        <v>4.25</v>
      </c>
      <c r="J310" s="41">
        <v>0</v>
      </c>
      <c r="K310" s="41">
        <v>0</v>
      </c>
      <c r="L310" s="41">
        <v>5</v>
      </c>
      <c r="M310" s="41">
        <v>1.5</v>
      </c>
      <c r="N310" s="42">
        <v>110</v>
      </c>
      <c r="O310" s="42">
        <v>110</v>
      </c>
      <c r="P310" s="42">
        <v>26</v>
      </c>
      <c r="Q310" s="42">
        <v>65</v>
      </c>
      <c r="R310" s="42">
        <v>200</v>
      </c>
      <c r="S310" s="42">
        <v>230</v>
      </c>
      <c r="T310" s="42">
        <v>250</v>
      </c>
      <c r="U310" s="42">
        <v>170</v>
      </c>
      <c r="V310" s="42">
        <v>25</v>
      </c>
      <c r="W310" s="42">
        <v>4</v>
      </c>
      <c r="X310" s="42">
        <v>265</v>
      </c>
      <c r="Y310" s="43">
        <v>130</v>
      </c>
      <c r="Z310" s="43">
        <v>150</v>
      </c>
      <c r="AA310" s="43">
        <v>30</v>
      </c>
      <c r="AB310" s="43">
        <v>95</v>
      </c>
      <c r="AC310" s="43">
        <v>250</v>
      </c>
      <c r="AD310" s="43">
        <v>260</v>
      </c>
      <c r="AE310" s="43">
        <v>280</v>
      </c>
      <c r="AF310" s="43">
        <v>200</v>
      </c>
      <c r="AG310" s="43">
        <v>30</v>
      </c>
      <c r="AH310" s="43">
        <v>6</v>
      </c>
      <c r="AI310" s="43">
        <v>300</v>
      </c>
      <c r="AJ310" s="41">
        <f t="shared" si="36"/>
        <v>520</v>
      </c>
      <c r="AK310" s="41">
        <f t="shared" si="41"/>
        <v>0</v>
      </c>
      <c r="AL310" s="41">
        <f t="shared" si="41"/>
        <v>0</v>
      </c>
      <c r="AM310" s="41">
        <f t="shared" si="41"/>
        <v>0</v>
      </c>
      <c r="AN310" s="41">
        <f t="shared" si="41"/>
        <v>0</v>
      </c>
      <c r="AO310" s="41">
        <f t="shared" si="41"/>
        <v>1560</v>
      </c>
      <c r="AP310" s="41">
        <f t="shared" si="40"/>
        <v>1190</v>
      </c>
      <c r="AQ310" s="41">
        <f t="shared" si="40"/>
        <v>0</v>
      </c>
      <c r="AR310" s="41">
        <f t="shared" si="40"/>
        <v>0</v>
      </c>
      <c r="AS310" s="41">
        <f t="shared" si="40"/>
        <v>30</v>
      </c>
      <c r="AT310" s="41">
        <f t="shared" si="40"/>
        <v>450</v>
      </c>
      <c r="AU310" s="43">
        <f t="shared" si="43"/>
        <v>80</v>
      </c>
      <c r="AV310" s="43">
        <f t="shared" si="42"/>
        <v>0</v>
      </c>
      <c r="AW310" s="43">
        <f t="shared" si="42"/>
        <v>0</v>
      </c>
      <c r="AX310" s="43">
        <f t="shared" si="42"/>
        <v>0</v>
      </c>
      <c r="AY310" s="43">
        <f t="shared" si="42"/>
        <v>0</v>
      </c>
      <c r="AZ310" s="43">
        <f t="shared" si="42"/>
        <v>180</v>
      </c>
      <c r="BA310" s="43">
        <f t="shared" si="42"/>
        <v>127.5</v>
      </c>
      <c r="BB310" s="43">
        <f t="shared" si="42"/>
        <v>0</v>
      </c>
      <c r="BC310" s="43">
        <f t="shared" si="39"/>
        <v>0</v>
      </c>
      <c r="BD310" s="43">
        <f t="shared" si="39"/>
        <v>10</v>
      </c>
      <c r="BE310" s="43">
        <f t="shared" si="39"/>
        <v>52.5</v>
      </c>
      <c r="BF310" s="41">
        <f t="shared" si="37"/>
        <v>450</v>
      </c>
      <c r="BG310" s="41" t="str">
        <f t="array" ref="BG310">_xlfn.IFS(
OR(MONTH(A310)=11,MONTH(A310)=12,MONTH(A310)=1,MONTH(A310)=2),"Winter",
OR(MONTH(A310)=3,MONTH(A310)=4),"Spring",
OR(MONTH(A310)=5,MONTH(A310)=6),"Summer",
OR(MONTH(A310)=7,MONTH(A310)=8,MONTH(A310)=9),"Monsoon",
MONTH(A310)=10,"Autumn/Festive",
TRUE,""
)</f>
        <v>Winter</v>
      </c>
    </row>
    <row r="311" spans="1:59" x14ac:dyDescent="0.3">
      <c r="A311" s="39">
        <v>45636</v>
      </c>
      <c r="B311" s="40" t="str">
        <f t="shared" si="35"/>
        <v>December</v>
      </c>
      <c r="C311" s="41">
        <v>3</v>
      </c>
      <c r="D311" s="41">
        <v>0</v>
      </c>
      <c r="E311" s="41">
        <v>0</v>
      </c>
      <c r="F311" s="41">
        <v>0</v>
      </c>
      <c r="G311" s="41">
        <v>0</v>
      </c>
      <c r="H311" s="41">
        <v>2.5</v>
      </c>
      <c r="I311" s="41">
        <v>2.5</v>
      </c>
      <c r="J311" s="41">
        <v>0</v>
      </c>
      <c r="K311" s="41">
        <v>1</v>
      </c>
      <c r="L311" s="41">
        <v>12</v>
      </c>
      <c r="M311" s="41">
        <v>1.5</v>
      </c>
      <c r="N311" s="42">
        <v>110</v>
      </c>
      <c r="O311" s="42">
        <v>110</v>
      </c>
      <c r="P311" s="42">
        <v>26</v>
      </c>
      <c r="Q311" s="42">
        <v>65</v>
      </c>
      <c r="R311" s="42">
        <v>200</v>
      </c>
      <c r="S311" s="42">
        <v>230</v>
      </c>
      <c r="T311" s="42">
        <v>250</v>
      </c>
      <c r="U311" s="42">
        <v>170</v>
      </c>
      <c r="V311" s="42">
        <v>25</v>
      </c>
      <c r="W311" s="42">
        <v>4</v>
      </c>
      <c r="X311" s="42">
        <v>265</v>
      </c>
      <c r="Y311" s="43">
        <v>130</v>
      </c>
      <c r="Z311" s="43">
        <v>150</v>
      </c>
      <c r="AA311" s="43">
        <v>30</v>
      </c>
      <c r="AB311" s="43">
        <v>95</v>
      </c>
      <c r="AC311" s="43">
        <v>250</v>
      </c>
      <c r="AD311" s="43">
        <v>260</v>
      </c>
      <c r="AE311" s="43">
        <v>280</v>
      </c>
      <c r="AF311" s="43">
        <v>200</v>
      </c>
      <c r="AG311" s="43">
        <v>30</v>
      </c>
      <c r="AH311" s="43">
        <v>6</v>
      </c>
      <c r="AI311" s="43">
        <v>300</v>
      </c>
      <c r="AJ311" s="41">
        <f t="shared" si="36"/>
        <v>390</v>
      </c>
      <c r="AK311" s="41">
        <f t="shared" si="41"/>
        <v>0</v>
      </c>
      <c r="AL311" s="41">
        <f t="shared" si="41"/>
        <v>0</v>
      </c>
      <c r="AM311" s="41">
        <f t="shared" si="41"/>
        <v>0</v>
      </c>
      <c r="AN311" s="41">
        <f t="shared" si="41"/>
        <v>0</v>
      </c>
      <c r="AO311" s="41">
        <f t="shared" si="41"/>
        <v>650</v>
      </c>
      <c r="AP311" s="41">
        <f t="shared" si="40"/>
        <v>700</v>
      </c>
      <c r="AQ311" s="41">
        <f t="shared" si="40"/>
        <v>0</v>
      </c>
      <c r="AR311" s="41">
        <f t="shared" si="40"/>
        <v>30</v>
      </c>
      <c r="AS311" s="41">
        <f t="shared" si="40"/>
        <v>72</v>
      </c>
      <c r="AT311" s="41">
        <f t="shared" si="40"/>
        <v>450</v>
      </c>
      <c r="AU311" s="43">
        <f t="shared" si="43"/>
        <v>60</v>
      </c>
      <c r="AV311" s="43">
        <f t="shared" si="42"/>
        <v>0</v>
      </c>
      <c r="AW311" s="43">
        <f t="shared" si="42"/>
        <v>0</v>
      </c>
      <c r="AX311" s="43">
        <f t="shared" si="42"/>
        <v>0</v>
      </c>
      <c r="AY311" s="43">
        <f t="shared" si="42"/>
        <v>0</v>
      </c>
      <c r="AZ311" s="43">
        <f t="shared" si="42"/>
        <v>75</v>
      </c>
      <c r="BA311" s="43">
        <f t="shared" si="42"/>
        <v>75</v>
      </c>
      <c r="BB311" s="43">
        <f t="shared" si="42"/>
        <v>0</v>
      </c>
      <c r="BC311" s="43">
        <f t="shared" si="39"/>
        <v>5</v>
      </c>
      <c r="BD311" s="43">
        <f t="shared" si="39"/>
        <v>24</v>
      </c>
      <c r="BE311" s="43">
        <f t="shared" si="39"/>
        <v>52.5</v>
      </c>
      <c r="BF311" s="41">
        <f t="shared" si="37"/>
        <v>291.5</v>
      </c>
      <c r="BG311" s="41" t="str">
        <f t="array" ref="BG311">_xlfn.IFS(
OR(MONTH(A311)=11,MONTH(A311)=12,MONTH(A311)=1,MONTH(A311)=2),"Winter",
OR(MONTH(A311)=3,MONTH(A311)=4),"Spring",
OR(MONTH(A311)=5,MONTH(A311)=6),"Summer",
OR(MONTH(A311)=7,MONTH(A311)=8,MONTH(A311)=9),"Monsoon",
MONTH(A311)=10,"Autumn/Festive",
TRUE,""
)</f>
        <v>Winter</v>
      </c>
    </row>
    <row r="312" spans="1:59" x14ac:dyDescent="0.3">
      <c r="A312" s="39">
        <v>45637</v>
      </c>
      <c r="B312" s="40" t="str">
        <f t="shared" si="35"/>
        <v>December</v>
      </c>
      <c r="C312" s="41">
        <v>5</v>
      </c>
      <c r="D312" s="41">
        <v>0</v>
      </c>
      <c r="E312" s="41">
        <v>0</v>
      </c>
      <c r="F312" s="41">
        <v>0</v>
      </c>
      <c r="G312" s="41">
        <v>0</v>
      </c>
      <c r="H312" s="41">
        <v>0.25</v>
      </c>
      <c r="I312" s="41">
        <v>0</v>
      </c>
      <c r="J312" s="41">
        <v>0</v>
      </c>
      <c r="K312" s="41">
        <v>0</v>
      </c>
      <c r="L312" s="41">
        <v>0</v>
      </c>
      <c r="M312" s="41">
        <v>0.5</v>
      </c>
      <c r="N312" s="42">
        <v>110</v>
      </c>
      <c r="O312" s="42">
        <v>110</v>
      </c>
      <c r="P312" s="42">
        <v>26</v>
      </c>
      <c r="Q312" s="42">
        <v>65</v>
      </c>
      <c r="R312" s="42">
        <v>200</v>
      </c>
      <c r="S312" s="42">
        <v>230</v>
      </c>
      <c r="T312" s="42">
        <v>250</v>
      </c>
      <c r="U312" s="42">
        <v>170</v>
      </c>
      <c r="V312" s="42">
        <v>25</v>
      </c>
      <c r="W312" s="42">
        <v>4</v>
      </c>
      <c r="X312" s="42">
        <v>265</v>
      </c>
      <c r="Y312" s="43">
        <v>130</v>
      </c>
      <c r="Z312" s="43">
        <v>150</v>
      </c>
      <c r="AA312" s="43">
        <v>30</v>
      </c>
      <c r="AB312" s="43">
        <v>95</v>
      </c>
      <c r="AC312" s="43">
        <v>250</v>
      </c>
      <c r="AD312" s="43">
        <v>260</v>
      </c>
      <c r="AE312" s="43">
        <v>280</v>
      </c>
      <c r="AF312" s="43">
        <v>200</v>
      </c>
      <c r="AG312" s="43">
        <v>30</v>
      </c>
      <c r="AH312" s="43">
        <v>6</v>
      </c>
      <c r="AI312" s="43">
        <v>300</v>
      </c>
      <c r="AJ312" s="41">
        <f t="shared" si="36"/>
        <v>650</v>
      </c>
      <c r="AK312" s="41">
        <f t="shared" si="41"/>
        <v>0</v>
      </c>
      <c r="AL312" s="41">
        <f t="shared" si="41"/>
        <v>0</v>
      </c>
      <c r="AM312" s="41">
        <f t="shared" si="41"/>
        <v>0</v>
      </c>
      <c r="AN312" s="41">
        <f t="shared" si="41"/>
        <v>0</v>
      </c>
      <c r="AO312" s="41">
        <f t="shared" si="41"/>
        <v>65</v>
      </c>
      <c r="AP312" s="41">
        <f t="shared" si="40"/>
        <v>0</v>
      </c>
      <c r="AQ312" s="41">
        <f t="shared" si="40"/>
        <v>0</v>
      </c>
      <c r="AR312" s="41">
        <f t="shared" si="40"/>
        <v>0</v>
      </c>
      <c r="AS312" s="41">
        <f t="shared" si="40"/>
        <v>0</v>
      </c>
      <c r="AT312" s="41">
        <f t="shared" si="40"/>
        <v>150</v>
      </c>
      <c r="AU312" s="43">
        <f t="shared" si="43"/>
        <v>100</v>
      </c>
      <c r="AV312" s="43">
        <f t="shared" si="42"/>
        <v>0</v>
      </c>
      <c r="AW312" s="43">
        <f t="shared" si="42"/>
        <v>0</v>
      </c>
      <c r="AX312" s="43">
        <f t="shared" si="42"/>
        <v>0</v>
      </c>
      <c r="AY312" s="43">
        <f t="shared" si="42"/>
        <v>0</v>
      </c>
      <c r="AZ312" s="43">
        <f t="shared" si="42"/>
        <v>7.5</v>
      </c>
      <c r="BA312" s="43">
        <f t="shared" si="42"/>
        <v>0</v>
      </c>
      <c r="BB312" s="43">
        <f t="shared" si="42"/>
        <v>0</v>
      </c>
      <c r="BC312" s="43">
        <f t="shared" si="39"/>
        <v>0</v>
      </c>
      <c r="BD312" s="43">
        <f t="shared" si="39"/>
        <v>0</v>
      </c>
      <c r="BE312" s="43">
        <f t="shared" si="39"/>
        <v>17.5</v>
      </c>
      <c r="BF312" s="41">
        <f t="shared" si="37"/>
        <v>125</v>
      </c>
      <c r="BG312" s="41" t="str">
        <f t="array" ref="BG312">_xlfn.IFS(
OR(MONTH(A312)=11,MONTH(A312)=12,MONTH(A312)=1,MONTH(A312)=2),"Winter",
OR(MONTH(A312)=3,MONTH(A312)=4),"Spring",
OR(MONTH(A312)=5,MONTH(A312)=6),"Summer",
OR(MONTH(A312)=7,MONTH(A312)=8,MONTH(A312)=9),"Monsoon",
MONTH(A312)=10,"Autumn/Festive",
TRUE,""
)</f>
        <v>Winter</v>
      </c>
    </row>
    <row r="313" spans="1:59" x14ac:dyDescent="0.3">
      <c r="A313" s="39">
        <v>45638</v>
      </c>
      <c r="B313" s="40" t="str">
        <f t="shared" si="35"/>
        <v>December</v>
      </c>
      <c r="C313" s="41">
        <v>6</v>
      </c>
      <c r="D313" s="41">
        <v>0</v>
      </c>
      <c r="E313" s="41">
        <v>0</v>
      </c>
      <c r="F313" s="41">
        <v>0</v>
      </c>
      <c r="G313" s="41">
        <v>0</v>
      </c>
      <c r="H313" s="41">
        <v>0.25</v>
      </c>
      <c r="I313" s="41">
        <v>2.5</v>
      </c>
      <c r="J313" s="41">
        <v>1</v>
      </c>
      <c r="K313" s="41">
        <v>0</v>
      </c>
      <c r="L313" s="41">
        <v>6</v>
      </c>
      <c r="M313" s="41">
        <v>0</v>
      </c>
      <c r="N313" s="42">
        <v>110</v>
      </c>
      <c r="O313" s="42">
        <v>110</v>
      </c>
      <c r="P313" s="42">
        <v>26</v>
      </c>
      <c r="Q313" s="42">
        <v>65</v>
      </c>
      <c r="R313" s="42">
        <v>200</v>
      </c>
      <c r="S313" s="42">
        <v>230</v>
      </c>
      <c r="T313" s="42">
        <v>250</v>
      </c>
      <c r="U313" s="42">
        <v>170</v>
      </c>
      <c r="V313" s="42">
        <v>25</v>
      </c>
      <c r="W313" s="42">
        <v>4</v>
      </c>
      <c r="X313" s="42">
        <v>265</v>
      </c>
      <c r="Y313" s="43">
        <v>130</v>
      </c>
      <c r="Z313" s="43">
        <v>150</v>
      </c>
      <c r="AA313" s="43">
        <v>30</v>
      </c>
      <c r="AB313" s="43">
        <v>95</v>
      </c>
      <c r="AC313" s="43">
        <v>250</v>
      </c>
      <c r="AD313" s="43">
        <v>260</v>
      </c>
      <c r="AE313" s="43">
        <v>280</v>
      </c>
      <c r="AF313" s="43">
        <v>200</v>
      </c>
      <c r="AG313" s="43">
        <v>30</v>
      </c>
      <c r="AH313" s="43">
        <v>6</v>
      </c>
      <c r="AI313" s="43">
        <v>300</v>
      </c>
      <c r="AJ313" s="41">
        <f t="shared" si="36"/>
        <v>780</v>
      </c>
      <c r="AK313" s="41">
        <f t="shared" si="41"/>
        <v>0</v>
      </c>
      <c r="AL313" s="41">
        <f t="shared" si="41"/>
        <v>0</v>
      </c>
      <c r="AM313" s="41">
        <f t="shared" si="41"/>
        <v>0</v>
      </c>
      <c r="AN313" s="41">
        <f t="shared" si="41"/>
        <v>0</v>
      </c>
      <c r="AO313" s="41">
        <f t="shared" si="41"/>
        <v>65</v>
      </c>
      <c r="AP313" s="41">
        <f t="shared" si="40"/>
        <v>700</v>
      </c>
      <c r="AQ313" s="41">
        <f t="shared" si="40"/>
        <v>200</v>
      </c>
      <c r="AR313" s="41">
        <f t="shared" si="40"/>
        <v>0</v>
      </c>
      <c r="AS313" s="41">
        <f t="shared" si="40"/>
        <v>36</v>
      </c>
      <c r="AT313" s="41">
        <f t="shared" si="40"/>
        <v>0</v>
      </c>
      <c r="AU313" s="43">
        <f t="shared" si="43"/>
        <v>120</v>
      </c>
      <c r="AV313" s="43">
        <f t="shared" si="42"/>
        <v>0</v>
      </c>
      <c r="AW313" s="43">
        <f t="shared" si="42"/>
        <v>0</v>
      </c>
      <c r="AX313" s="43">
        <f t="shared" si="42"/>
        <v>0</v>
      </c>
      <c r="AY313" s="43">
        <f t="shared" si="42"/>
        <v>0</v>
      </c>
      <c r="AZ313" s="43">
        <f t="shared" si="42"/>
        <v>7.5</v>
      </c>
      <c r="BA313" s="43">
        <f t="shared" si="42"/>
        <v>75</v>
      </c>
      <c r="BB313" s="43">
        <f t="shared" si="42"/>
        <v>30</v>
      </c>
      <c r="BC313" s="43">
        <f t="shared" si="39"/>
        <v>0</v>
      </c>
      <c r="BD313" s="43">
        <f t="shared" si="39"/>
        <v>12</v>
      </c>
      <c r="BE313" s="43">
        <f t="shared" si="39"/>
        <v>0</v>
      </c>
      <c r="BF313" s="41">
        <f t="shared" si="37"/>
        <v>244.5</v>
      </c>
      <c r="BG313" s="41" t="str">
        <f t="array" ref="BG313">_xlfn.IFS(
OR(MONTH(A313)=11,MONTH(A313)=12,MONTH(A313)=1,MONTH(A313)=2),"Winter",
OR(MONTH(A313)=3,MONTH(A313)=4),"Spring",
OR(MONTH(A313)=5,MONTH(A313)=6),"Summer",
OR(MONTH(A313)=7,MONTH(A313)=8,MONTH(A313)=9),"Monsoon",
MONTH(A313)=10,"Autumn/Festive",
TRUE,""
)</f>
        <v>Winter</v>
      </c>
    </row>
    <row r="314" spans="1:59" x14ac:dyDescent="0.3">
      <c r="A314" s="39">
        <v>45639</v>
      </c>
      <c r="B314" s="40" t="str">
        <f t="shared" si="35"/>
        <v>December</v>
      </c>
      <c r="C314" s="41">
        <v>0</v>
      </c>
      <c r="D314" s="41">
        <v>0</v>
      </c>
      <c r="E314" s="41">
        <v>0</v>
      </c>
      <c r="F314" s="41">
        <v>0</v>
      </c>
      <c r="G314" s="41">
        <v>0</v>
      </c>
      <c r="H314" s="41">
        <v>1</v>
      </c>
      <c r="I314" s="41">
        <v>0.25</v>
      </c>
      <c r="J314" s="41">
        <v>0</v>
      </c>
      <c r="K314" s="41">
        <v>0</v>
      </c>
      <c r="L314" s="41">
        <v>18</v>
      </c>
      <c r="M314" s="41">
        <v>2</v>
      </c>
      <c r="N314" s="42">
        <v>110</v>
      </c>
      <c r="O314" s="42">
        <v>110</v>
      </c>
      <c r="P314" s="42">
        <v>26</v>
      </c>
      <c r="Q314" s="42">
        <v>65</v>
      </c>
      <c r="R314" s="42">
        <v>200</v>
      </c>
      <c r="S314" s="42">
        <v>230</v>
      </c>
      <c r="T314" s="42">
        <v>250</v>
      </c>
      <c r="U314" s="42">
        <v>170</v>
      </c>
      <c r="V314" s="42">
        <v>25</v>
      </c>
      <c r="W314" s="42">
        <v>4</v>
      </c>
      <c r="X314" s="42">
        <v>265</v>
      </c>
      <c r="Y314" s="43">
        <v>130</v>
      </c>
      <c r="Z314" s="43">
        <v>150</v>
      </c>
      <c r="AA314" s="43">
        <v>30</v>
      </c>
      <c r="AB314" s="43">
        <v>95</v>
      </c>
      <c r="AC314" s="43">
        <v>250</v>
      </c>
      <c r="AD314" s="43">
        <v>260</v>
      </c>
      <c r="AE314" s="43">
        <v>280</v>
      </c>
      <c r="AF314" s="43">
        <v>200</v>
      </c>
      <c r="AG314" s="43">
        <v>30</v>
      </c>
      <c r="AH314" s="43">
        <v>6</v>
      </c>
      <c r="AI314" s="43">
        <v>300</v>
      </c>
      <c r="AJ314" s="41">
        <f t="shared" si="36"/>
        <v>0</v>
      </c>
      <c r="AK314" s="41">
        <f t="shared" si="41"/>
        <v>0</v>
      </c>
      <c r="AL314" s="41">
        <f t="shared" si="41"/>
        <v>0</v>
      </c>
      <c r="AM314" s="41">
        <f t="shared" si="41"/>
        <v>0</v>
      </c>
      <c r="AN314" s="41">
        <f t="shared" si="41"/>
        <v>0</v>
      </c>
      <c r="AO314" s="41">
        <f t="shared" si="41"/>
        <v>260</v>
      </c>
      <c r="AP314" s="41">
        <f t="shared" si="40"/>
        <v>70</v>
      </c>
      <c r="AQ314" s="41">
        <f t="shared" si="40"/>
        <v>0</v>
      </c>
      <c r="AR314" s="41">
        <f t="shared" si="40"/>
        <v>0</v>
      </c>
      <c r="AS314" s="41">
        <f t="shared" si="40"/>
        <v>108</v>
      </c>
      <c r="AT314" s="41">
        <f t="shared" si="40"/>
        <v>600</v>
      </c>
      <c r="AU314" s="43">
        <f t="shared" si="43"/>
        <v>0</v>
      </c>
      <c r="AV314" s="43">
        <f t="shared" si="42"/>
        <v>0</v>
      </c>
      <c r="AW314" s="43">
        <f t="shared" si="42"/>
        <v>0</v>
      </c>
      <c r="AX314" s="43">
        <f t="shared" si="42"/>
        <v>0</v>
      </c>
      <c r="AY314" s="43">
        <f t="shared" si="42"/>
        <v>0</v>
      </c>
      <c r="AZ314" s="43">
        <f t="shared" si="42"/>
        <v>30</v>
      </c>
      <c r="BA314" s="43">
        <f t="shared" si="42"/>
        <v>7.5</v>
      </c>
      <c r="BB314" s="43">
        <f t="shared" si="42"/>
        <v>0</v>
      </c>
      <c r="BC314" s="43">
        <f t="shared" si="39"/>
        <v>0</v>
      </c>
      <c r="BD314" s="43">
        <f t="shared" si="39"/>
        <v>36</v>
      </c>
      <c r="BE314" s="43">
        <f t="shared" si="39"/>
        <v>70</v>
      </c>
      <c r="BF314" s="41">
        <f t="shared" si="37"/>
        <v>143.5</v>
      </c>
      <c r="BG314" s="41" t="str">
        <f t="array" ref="BG314">_xlfn.IFS(
OR(MONTH(A314)=11,MONTH(A314)=12,MONTH(A314)=1,MONTH(A314)=2),"Winter",
OR(MONTH(A314)=3,MONTH(A314)=4),"Spring",
OR(MONTH(A314)=5,MONTH(A314)=6),"Summer",
OR(MONTH(A314)=7,MONTH(A314)=8,MONTH(A314)=9),"Monsoon",
MONTH(A314)=10,"Autumn/Festive",
TRUE,""
)</f>
        <v>Winter</v>
      </c>
    </row>
    <row r="315" spans="1:59" x14ac:dyDescent="0.3">
      <c r="A315" s="39">
        <v>45640</v>
      </c>
      <c r="B315" s="40" t="str">
        <f t="shared" si="35"/>
        <v>December</v>
      </c>
      <c r="C315" s="41">
        <v>7</v>
      </c>
      <c r="D315" s="41">
        <v>12</v>
      </c>
      <c r="E315" s="41">
        <v>0</v>
      </c>
      <c r="F315" s="41">
        <v>0</v>
      </c>
      <c r="G315" s="41">
        <v>0</v>
      </c>
      <c r="H315" s="41">
        <v>4</v>
      </c>
      <c r="I315" s="41">
        <v>3</v>
      </c>
      <c r="J315" s="41">
        <v>0</v>
      </c>
      <c r="K315" s="41">
        <v>1</v>
      </c>
      <c r="L315" s="41">
        <v>0</v>
      </c>
      <c r="M315" s="41">
        <v>2</v>
      </c>
      <c r="N315" s="42">
        <v>110</v>
      </c>
      <c r="O315" s="42">
        <v>110</v>
      </c>
      <c r="P315" s="42">
        <v>26</v>
      </c>
      <c r="Q315" s="42">
        <v>65</v>
      </c>
      <c r="R315" s="42">
        <v>200</v>
      </c>
      <c r="S315" s="42">
        <v>230</v>
      </c>
      <c r="T315" s="42">
        <v>250</v>
      </c>
      <c r="U315" s="42">
        <v>170</v>
      </c>
      <c r="V315" s="42">
        <v>25</v>
      </c>
      <c r="W315" s="42">
        <v>4</v>
      </c>
      <c r="X315" s="42">
        <v>265</v>
      </c>
      <c r="Y315" s="43">
        <v>130</v>
      </c>
      <c r="Z315" s="43">
        <v>150</v>
      </c>
      <c r="AA315" s="43">
        <v>30</v>
      </c>
      <c r="AB315" s="43">
        <v>95</v>
      </c>
      <c r="AC315" s="43">
        <v>250</v>
      </c>
      <c r="AD315" s="43">
        <v>260</v>
      </c>
      <c r="AE315" s="43">
        <v>280</v>
      </c>
      <c r="AF315" s="43">
        <v>200</v>
      </c>
      <c r="AG315" s="43">
        <v>30</v>
      </c>
      <c r="AH315" s="43">
        <v>6</v>
      </c>
      <c r="AI315" s="43">
        <v>300</v>
      </c>
      <c r="AJ315" s="41">
        <f t="shared" si="36"/>
        <v>910</v>
      </c>
      <c r="AK315" s="41">
        <f t="shared" si="41"/>
        <v>1800</v>
      </c>
      <c r="AL315" s="41">
        <f t="shared" si="41"/>
        <v>0</v>
      </c>
      <c r="AM315" s="41">
        <f t="shared" si="41"/>
        <v>0</v>
      </c>
      <c r="AN315" s="41">
        <f t="shared" si="41"/>
        <v>0</v>
      </c>
      <c r="AO315" s="41">
        <f t="shared" si="41"/>
        <v>1040</v>
      </c>
      <c r="AP315" s="41">
        <f t="shared" si="40"/>
        <v>840</v>
      </c>
      <c r="AQ315" s="41">
        <f t="shared" si="40"/>
        <v>0</v>
      </c>
      <c r="AR315" s="41">
        <f t="shared" si="40"/>
        <v>30</v>
      </c>
      <c r="AS315" s="41">
        <f t="shared" si="40"/>
        <v>0</v>
      </c>
      <c r="AT315" s="41">
        <f t="shared" si="40"/>
        <v>600</v>
      </c>
      <c r="AU315" s="43">
        <f t="shared" si="43"/>
        <v>140</v>
      </c>
      <c r="AV315" s="43">
        <f t="shared" si="42"/>
        <v>480</v>
      </c>
      <c r="AW315" s="43">
        <f t="shared" si="42"/>
        <v>0</v>
      </c>
      <c r="AX315" s="43">
        <f t="shared" si="42"/>
        <v>0</v>
      </c>
      <c r="AY315" s="43">
        <f t="shared" si="42"/>
        <v>0</v>
      </c>
      <c r="AZ315" s="43">
        <f t="shared" si="42"/>
        <v>120</v>
      </c>
      <c r="BA315" s="43">
        <f t="shared" si="42"/>
        <v>90</v>
      </c>
      <c r="BB315" s="43">
        <f t="shared" si="42"/>
        <v>0</v>
      </c>
      <c r="BC315" s="43">
        <f t="shared" si="39"/>
        <v>5</v>
      </c>
      <c r="BD315" s="43">
        <f t="shared" si="39"/>
        <v>0</v>
      </c>
      <c r="BE315" s="43">
        <f t="shared" si="39"/>
        <v>70</v>
      </c>
      <c r="BF315" s="41">
        <f t="shared" si="37"/>
        <v>905</v>
      </c>
      <c r="BG315" s="41" t="str">
        <f t="array" ref="BG315">_xlfn.IFS(
OR(MONTH(A315)=11,MONTH(A315)=12,MONTH(A315)=1,MONTH(A315)=2),"Winter",
OR(MONTH(A315)=3,MONTH(A315)=4),"Spring",
OR(MONTH(A315)=5,MONTH(A315)=6),"Summer",
OR(MONTH(A315)=7,MONTH(A315)=8,MONTH(A315)=9),"Monsoon",
MONTH(A315)=10,"Autumn/Festive",
TRUE,""
)</f>
        <v>Winter</v>
      </c>
    </row>
    <row r="316" spans="1:59" x14ac:dyDescent="0.3">
      <c r="A316" s="39">
        <v>45641</v>
      </c>
      <c r="B316" s="40" t="str">
        <f t="shared" si="35"/>
        <v>December</v>
      </c>
      <c r="C316" s="41">
        <v>2</v>
      </c>
      <c r="D316" s="41">
        <v>2</v>
      </c>
      <c r="E316" s="41">
        <v>0</v>
      </c>
      <c r="F316" s="41">
        <v>0</v>
      </c>
      <c r="G316" s="41">
        <v>0</v>
      </c>
      <c r="H316" s="41">
        <v>2.5</v>
      </c>
      <c r="I316" s="41">
        <v>3.5</v>
      </c>
      <c r="J316" s="41">
        <v>0</v>
      </c>
      <c r="K316" s="41">
        <v>0</v>
      </c>
      <c r="L316" s="41">
        <v>18</v>
      </c>
      <c r="M316" s="41">
        <v>1</v>
      </c>
      <c r="N316" s="42">
        <v>110</v>
      </c>
      <c r="O316" s="42">
        <v>110</v>
      </c>
      <c r="P316" s="42">
        <v>26</v>
      </c>
      <c r="Q316" s="42">
        <v>65</v>
      </c>
      <c r="R316" s="42">
        <v>200</v>
      </c>
      <c r="S316" s="42">
        <v>230</v>
      </c>
      <c r="T316" s="42">
        <v>250</v>
      </c>
      <c r="U316" s="42">
        <v>170</v>
      </c>
      <c r="V316" s="42">
        <v>25</v>
      </c>
      <c r="W316" s="42">
        <v>4</v>
      </c>
      <c r="X316" s="42">
        <v>265</v>
      </c>
      <c r="Y316" s="43">
        <v>130</v>
      </c>
      <c r="Z316" s="43">
        <v>150</v>
      </c>
      <c r="AA316" s="43">
        <v>30</v>
      </c>
      <c r="AB316" s="43">
        <v>95</v>
      </c>
      <c r="AC316" s="43">
        <v>250</v>
      </c>
      <c r="AD316" s="43">
        <v>260</v>
      </c>
      <c r="AE316" s="43">
        <v>280</v>
      </c>
      <c r="AF316" s="43">
        <v>200</v>
      </c>
      <c r="AG316" s="43">
        <v>30</v>
      </c>
      <c r="AH316" s="43">
        <v>6</v>
      </c>
      <c r="AI316" s="43">
        <v>300</v>
      </c>
      <c r="AJ316" s="41">
        <f t="shared" si="36"/>
        <v>260</v>
      </c>
      <c r="AK316" s="41">
        <f t="shared" si="41"/>
        <v>300</v>
      </c>
      <c r="AL316" s="41">
        <f t="shared" si="41"/>
        <v>0</v>
      </c>
      <c r="AM316" s="41">
        <f t="shared" si="41"/>
        <v>0</v>
      </c>
      <c r="AN316" s="41">
        <f t="shared" si="41"/>
        <v>0</v>
      </c>
      <c r="AO316" s="41">
        <f t="shared" si="41"/>
        <v>650</v>
      </c>
      <c r="AP316" s="41">
        <f t="shared" si="40"/>
        <v>980</v>
      </c>
      <c r="AQ316" s="41">
        <f t="shared" si="40"/>
        <v>0</v>
      </c>
      <c r="AR316" s="41">
        <f t="shared" si="40"/>
        <v>0</v>
      </c>
      <c r="AS316" s="41">
        <f t="shared" si="40"/>
        <v>108</v>
      </c>
      <c r="AT316" s="41">
        <f t="shared" si="40"/>
        <v>300</v>
      </c>
      <c r="AU316" s="43">
        <f t="shared" si="43"/>
        <v>40</v>
      </c>
      <c r="AV316" s="43">
        <f t="shared" si="42"/>
        <v>80</v>
      </c>
      <c r="AW316" s="43">
        <f t="shared" si="42"/>
        <v>0</v>
      </c>
      <c r="AX316" s="43">
        <f t="shared" si="42"/>
        <v>0</v>
      </c>
      <c r="AY316" s="43">
        <f t="shared" si="42"/>
        <v>0</v>
      </c>
      <c r="AZ316" s="43">
        <f t="shared" si="42"/>
        <v>75</v>
      </c>
      <c r="BA316" s="43">
        <f t="shared" si="42"/>
        <v>105</v>
      </c>
      <c r="BB316" s="43">
        <f t="shared" si="42"/>
        <v>0</v>
      </c>
      <c r="BC316" s="43">
        <f t="shared" si="39"/>
        <v>0</v>
      </c>
      <c r="BD316" s="43">
        <f t="shared" si="39"/>
        <v>36</v>
      </c>
      <c r="BE316" s="43">
        <f t="shared" si="39"/>
        <v>35</v>
      </c>
      <c r="BF316" s="41">
        <f t="shared" si="37"/>
        <v>371</v>
      </c>
      <c r="BG316" s="41" t="str">
        <f t="array" ref="BG316">_xlfn.IFS(
OR(MONTH(A316)=11,MONTH(A316)=12,MONTH(A316)=1,MONTH(A316)=2),"Winter",
OR(MONTH(A316)=3,MONTH(A316)=4),"Spring",
OR(MONTH(A316)=5,MONTH(A316)=6),"Summer",
OR(MONTH(A316)=7,MONTH(A316)=8,MONTH(A316)=9),"Monsoon",
MONTH(A316)=10,"Autumn/Festive",
TRUE,""
)</f>
        <v>Winter</v>
      </c>
    </row>
    <row r="317" spans="1:59" x14ac:dyDescent="0.3">
      <c r="A317" s="39">
        <v>45642</v>
      </c>
      <c r="B317" s="40" t="str">
        <f t="shared" si="35"/>
        <v>December</v>
      </c>
      <c r="C317" s="41">
        <v>10</v>
      </c>
      <c r="D317" s="41">
        <v>0</v>
      </c>
      <c r="E317" s="41">
        <v>0</v>
      </c>
      <c r="F317" s="41">
        <v>0</v>
      </c>
      <c r="G317" s="41">
        <v>0</v>
      </c>
      <c r="H317" s="41">
        <v>1.5</v>
      </c>
      <c r="I317" s="41">
        <v>3.5</v>
      </c>
      <c r="J317" s="41">
        <v>1</v>
      </c>
      <c r="K317" s="41">
        <v>0</v>
      </c>
      <c r="L317" s="41">
        <v>6</v>
      </c>
      <c r="M317" s="41">
        <v>1.5</v>
      </c>
      <c r="N317" s="42">
        <v>110</v>
      </c>
      <c r="O317" s="42">
        <v>110</v>
      </c>
      <c r="P317" s="42">
        <v>26</v>
      </c>
      <c r="Q317" s="42">
        <v>65</v>
      </c>
      <c r="R317" s="42">
        <v>200</v>
      </c>
      <c r="S317" s="42">
        <v>230</v>
      </c>
      <c r="T317" s="42">
        <v>250</v>
      </c>
      <c r="U317" s="42">
        <v>170</v>
      </c>
      <c r="V317" s="42">
        <v>25</v>
      </c>
      <c r="W317" s="42">
        <v>4</v>
      </c>
      <c r="X317" s="42">
        <v>265</v>
      </c>
      <c r="Y317" s="43">
        <v>130</v>
      </c>
      <c r="Z317" s="43">
        <v>150</v>
      </c>
      <c r="AA317" s="43">
        <v>30</v>
      </c>
      <c r="AB317" s="43">
        <v>95</v>
      </c>
      <c r="AC317" s="43">
        <v>250</v>
      </c>
      <c r="AD317" s="43">
        <v>260</v>
      </c>
      <c r="AE317" s="43">
        <v>280</v>
      </c>
      <c r="AF317" s="43">
        <v>200</v>
      </c>
      <c r="AG317" s="43">
        <v>30</v>
      </c>
      <c r="AH317" s="43">
        <v>6</v>
      </c>
      <c r="AI317" s="43">
        <v>300</v>
      </c>
      <c r="AJ317" s="41">
        <f t="shared" si="36"/>
        <v>1300</v>
      </c>
      <c r="AK317" s="41">
        <f t="shared" si="41"/>
        <v>0</v>
      </c>
      <c r="AL317" s="41">
        <f t="shared" si="41"/>
        <v>0</v>
      </c>
      <c r="AM317" s="41">
        <f t="shared" si="41"/>
        <v>0</v>
      </c>
      <c r="AN317" s="41">
        <f t="shared" si="41"/>
        <v>0</v>
      </c>
      <c r="AO317" s="41">
        <f t="shared" si="41"/>
        <v>390</v>
      </c>
      <c r="AP317" s="41">
        <f t="shared" si="40"/>
        <v>980</v>
      </c>
      <c r="AQ317" s="41">
        <f t="shared" si="40"/>
        <v>200</v>
      </c>
      <c r="AR317" s="41">
        <f t="shared" si="40"/>
        <v>0</v>
      </c>
      <c r="AS317" s="41">
        <f t="shared" si="40"/>
        <v>36</v>
      </c>
      <c r="AT317" s="41">
        <f t="shared" si="40"/>
        <v>450</v>
      </c>
      <c r="AU317" s="43">
        <f t="shared" si="43"/>
        <v>200</v>
      </c>
      <c r="AV317" s="43">
        <f t="shared" si="42"/>
        <v>0</v>
      </c>
      <c r="AW317" s="43">
        <f t="shared" si="42"/>
        <v>0</v>
      </c>
      <c r="AX317" s="43">
        <f t="shared" si="42"/>
        <v>0</v>
      </c>
      <c r="AY317" s="43">
        <f t="shared" si="42"/>
        <v>0</v>
      </c>
      <c r="AZ317" s="43">
        <f t="shared" si="42"/>
        <v>45</v>
      </c>
      <c r="BA317" s="43">
        <f t="shared" si="42"/>
        <v>105</v>
      </c>
      <c r="BB317" s="43">
        <f t="shared" si="42"/>
        <v>30</v>
      </c>
      <c r="BC317" s="43">
        <f t="shared" si="39"/>
        <v>0</v>
      </c>
      <c r="BD317" s="43">
        <f t="shared" si="39"/>
        <v>12</v>
      </c>
      <c r="BE317" s="43">
        <f t="shared" si="39"/>
        <v>52.5</v>
      </c>
      <c r="BF317" s="41">
        <f t="shared" si="37"/>
        <v>444.5</v>
      </c>
      <c r="BG317" s="41" t="str">
        <f t="array" ref="BG317">_xlfn.IFS(
OR(MONTH(A317)=11,MONTH(A317)=12,MONTH(A317)=1,MONTH(A317)=2),"Winter",
OR(MONTH(A317)=3,MONTH(A317)=4),"Spring",
OR(MONTH(A317)=5,MONTH(A317)=6),"Summer",
OR(MONTH(A317)=7,MONTH(A317)=8,MONTH(A317)=9),"Monsoon",
MONTH(A317)=10,"Autumn/Festive",
TRUE,""
)</f>
        <v>Winter</v>
      </c>
    </row>
    <row r="318" spans="1:59" x14ac:dyDescent="0.3">
      <c r="A318" s="39">
        <v>45643</v>
      </c>
      <c r="B318" s="40" t="str">
        <f t="shared" si="35"/>
        <v>December</v>
      </c>
      <c r="C318" s="41">
        <v>12</v>
      </c>
      <c r="D318" s="41">
        <v>0</v>
      </c>
      <c r="E318" s="41">
        <v>0</v>
      </c>
      <c r="F318" s="41">
        <v>0</v>
      </c>
      <c r="G318" s="41">
        <v>0</v>
      </c>
      <c r="H318" s="41">
        <v>3.75</v>
      </c>
      <c r="I318" s="41">
        <v>3</v>
      </c>
      <c r="J318" s="41">
        <v>0</v>
      </c>
      <c r="K318" s="41">
        <v>2</v>
      </c>
      <c r="L318" s="41">
        <v>12</v>
      </c>
      <c r="M318" s="41">
        <v>2</v>
      </c>
      <c r="N318" s="42">
        <v>110</v>
      </c>
      <c r="O318" s="42">
        <v>110</v>
      </c>
      <c r="P318" s="42">
        <v>26</v>
      </c>
      <c r="Q318" s="42">
        <v>65</v>
      </c>
      <c r="R318" s="42">
        <v>200</v>
      </c>
      <c r="S318" s="42">
        <v>230</v>
      </c>
      <c r="T318" s="42">
        <v>250</v>
      </c>
      <c r="U318" s="42">
        <v>170</v>
      </c>
      <c r="V318" s="42">
        <v>25</v>
      </c>
      <c r="W318" s="42">
        <v>4</v>
      </c>
      <c r="X318" s="42">
        <v>265</v>
      </c>
      <c r="Y318" s="43">
        <v>130</v>
      </c>
      <c r="Z318" s="43">
        <v>150</v>
      </c>
      <c r="AA318" s="43">
        <v>30</v>
      </c>
      <c r="AB318" s="43">
        <v>95</v>
      </c>
      <c r="AC318" s="43">
        <v>250</v>
      </c>
      <c r="AD318" s="43">
        <v>260</v>
      </c>
      <c r="AE318" s="43">
        <v>280</v>
      </c>
      <c r="AF318" s="43">
        <v>200</v>
      </c>
      <c r="AG318" s="43">
        <v>30</v>
      </c>
      <c r="AH318" s="43">
        <v>6</v>
      </c>
      <c r="AI318" s="43">
        <v>300</v>
      </c>
      <c r="AJ318" s="41">
        <f t="shared" si="36"/>
        <v>1560</v>
      </c>
      <c r="AK318" s="41">
        <f t="shared" si="41"/>
        <v>0</v>
      </c>
      <c r="AL318" s="41">
        <f t="shared" si="41"/>
        <v>0</v>
      </c>
      <c r="AM318" s="41">
        <f t="shared" si="41"/>
        <v>0</v>
      </c>
      <c r="AN318" s="41">
        <f t="shared" si="41"/>
        <v>0</v>
      </c>
      <c r="AO318" s="41">
        <f t="shared" si="41"/>
        <v>975</v>
      </c>
      <c r="AP318" s="41">
        <f t="shared" si="40"/>
        <v>840</v>
      </c>
      <c r="AQ318" s="41">
        <f t="shared" si="40"/>
        <v>0</v>
      </c>
      <c r="AR318" s="41">
        <f t="shared" si="40"/>
        <v>60</v>
      </c>
      <c r="AS318" s="41">
        <f t="shared" si="40"/>
        <v>72</v>
      </c>
      <c r="AT318" s="41">
        <f t="shared" si="40"/>
        <v>600</v>
      </c>
      <c r="AU318" s="43">
        <f t="shared" si="43"/>
        <v>240</v>
      </c>
      <c r="AV318" s="43">
        <f t="shared" si="42"/>
        <v>0</v>
      </c>
      <c r="AW318" s="43">
        <f t="shared" si="42"/>
        <v>0</v>
      </c>
      <c r="AX318" s="43">
        <f t="shared" si="42"/>
        <v>0</v>
      </c>
      <c r="AY318" s="43">
        <f t="shared" si="42"/>
        <v>0</v>
      </c>
      <c r="AZ318" s="43">
        <f t="shared" si="42"/>
        <v>112.5</v>
      </c>
      <c r="BA318" s="43">
        <f t="shared" si="42"/>
        <v>90</v>
      </c>
      <c r="BB318" s="43">
        <f t="shared" si="42"/>
        <v>0</v>
      </c>
      <c r="BC318" s="43">
        <f t="shared" si="39"/>
        <v>10</v>
      </c>
      <c r="BD318" s="43">
        <f t="shared" si="39"/>
        <v>24</v>
      </c>
      <c r="BE318" s="43">
        <f t="shared" si="39"/>
        <v>70</v>
      </c>
      <c r="BF318" s="41">
        <f t="shared" si="37"/>
        <v>546.5</v>
      </c>
      <c r="BG318" s="41" t="str">
        <f t="array" ref="BG318">_xlfn.IFS(
OR(MONTH(A318)=11,MONTH(A318)=12,MONTH(A318)=1,MONTH(A318)=2),"Winter",
OR(MONTH(A318)=3,MONTH(A318)=4),"Spring",
OR(MONTH(A318)=5,MONTH(A318)=6),"Summer",
OR(MONTH(A318)=7,MONTH(A318)=8,MONTH(A318)=9),"Monsoon",
MONTH(A318)=10,"Autumn/Festive",
TRUE,""
)</f>
        <v>Winter</v>
      </c>
    </row>
    <row r="319" spans="1:59" x14ac:dyDescent="0.3">
      <c r="A319" s="39">
        <v>45644</v>
      </c>
      <c r="B319" s="40" t="str">
        <f t="shared" si="35"/>
        <v>December</v>
      </c>
      <c r="C319" s="41">
        <v>3</v>
      </c>
      <c r="D319" s="41">
        <v>0</v>
      </c>
      <c r="E319" s="41">
        <v>0</v>
      </c>
      <c r="F319" s="41">
        <v>0</v>
      </c>
      <c r="G319" s="41">
        <v>0</v>
      </c>
      <c r="H319" s="41">
        <v>1.25</v>
      </c>
      <c r="I319" s="41">
        <v>1.5</v>
      </c>
      <c r="J319" s="41">
        <v>0</v>
      </c>
      <c r="K319" s="41">
        <v>0</v>
      </c>
      <c r="L319" s="41">
        <v>12</v>
      </c>
      <c r="M319" s="41">
        <v>1</v>
      </c>
      <c r="N319" s="42">
        <v>110</v>
      </c>
      <c r="O319" s="42">
        <v>110</v>
      </c>
      <c r="P319" s="42">
        <v>26</v>
      </c>
      <c r="Q319" s="42">
        <v>65</v>
      </c>
      <c r="R319" s="42">
        <v>200</v>
      </c>
      <c r="S319" s="42">
        <v>230</v>
      </c>
      <c r="T319" s="42">
        <v>250</v>
      </c>
      <c r="U319" s="42">
        <v>170</v>
      </c>
      <c r="V319" s="42">
        <v>25</v>
      </c>
      <c r="W319" s="42">
        <v>4</v>
      </c>
      <c r="X319" s="42">
        <v>265</v>
      </c>
      <c r="Y319" s="43">
        <v>130</v>
      </c>
      <c r="Z319" s="43">
        <v>150</v>
      </c>
      <c r="AA319" s="43">
        <v>30</v>
      </c>
      <c r="AB319" s="43">
        <v>95</v>
      </c>
      <c r="AC319" s="43">
        <v>250</v>
      </c>
      <c r="AD319" s="43">
        <v>260</v>
      </c>
      <c r="AE319" s="43">
        <v>280</v>
      </c>
      <c r="AF319" s="43">
        <v>200</v>
      </c>
      <c r="AG319" s="43">
        <v>30</v>
      </c>
      <c r="AH319" s="43">
        <v>6</v>
      </c>
      <c r="AI319" s="43">
        <v>300</v>
      </c>
      <c r="AJ319" s="41">
        <f t="shared" si="36"/>
        <v>390</v>
      </c>
      <c r="AK319" s="41">
        <f t="shared" si="41"/>
        <v>0</v>
      </c>
      <c r="AL319" s="41">
        <f t="shared" si="41"/>
        <v>0</v>
      </c>
      <c r="AM319" s="41">
        <f t="shared" si="41"/>
        <v>0</v>
      </c>
      <c r="AN319" s="41">
        <f t="shared" si="41"/>
        <v>0</v>
      </c>
      <c r="AO319" s="41">
        <f t="shared" si="41"/>
        <v>325</v>
      </c>
      <c r="AP319" s="41">
        <f t="shared" si="40"/>
        <v>420</v>
      </c>
      <c r="AQ319" s="41">
        <f t="shared" si="40"/>
        <v>0</v>
      </c>
      <c r="AR319" s="41">
        <f t="shared" si="40"/>
        <v>0</v>
      </c>
      <c r="AS319" s="41">
        <f t="shared" si="40"/>
        <v>72</v>
      </c>
      <c r="AT319" s="41">
        <f t="shared" si="40"/>
        <v>300</v>
      </c>
      <c r="AU319" s="43">
        <f t="shared" si="43"/>
        <v>60</v>
      </c>
      <c r="AV319" s="43">
        <f t="shared" si="42"/>
        <v>0</v>
      </c>
      <c r="AW319" s="43">
        <f t="shared" si="42"/>
        <v>0</v>
      </c>
      <c r="AX319" s="43">
        <f t="shared" si="42"/>
        <v>0</v>
      </c>
      <c r="AY319" s="43">
        <f t="shared" si="42"/>
        <v>0</v>
      </c>
      <c r="AZ319" s="43">
        <f t="shared" si="42"/>
        <v>37.5</v>
      </c>
      <c r="BA319" s="43">
        <f t="shared" si="42"/>
        <v>45</v>
      </c>
      <c r="BB319" s="43">
        <f t="shared" si="42"/>
        <v>0</v>
      </c>
      <c r="BC319" s="43">
        <f t="shared" si="39"/>
        <v>0</v>
      </c>
      <c r="BD319" s="43">
        <f t="shared" si="39"/>
        <v>24</v>
      </c>
      <c r="BE319" s="43">
        <f t="shared" si="39"/>
        <v>35</v>
      </c>
      <c r="BF319" s="41">
        <f t="shared" si="37"/>
        <v>201.5</v>
      </c>
      <c r="BG319" s="41" t="str">
        <f t="array" ref="BG319">_xlfn.IFS(
OR(MONTH(A319)=11,MONTH(A319)=12,MONTH(A319)=1,MONTH(A319)=2),"Winter",
OR(MONTH(A319)=3,MONTH(A319)=4),"Spring",
OR(MONTH(A319)=5,MONTH(A319)=6),"Summer",
OR(MONTH(A319)=7,MONTH(A319)=8,MONTH(A319)=9),"Monsoon",
MONTH(A319)=10,"Autumn/Festive",
TRUE,""
)</f>
        <v>Winter</v>
      </c>
    </row>
    <row r="320" spans="1:59" x14ac:dyDescent="0.3">
      <c r="A320" s="39">
        <v>45645</v>
      </c>
      <c r="B320" s="40" t="str">
        <f t="shared" si="35"/>
        <v>December</v>
      </c>
      <c r="C320" s="41">
        <v>4</v>
      </c>
      <c r="D320" s="41">
        <v>0</v>
      </c>
      <c r="E320" s="41">
        <v>0</v>
      </c>
      <c r="F320" s="41">
        <v>0</v>
      </c>
      <c r="G320" s="41">
        <v>0</v>
      </c>
      <c r="H320" s="41">
        <v>4</v>
      </c>
      <c r="I320" s="41">
        <v>1.75</v>
      </c>
      <c r="J320" s="41">
        <v>1</v>
      </c>
      <c r="K320" s="41">
        <v>2</v>
      </c>
      <c r="L320" s="41">
        <v>18</v>
      </c>
      <c r="M320" s="41">
        <v>3</v>
      </c>
      <c r="N320" s="42">
        <v>110</v>
      </c>
      <c r="O320" s="42">
        <v>110</v>
      </c>
      <c r="P320" s="42">
        <v>26</v>
      </c>
      <c r="Q320" s="42">
        <v>65</v>
      </c>
      <c r="R320" s="42">
        <v>200</v>
      </c>
      <c r="S320" s="42">
        <v>230</v>
      </c>
      <c r="T320" s="42">
        <v>250</v>
      </c>
      <c r="U320" s="42">
        <v>170</v>
      </c>
      <c r="V320" s="42">
        <v>25</v>
      </c>
      <c r="W320" s="42">
        <v>4</v>
      </c>
      <c r="X320" s="42">
        <v>265</v>
      </c>
      <c r="Y320" s="43">
        <v>130</v>
      </c>
      <c r="Z320" s="43">
        <v>150</v>
      </c>
      <c r="AA320" s="43">
        <v>30</v>
      </c>
      <c r="AB320" s="43">
        <v>95</v>
      </c>
      <c r="AC320" s="43">
        <v>250</v>
      </c>
      <c r="AD320" s="43">
        <v>260</v>
      </c>
      <c r="AE320" s="43">
        <v>280</v>
      </c>
      <c r="AF320" s="43">
        <v>200</v>
      </c>
      <c r="AG320" s="43">
        <v>30</v>
      </c>
      <c r="AH320" s="43">
        <v>6</v>
      </c>
      <c r="AI320" s="43">
        <v>300</v>
      </c>
      <c r="AJ320" s="41">
        <f t="shared" si="36"/>
        <v>520</v>
      </c>
      <c r="AK320" s="41">
        <f t="shared" si="41"/>
        <v>0</v>
      </c>
      <c r="AL320" s="41">
        <f t="shared" si="41"/>
        <v>0</v>
      </c>
      <c r="AM320" s="41">
        <f t="shared" si="41"/>
        <v>0</v>
      </c>
      <c r="AN320" s="41">
        <f t="shared" si="41"/>
        <v>0</v>
      </c>
      <c r="AO320" s="41">
        <f t="shared" si="41"/>
        <v>1040</v>
      </c>
      <c r="AP320" s="41">
        <f t="shared" si="40"/>
        <v>490</v>
      </c>
      <c r="AQ320" s="41">
        <f t="shared" si="40"/>
        <v>200</v>
      </c>
      <c r="AR320" s="41">
        <f t="shared" si="40"/>
        <v>60</v>
      </c>
      <c r="AS320" s="41">
        <f t="shared" si="40"/>
        <v>108</v>
      </c>
      <c r="AT320" s="41">
        <f t="shared" si="40"/>
        <v>900</v>
      </c>
      <c r="AU320" s="43">
        <f t="shared" si="43"/>
        <v>80</v>
      </c>
      <c r="AV320" s="43">
        <f t="shared" si="42"/>
        <v>0</v>
      </c>
      <c r="AW320" s="43">
        <f t="shared" si="42"/>
        <v>0</v>
      </c>
      <c r="AX320" s="43">
        <f t="shared" si="42"/>
        <v>0</v>
      </c>
      <c r="AY320" s="43">
        <f t="shared" si="42"/>
        <v>0</v>
      </c>
      <c r="AZ320" s="43">
        <f t="shared" si="42"/>
        <v>120</v>
      </c>
      <c r="BA320" s="43">
        <f t="shared" si="42"/>
        <v>52.5</v>
      </c>
      <c r="BB320" s="43">
        <f t="shared" si="42"/>
        <v>30</v>
      </c>
      <c r="BC320" s="43">
        <f t="shared" si="39"/>
        <v>10</v>
      </c>
      <c r="BD320" s="43">
        <f t="shared" si="39"/>
        <v>36</v>
      </c>
      <c r="BE320" s="43">
        <f t="shared" si="39"/>
        <v>105</v>
      </c>
      <c r="BF320" s="41">
        <f t="shared" si="37"/>
        <v>433.5</v>
      </c>
      <c r="BG320" s="41" t="str">
        <f t="array" ref="BG320">_xlfn.IFS(
OR(MONTH(A320)=11,MONTH(A320)=12,MONTH(A320)=1,MONTH(A320)=2),"Winter",
OR(MONTH(A320)=3,MONTH(A320)=4),"Spring",
OR(MONTH(A320)=5,MONTH(A320)=6),"Summer",
OR(MONTH(A320)=7,MONTH(A320)=8,MONTH(A320)=9),"Monsoon",
MONTH(A320)=10,"Autumn/Festive",
TRUE,""
)</f>
        <v>Winter</v>
      </c>
    </row>
    <row r="321" spans="1:59" x14ac:dyDescent="0.3">
      <c r="A321" s="39">
        <v>45646</v>
      </c>
      <c r="B321" s="40" t="str">
        <f t="shared" si="35"/>
        <v>December</v>
      </c>
      <c r="C321" s="41">
        <v>3</v>
      </c>
      <c r="D321" s="41">
        <v>0</v>
      </c>
      <c r="E321" s="41">
        <v>0</v>
      </c>
      <c r="F321" s="41">
        <v>0</v>
      </c>
      <c r="G321" s="41">
        <v>0</v>
      </c>
      <c r="H321" s="41">
        <v>2.25</v>
      </c>
      <c r="I321" s="41">
        <v>3.75</v>
      </c>
      <c r="J321" s="41">
        <v>0</v>
      </c>
      <c r="K321" s="41">
        <v>3</v>
      </c>
      <c r="L321" s="41">
        <v>12</v>
      </c>
      <c r="M321" s="41">
        <v>2</v>
      </c>
      <c r="N321" s="42">
        <v>110</v>
      </c>
      <c r="O321" s="42">
        <v>110</v>
      </c>
      <c r="P321" s="42">
        <v>26</v>
      </c>
      <c r="Q321" s="42">
        <v>65</v>
      </c>
      <c r="R321" s="42">
        <v>200</v>
      </c>
      <c r="S321" s="42">
        <v>230</v>
      </c>
      <c r="T321" s="42">
        <v>250</v>
      </c>
      <c r="U321" s="42">
        <v>170</v>
      </c>
      <c r="V321" s="42">
        <v>25</v>
      </c>
      <c r="W321" s="42">
        <v>4</v>
      </c>
      <c r="X321" s="42">
        <v>265</v>
      </c>
      <c r="Y321" s="43">
        <v>130</v>
      </c>
      <c r="Z321" s="43">
        <v>150</v>
      </c>
      <c r="AA321" s="43">
        <v>30</v>
      </c>
      <c r="AB321" s="43">
        <v>95</v>
      </c>
      <c r="AC321" s="43">
        <v>250</v>
      </c>
      <c r="AD321" s="43">
        <v>260</v>
      </c>
      <c r="AE321" s="43">
        <v>280</v>
      </c>
      <c r="AF321" s="43">
        <v>200</v>
      </c>
      <c r="AG321" s="43">
        <v>30</v>
      </c>
      <c r="AH321" s="43">
        <v>6</v>
      </c>
      <c r="AI321" s="43">
        <v>300</v>
      </c>
      <c r="AJ321" s="41">
        <f t="shared" si="36"/>
        <v>390</v>
      </c>
      <c r="AK321" s="41">
        <f t="shared" si="41"/>
        <v>0</v>
      </c>
      <c r="AL321" s="41">
        <f t="shared" si="41"/>
        <v>0</v>
      </c>
      <c r="AM321" s="41">
        <f t="shared" si="41"/>
        <v>0</v>
      </c>
      <c r="AN321" s="41">
        <f t="shared" si="41"/>
        <v>0</v>
      </c>
      <c r="AO321" s="41">
        <f t="shared" si="41"/>
        <v>585</v>
      </c>
      <c r="AP321" s="41">
        <f t="shared" si="40"/>
        <v>1050</v>
      </c>
      <c r="AQ321" s="41">
        <f t="shared" si="40"/>
        <v>0</v>
      </c>
      <c r="AR321" s="41">
        <f t="shared" si="40"/>
        <v>90</v>
      </c>
      <c r="AS321" s="41">
        <f t="shared" si="40"/>
        <v>72</v>
      </c>
      <c r="AT321" s="41">
        <f t="shared" si="40"/>
        <v>600</v>
      </c>
      <c r="AU321" s="43">
        <f t="shared" si="43"/>
        <v>60</v>
      </c>
      <c r="AV321" s="43">
        <f t="shared" si="42"/>
        <v>0</v>
      </c>
      <c r="AW321" s="43">
        <f t="shared" si="42"/>
        <v>0</v>
      </c>
      <c r="AX321" s="43">
        <f t="shared" si="42"/>
        <v>0</v>
      </c>
      <c r="AY321" s="43">
        <f t="shared" si="42"/>
        <v>0</v>
      </c>
      <c r="AZ321" s="43">
        <f t="shared" si="42"/>
        <v>67.5</v>
      </c>
      <c r="BA321" s="43">
        <f t="shared" si="42"/>
        <v>112.5</v>
      </c>
      <c r="BB321" s="43">
        <f t="shared" si="42"/>
        <v>0</v>
      </c>
      <c r="BC321" s="43">
        <f t="shared" si="39"/>
        <v>15</v>
      </c>
      <c r="BD321" s="43">
        <f t="shared" si="39"/>
        <v>24</v>
      </c>
      <c r="BE321" s="43">
        <f t="shared" si="39"/>
        <v>70</v>
      </c>
      <c r="BF321" s="41">
        <f t="shared" si="37"/>
        <v>349</v>
      </c>
      <c r="BG321" s="41" t="str">
        <f t="array" ref="BG321">_xlfn.IFS(
OR(MONTH(A321)=11,MONTH(A321)=12,MONTH(A321)=1,MONTH(A321)=2),"Winter",
OR(MONTH(A321)=3,MONTH(A321)=4),"Spring",
OR(MONTH(A321)=5,MONTH(A321)=6),"Summer",
OR(MONTH(A321)=7,MONTH(A321)=8,MONTH(A321)=9),"Monsoon",
MONTH(A321)=10,"Autumn/Festive",
TRUE,""
)</f>
        <v>Winter</v>
      </c>
    </row>
    <row r="322" spans="1:59" x14ac:dyDescent="0.3">
      <c r="A322" s="39">
        <v>45647</v>
      </c>
      <c r="B322" s="40" t="str">
        <f t="shared" si="35"/>
        <v>December</v>
      </c>
      <c r="C322" s="41">
        <v>5</v>
      </c>
      <c r="D322" s="41">
        <v>0</v>
      </c>
      <c r="E322" s="41">
        <v>0</v>
      </c>
      <c r="F322" s="41">
        <v>0</v>
      </c>
      <c r="G322" s="41">
        <v>0</v>
      </c>
      <c r="H322" s="41">
        <v>2.25</v>
      </c>
      <c r="I322" s="41">
        <v>1.5</v>
      </c>
      <c r="J322" s="41">
        <v>0</v>
      </c>
      <c r="K322" s="41">
        <v>1</v>
      </c>
      <c r="L322" s="41">
        <v>15</v>
      </c>
      <c r="M322" s="41">
        <v>0</v>
      </c>
      <c r="N322" s="42">
        <v>110</v>
      </c>
      <c r="O322" s="42">
        <v>110</v>
      </c>
      <c r="P322" s="42">
        <v>26</v>
      </c>
      <c r="Q322" s="42">
        <v>65</v>
      </c>
      <c r="R322" s="42">
        <v>200</v>
      </c>
      <c r="S322" s="42">
        <v>230</v>
      </c>
      <c r="T322" s="42">
        <v>250</v>
      </c>
      <c r="U322" s="42">
        <v>170</v>
      </c>
      <c r="V322" s="42">
        <v>25</v>
      </c>
      <c r="W322" s="42">
        <v>4</v>
      </c>
      <c r="X322" s="42">
        <v>265</v>
      </c>
      <c r="Y322" s="43">
        <v>130</v>
      </c>
      <c r="Z322" s="43">
        <v>150</v>
      </c>
      <c r="AA322" s="43">
        <v>30</v>
      </c>
      <c r="AB322" s="43">
        <v>95</v>
      </c>
      <c r="AC322" s="43">
        <v>250</v>
      </c>
      <c r="AD322" s="43">
        <v>260</v>
      </c>
      <c r="AE322" s="43">
        <v>280</v>
      </c>
      <c r="AF322" s="43">
        <v>200</v>
      </c>
      <c r="AG322" s="43">
        <v>30</v>
      </c>
      <c r="AH322" s="43">
        <v>6</v>
      </c>
      <c r="AI322" s="43">
        <v>300</v>
      </c>
      <c r="AJ322" s="41">
        <f t="shared" si="36"/>
        <v>650</v>
      </c>
      <c r="AK322" s="41">
        <f t="shared" si="41"/>
        <v>0</v>
      </c>
      <c r="AL322" s="41">
        <f t="shared" si="41"/>
        <v>0</v>
      </c>
      <c r="AM322" s="41">
        <f t="shared" si="41"/>
        <v>0</v>
      </c>
      <c r="AN322" s="41">
        <f t="shared" si="41"/>
        <v>0</v>
      </c>
      <c r="AO322" s="41">
        <f t="shared" si="41"/>
        <v>585</v>
      </c>
      <c r="AP322" s="41">
        <f t="shared" si="40"/>
        <v>420</v>
      </c>
      <c r="AQ322" s="41">
        <f t="shared" si="40"/>
        <v>0</v>
      </c>
      <c r="AR322" s="41">
        <f t="shared" si="40"/>
        <v>30</v>
      </c>
      <c r="AS322" s="41">
        <f t="shared" si="40"/>
        <v>90</v>
      </c>
      <c r="AT322" s="41">
        <f t="shared" si="40"/>
        <v>0</v>
      </c>
      <c r="AU322" s="43">
        <f t="shared" si="43"/>
        <v>100</v>
      </c>
      <c r="AV322" s="43">
        <f t="shared" si="42"/>
        <v>0</v>
      </c>
      <c r="AW322" s="43">
        <f t="shared" si="42"/>
        <v>0</v>
      </c>
      <c r="AX322" s="43">
        <f t="shared" si="42"/>
        <v>0</v>
      </c>
      <c r="AY322" s="43">
        <f t="shared" si="42"/>
        <v>0</v>
      </c>
      <c r="AZ322" s="43">
        <f t="shared" si="42"/>
        <v>67.5</v>
      </c>
      <c r="BA322" s="43">
        <f t="shared" si="42"/>
        <v>45</v>
      </c>
      <c r="BB322" s="43">
        <f t="shared" si="42"/>
        <v>0</v>
      </c>
      <c r="BC322" s="43">
        <f t="shared" si="39"/>
        <v>5</v>
      </c>
      <c r="BD322" s="43">
        <f t="shared" si="39"/>
        <v>30</v>
      </c>
      <c r="BE322" s="43">
        <f t="shared" si="39"/>
        <v>0</v>
      </c>
      <c r="BF322" s="41">
        <f t="shared" si="37"/>
        <v>247.5</v>
      </c>
      <c r="BG322" s="41" t="str">
        <f t="array" ref="BG322">_xlfn.IFS(
OR(MONTH(A322)=11,MONTH(A322)=12,MONTH(A322)=1,MONTH(A322)=2),"Winter",
OR(MONTH(A322)=3,MONTH(A322)=4),"Spring",
OR(MONTH(A322)=5,MONTH(A322)=6),"Summer",
OR(MONTH(A322)=7,MONTH(A322)=8,MONTH(A322)=9),"Monsoon",
MONTH(A322)=10,"Autumn/Festive",
TRUE,""
)</f>
        <v>Winter</v>
      </c>
    </row>
    <row r="323" spans="1:59" x14ac:dyDescent="0.3">
      <c r="A323" s="39">
        <v>45648</v>
      </c>
      <c r="B323" s="40" t="str">
        <f t="shared" si="35"/>
        <v>December</v>
      </c>
      <c r="C323" s="41">
        <v>2</v>
      </c>
      <c r="D323" s="41">
        <v>0</v>
      </c>
      <c r="E323" s="41">
        <v>0</v>
      </c>
      <c r="F323" s="41">
        <v>0</v>
      </c>
      <c r="G323" s="41">
        <v>0</v>
      </c>
      <c r="H323" s="41">
        <v>1</v>
      </c>
      <c r="I323" s="41">
        <v>1</v>
      </c>
      <c r="J323" s="41">
        <v>0</v>
      </c>
      <c r="K323" s="41">
        <v>1</v>
      </c>
      <c r="L323" s="41">
        <v>0</v>
      </c>
      <c r="M323" s="41">
        <v>1</v>
      </c>
      <c r="N323" s="42">
        <v>110</v>
      </c>
      <c r="O323" s="42">
        <v>110</v>
      </c>
      <c r="P323" s="42">
        <v>26</v>
      </c>
      <c r="Q323" s="42">
        <v>65</v>
      </c>
      <c r="R323" s="42">
        <v>200</v>
      </c>
      <c r="S323" s="42">
        <v>230</v>
      </c>
      <c r="T323" s="42">
        <v>250</v>
      </c>
      <c r="U323" s="42">
        <v>170</v>
      </c>
      <c r="V323" s="42">
        <v>25</v>
      </c>
      <c r="W323" s="42">
        <v>4</v>
      </c>
      <c r="X323" s="42">
        <v>265</v>
      </c>
      <c r="Y323" s="43">
        <v>130</v>
      </c>
      <c r="Z323" s="43">
        <v>150</v>
      </c>
      <c r="AA323" s="43">
        <v>30</v>
      </c>
      <c r="AB323" s="43">
        <v>95</v>
      </c>
      <c r="AC323" s="43">
        <v>250</v>
      </c>
      <c r="AD323" s="43">
        <v>260</v>
      </c>
      <c r="AE323" s="43">
        <v>280</v>
      </c>
      <c r="AF323" s="43">
        <v>200</v>
      </c>
      <c r="AG323" s="43">
        <v>30</v>
      </c>
      <c r="AH323" s="43">
        <v>6</v>
      </c>
      <c r="AI323" s="43">
        <v>300</v>
      </c>
      <c r="AJ323" s="41">
        <f t="shared" si="36"/>
        <v>260</v>
      </c>
      <c r="AK323" s="41">
        <f t="shared" si="41"/>
        <v>0</v>
      </c>
      <c r="AL323" s="41">
        <f t="shared" si="41"/>
        <v>0</v>
      </c>
      <c r="AM323" s="41">
        <f t="shared" si="41"/>
        <v>0</v>
      </c>
      <c r="AN323" s="41">
        <f t="shared" si="41"/>
        <v>0</v>
      </c>
      <c r="AO323" s="41">
        <f t="shared" si="41"/>
        <v>260</v>
      </c>
      <c r="AP323" s="41">
        <f t="shared" si="40"/>
        <v>280</v>
      </c>
      <c r="AQ323" s="41">
        <f t="shared" si="40"/>
        <v>0</v>
      </c>
      <c r="AR323" s="41">
        <f t="shared" si="40"/>
        <v>30</v>
      </c>
      <c r="AS323" s="41">
        <f t="shared" si="40"/>
        <v>0</v>
      </c>
      <c r="AT323" s="41">
        <f t="shared" si="40"/>
        <v>300</v>
      </c>
      <c r="AU323" s="43">
        <f t="shared" si="43"/>
        <v>40</v>
      </c>
      <c r="AV323" s="43">
        <f t="shared" si="42"/>
        <v>0</v>
      </c>
      <c r="AW323" s="43">
        <f t="shared" si="42"/>
        <v>0</v>
      </c>
      <c r="AX323" s="43">
        <f t="shared" si="42"/>
        <v>0</v>
      </c>
      <c r="AY323" s="43">
        <f t="shared" si="42"/>
        <v>0</v>
      </c>
      <c r="AZ323" s="43">
        <f t="shared" si="42"/>
        <v>30</v>
      </c>
      <c r="BA323" s="43">
        <f t="shared" si="42"/>
        <v>30</v>
      </c>
      <c r="BB323" s="43">
        <f t="shared" si="42"/>
        <v>0</v>
      </c>
      <c r="BC323" s="43">
        <f t="shared" si="39"/>
        <v>5</v>
      </c>
      <c r="BD323" s="43">
        <f t="shared" si="39"/>
        <v>0</v>
      </c>
      <c r="BE323" s="43">
        <f t="shared" si="39"/>
        <v>35</v>
      </c>
      <c r="BF323" s="41">
        <f t="shared" si="37"/>
        <v>140</v>
      </c>
      <c r="BG323" s="41" t="str">
        <f t="array" ref="BG323">_xlfn.IFS(
OR(MONTH(A323)=11,MONTH(A323)=12,MONTH(A323)=1,MONTH(A323)=2),"Winter",
OR(MONTH(A323)=3,MONTH(A323)=4),"Spring",
OR(MONTH(A323)=5,MONTH(A323)=6),"Summer",
OR(MONTH(A323)=7,MONTH(A323)=8,MONTH(A323)=9),"Monsoon",
MONTH(A323)=10,"Autumn/Festive",
TRUE,""
)</f>
        <v>Winter</v>
      </c>
    </row>
    <row r="324" spans="1:59" x14ac:dyDescent="0.3">
      <c r="A324" s="39">
        <v>45649</v>
      </c>
      <c r="B324" s="40" t="str">
        <f t="shared" ref="B324:B363" si="44">TEXT(A324,"mmmm")</f>
        <v>December</v>
      </c>
      <c r="C324" s="41">
        <v>5</v>
      </c>
      <c r="D324" s="41">
        <v>0</v>
      </c>
      <c r="E324" s="41">
        <v>0</v>
      </c>
      <c r="F324" s="41">
        <v>0</v>
      </c>
      <c r="G324" s="41">
        <v>0</v>
      </c>
      <c r="H324" s="41">
        <v>1.25</v>
      </c>
      <c r="I324" s="41">
        <v>2</v>
      </c>
      <c r="J324" s="41">
        <v>1</v>
      </c>
      <c r="K324" s="41">
        <v>0</v>
      </c>
      <c r="L324" s="41">
        <v>0</v>
      </c>
      <c r="M324" s="41">
        <v>1</v>
      </c>
      <c r="N324" s="42">
        <v>110</v>
      </c>
      <c r="O324" s="42">
        <v>110</v>
      </c>
      <c r="P324" s="42">
        <v>26</v>
      </c>
      <c r="Q324" s="42">
        <v>65</v>
      </c>
      <c r="R324" s="42">
        <v>200</v>
      </c>
      <c r="S324" s="42">
        <v>230</v>
      </c>
      <c r="T324" s="42">
        <v>250</v>
      </c>
      <c r="U324" s="42">
        <v>170</v>
      </c>
      <c r="V324" s="42">
        <v>25</v>
      </c>
      <c r="W324" s="42">
        <v>4</v>
      </c>
      <c r="X324" s="42">
        <v>265</v>
      </c>
      <c r="Y324" s="43">
        <v>130</v>
      </c>
      <c r="Z324" s="43">
        <v>150</v>
      </c>
      <c r="AA324" s="43">
        <v>30</v>
      </c>
      <c r="AB324" s="43">
        <v>95</v>
      </c>
      <c r="AC324" s="43">
        <v>250</v>
      </c>
      <c r="AD324" s="43">
        <v>260</v>
      </c>
      <c r="AE324" s="43">
        <v>280</v>
      </c>
      <c r="AF324" s="43">
        <v>200</v>
      </c>
      <c r="AG324" s="43">
        <v>30</v>
      </c>
      <c r="AH324" s="43">
        <v>6</v>
      </c>
      <c r="AI324" s="43">
        <v>300</v>
      </c>
      <c r="AJ324" s="41">
        <f t="shared" ref="AJ324:AJ363" si="45" xml:space="preserve"> Y324*C324</f>
        <v>650</v>
      </c>
      <c r="AK324" s="41">
        <f t="shared" si="41"/>
        <v>0</v>
      </c>
      <c r="AL324" s="41">
        <f t="shared" si="41"/>
        <v>0</v>
      </c>
      <c r="AM324" s="41">
        <f t="shared" si="41"/>
        <v>0</v>
      </c>
      <c r="AN324" s="41">
        <f t="shared" si="41"/>
        <v>0</v>
      </c>
      <c r="AO324" s="41">
        <f t="shared" si="41"/>
        <v>325</v>
      </c>
      <c r="AP324" s="41">
        <f t="shared" si="40"/>
        <v>560</v>
      </c>
      <c r="AQ324" s="41">
        <f t="shared" si="40"/>
        <v>200</v>
      </c>
      <c r="AR324" s="41">
        <f t="shared" si="40"/>
        <v>0</v>
      </c>
      <c r="AS324" s="41">
        <f t="shared" si="40"/>
        <v>0</v>
      </c>
      <c r="AT324" s="41">
        <f t="shared" si="40"/>
        <v>300</v>
      </c>
      <c r="AU324" s="43">
        <f t="shared" si="43"/>
        <v>100</v>
      </c>
      <c r="AV324" s="43">
        <f t="shared" si="42"/>
        <v>0</v>
      </c>
      <c r="AW324" s="43">
        <f t="shared" si="42"/>
        <v>0</v>
      </c>
      <c r="AX324" s="43">
        <f t="shared" si="42"/>
        <v>0</v>
      </c>
      <c r="AY324" s="43">
        <f t="shared" si="42"/>
        <v>0</v>
      </c>
      <c r="AZ324" s="43">
        <f t="shared" si="42"/>
        <v>37.5</v>
      </c>
      <c r="BA324" s="43">
        <f t="shared" si="42"/>
        <v>60</v>
      </c>
      <c r="BB324" s="43">
        <f t="shared" si="42"/>
        <v>30</v>
      </c>
      <c r="BC324" s="43">
        <f t="shared" si="39"/>
        <v>0</v>
      </c>
      <c r="BD324" s="43">
        <f t="shared" si="39"/>
        <v>0</v>
      </c>
      <c r="BE324" s="43">
        <f t="shared" si="39"/>
        <v>35</v>
      </c>
      <c r="BF324" s="41">
        <f t="shared" ref="BF324:BF363" si="46">SUM(AU324:BE324)</f>
        <v>262.5</v>
      </c>
      <c r="BG324" s="41" t="str">
        <f t="array" ref="BG324">_xlfn.IFS(
OR(MONTH(A324)=11,MONTH(A324)=12,MONTH(A324)=1,MONTH(A324)=2),"Winter",
OR(MONTH(A324)=3,MONTH(A324)=4),"Spring",
OR(MONTH(A324)=5,MONTH(A324)=6),"Summer",
OR(MONTH(A324)=7,MONTH(A324)=8,MONTH(A324)=9),"Monsoon",
MONTH(A324)=10,"Autumn/Festive",
TRUE,""
)</f>
        <v>Winter</v>
      </c>
    </row>
    <row r="325" spans="1:59" x14ac:dyDescent="0.3">
      <c r="A325" s="39">
        <v>45650</v>
      </c>
      <c r="B325" s="40" t="str">
        <f t="shared" si="44"/>
        <v>December</v>
      </c>
      <c r="C325" s="41">
        <v>5</v>
      </c>
      <c r="D325" s="41">
        <v>0</v>
      </c>
      <c r="E325" s="41">
        <v>0</v>
      </c>
      <c r="F325" s="41">
        <v>0</v>
      </c>
      <c r="G325" s="41">
        <v>0</v>
      </c>
      <c r="H325" s="41">
        <v>2.75</v>
      </c>
      <c r="I325" s="41">
        <v>1.25</v>
      </c>
      <c r="J325" s="41">
        <v>0</v>
      </c>
      <c r="K325" s="41">
        <v>0</v>
      </c>
      <c r="L325" s="41">
        <v>12</v>
      </c>
      <c r="M325" s="41">
        <v>1</v>
      </c>
      <c r="N325" s="42">
        <v>110</v>
      </c>
      <c r="O325" s="42">
        <v>110</v>
      </c>
      <c r="P325" s="42">
        <v>26</v>
      </c>
      <c r="Q325" s="42">
        <v>65</v>
      </c>
      <c r="R325" s="42">
        <v>200</v>
      </c>
      <c r="S325" s="42">
        <v>230</v>
      </c>
      <c r="T325" s="42">
        <v>250</v>
      </c>
      <c r="U325" s="42">
        <v>170</v>
      </c>
      <c r="V325" s="42">
        <v>25</v>
      </c>
      <c r="W325" s="42">
        <v>4</v>
      </c>
      <c r="X325" s="42">
        <v>265</v>
      </c>
      <c r="Y325" s="43">
        <v>130</v>
      </c>
      <c r="Z325" s="43">
        <v>150</v>
      </c>
      <c r="AA325" s="43">
        <v>30</v>
      </c>
      <c r="AB325" s="43">
        <v>95</v>
      </c>
      <c r="AC325" s="43">
        <v>250</v>
      </c>
      <c r="AD325" s="43">
        <v>260</v>
      </c>
      <c r="AE325" s="43">
        <v>280</v>
      </c>
      <c r="AF325" s="43">
        <v>200</v>
      </c>
      <c r="AG325" s="43">
        <v>30</v>
      </c>
      <c r="AH325" s="43">
        <v>6</v>
      </c>
      <c r="AI325" s="43">
        <v>300</v>
      </c>
      <c r="AJ325" s="41">
        <f t="shared" si="45"/>
        <v>650</v>
      </c>
      <c r="AK325" s="41">
        <f t="shared" si="41"/>
        <v>0</v>
      </c>
      <c r="AL325" s="41">
        <f t="shared" si="41"/>
        <v>0</v>
      </c>
      <c r="AM325" s="41">
        <f t="shared" si="41"/>
        <v>0</v>
      </c>
      <c r="AN325" s="41">
        <f t="shared" si="41"/>
        <v>0</v>
      </c>
      <c r="AO325" s="41">
        <f t="shared" si="41"/>
        <v>715</v>
      </c>
      <c r="AP325" s="41">
        <f t="shared" si="40"/>
        <v>350</v>
      </c>
      <c r="AQ325" s="41">
        <f t="shared" si="40"/>
        <v>0</v>
      </c>
      <c r="AR325" s="41">
        <f t="shared" si="40"/>
        <v>0</v>
      </c>
      <c r="AS325" s="41">
        <f t="shared" si="40"/>
        <v>72</v>
      </c>
      <c r="AT325" s="41">
        <f t="shared" si="40"/>
        <v>300</v>
      </c>
      <c r="AU325" s="43">
        <f t="shared" si="43"/>
        <v>100</v>
      </c>
      <c r="AV325" s="43">
        <f t="shared" si="42"/>
        <v>0</v>
      </c>
      <c r="AW325" s="43">
        <f t="shared" si="42"/>
        <v>0</v>
      </c>
      <c r="AX325" s="43">
        <f t="shared" si="42"/>
        <v>0</v>
      </c>
      <c r="AY325" s="43">
        <f t="shared" si="42"/>
        <v>0</v>
      </c>
      <c r="AZ325" s="43">
        <f t="shared" si="42"/>
        <v>82.5</v>
      </c>
      <c r="BA325" s="43">
        <f t="shared" si="42"/>
        <v>37.5</v>
      </c>
      <c r="BB325" s="43">
        <f t="shared" si="42"/>
        <v>0</v>
      </c>
      <c r="BC325" s="43">
        <f t="shared" si="39"/>
        <v>0</v>
      </c>
      <c r="BD325" s="43">
        <f t="shared" si="39"/>
        <v>24</v>
      </c>
      <c r="BE325" s="43">
        <f t="shared" si="39"/>
        <v>35</v>
      </c>
      <c r="BF325" s="41">
        <f t="shared" si="46"/>
        <v>279</v>
      </c>
      <c r="BG325" s="41" t="str">
        <f t="array" ref="BG325">_xlfn.IFS(
OR(MONTH(A325)=11,MONTH(A325)=12,MONTH(A325)=1,MONTH(A325)=2),"Winter",
OR(MONTH(A325)=3,MONTH(A325)=4),"Spring",
OR(MONTH(A325)=5,MONTH(A325)=6),"Summer",
OR(MONTH(A325)=7,MONTH(A325)=8,MONTH(A325)=9),"Monsoon",
MONTH(A325)=10,"Autumn/Festive",
TRUE,""
)</f>
        <v>Winter</v>
      </c>
    </row>
    <row r="326" spans="1:59" x14ac:dyDescent="0.3">
      <c r="A326" s="39">
        <v>45651</v>
      </c>
      <c r="B326" s="40" t="str">
        <f t="shared" si="44"/>
        <v>December</v>
      </c>
      <c r="C326" s="41">
        <v>5</v>
      </c>
      <c r="D326" s="41">
        <v>0</v>
      </c>
      <c r="E326" s="41">
        <v>0</v>
      </c>
      <c r="F326" s="41">
        <v>0</v>
      </c>
      <c r="G326" s="41">
        <v>0</v>
      </c>
      <c r="H326" s="41">
        <v>0</v>
      </c>
      <c r="I326" s="41">
        <v>3</v>
      </c>
      <c r="J326" s="41">
        <v>0</v>
      </c>
      <c r="K326" s="41">
        <v>1</v>
      </c>
      <c r="L326" s="41">
        <v>12</v>
      </c>
      <c r="M326" s="41">
        <v>0</v>
      </c>
      <c r="N326" s="42">
        <v>110</v>
      </c>
      <c r="O326" s="42">
        <v>110</v>
      </c>
      <c r="P326" s="42">
        <v>26</v>
      </c>
      <c r="Q326" s="42">
        <v>65</v>
      </c>
      <c r="R326" s="42">
        <v>200</v>
      </c>
      <c r="S326" s="42">
        <v>230</v>
      </c>
      <c r="T326" s="42">
        <v>250</v>
      </c>
      <c r="U326" s="42">
        <v>170</v>
      </c>
      <c r="V326" s="42">
        <v>25</v>
      </c>
      <c r="W326" s="42">
        <v>4</v>
      </c>
      <c r="X326" s="42">
        <v>265</v>
      </c>
      <c r="Y326" s="43">
        <v>130</v>
      </c>
      <c r="Z326" s="43">
        <v>150</v>
      </c>
      <c r="AA326" s="43">
        <v>30</v>
      </c>
      <c r="AB326" s="43">
        <v>95</v>
      </c>
      <c r="AC326" s="43">
        <v>250</v>
      </c>
      <c r="AD326" s="43">
        <v>260</v>
      </c>
      <c r="AE326" s="43">
        <v>280</v>
      </c>
      <c r="AF326" s="43">
        <v>200</v>
      </c>
      <c r="AG326" s="43">
        <v>30</v>
      </c>
      <c r="AH326" s="43">
        <v>6</v>
      </c>
      <c r="AI326" s="43">
        <v>300</v>
      </c>
      <c r="AJ326" s="41">
        <f t="shared" si="45"/>
        <v>650</v>
      </c>
      <c r="AK326" s="41">
        <f t="shared" si="41"/>
        <v>0</v>
      </c>
      <c r="AL326" s="41">
        <f t="shared" si="41"/>
        <v>0</v>
      </c>
      <c r="AM326" s="41">
        <f t="shared" si="41"/>
        <v>0</v>
      </c>
      <c r="AN326" s="41">
        <f t="shared" si="41"/>
        <v>0</v>
      </c>
      <c r="AO326" s="41">
        <f t="shared" si="41"/>
        <v>0</v>
      </c>
      <c r="AP326" s="41">
        <f t="shared" si="40"/>
        <v>840</v>
      </c>
      <c r="AQ326" s="41">
        <f t="shared" si="40"/>
        <v>0</v>
      </c>
      <c r="AR326" s="41">
        <f t="shared" si="40"/>
        <v>30</v>
      </c>
      <c r="AS326" s="41">
        <f t="shared" si="40"/>
        <v>72</v>
      </c>
      <c r="AT326" s="41">
        <f t="shared" si="40"/>
        <v>0</v>
      </c>
      <c r="AU326" s="43">
        <f t="shared" si="43"/>
        <v>100</v>
      </c>
      <c r="AV326" s="43">
        <f t="shared" si="42"/>
        <v>0</v>
      </c>
      <c r="AW326" s="43">
        <f t="shared" si="42"/>
        <v>0</v>
      </c>
      <c r="AX326" s="43">
        <f t="shared" si="42"/>
        <v>0</v>
      </c>
      <c r="AY326" s="43">
        <f t="shared" si="42"/>
        <v>0</v>
      </c>
      <c r="AZ326" s="43">
        <f t="shared" si="42"/>
        <v>0</v>
      </c>
      <c r="BA326" s="43">
        <f t="shared" si="42"/>
        <v>90</v>
      </c>
      <c r="BB326" s="43">
        <f t="shared" si="42"/>
        <v>0</v>
      </c>
      <c r="BC326" s="43">
        <f t="shared" si="39"/>
        <v>5</v>
      </c>
      <c r="BD326" s="43">
        <f t="shared" si="39"/>
        <v>24</v>
      </c>
      <c r="BE326" s="43">
        <f t="shared" si="39"/>
        <v>0</v>
      </c>
      <c r="BF326" s="41">
        <f t="shared" si="46"/>
        <v>219</v>
      </c>
      <c r="BG326" s="41" t="str">
        <f t="array" ref="BG326">_xlfn.IFS(
OR(MONTH(A326)=11,MONTH(A326)=12,MONTH(A326)=1,MONTH(A326)=2),"Winter",
OR(MONTH(A326)=3,MONTH(A326)=4),"Spring",
OR(MONTH(A326)=5,MONTH(A326)=6),"Summer",
OR(MONTH(A326)=7,MONTH(A326)=8,MONTH(A326)=9),"Monsoon",
MONTH(A326)=10,"Autumn/Festive",
TRUE,""
)</f>
        <v>Winter</v>
      </c>
    </row>
    <row r="327" spans="1:59" x14ac:dyDescent="0.3">
      <c r="A327" s="39">
        <v>45652</v>
      </c>
      <c r="B327" s="40" t="str">
        <f t="shared" si="44"/>
        <v>December</v>
      </c>
      <c r="C327" s="41">
        <v>4</v>
      </c>
      <c r="D327" s="41">
        <v>0</v>
      </c>
      <c r="E327" s="41">
        <v>0</v>
      </c>
      <c r="F327" s="41">
        <v>0</v>
      </c>
      <c r="G327" s="41">
        <v>0</v>
      </c>
      <c r="H327" s="41">
        <v>7.25</v>
      </c>
      <c r="I327" s="41">
        <v>4.25</v>
      </c>
      <c r="J327" s="41">
        <v>0</v>
      </c>
      <c r="K327" s="41">
        <v>0</v>
      </c>
      <c r="L327" s="41">
        <v>18</v>
      </c>
      <c r="M327" s="41">
        <v>2</v>
      </c>
      <c r="N327" s="42">
        <v>110</v>
      </c>
      <c r="O327" s="42">
        <v>110</v>
      </c>
      <c r="P327" s="42">
        <v>26</v>
      </c>
      <c r="Q327" s="42">
        <v>65</v>
      </c>
      <c r="R327" s="42">
        <v>200</v>
      </c>
      <c r="S327" s="42">
        <v>230</v>
      </c>
      <c r="T327" s="42">
        <v>250</v>
      </c>
      <c r="U327" s="42">
        <v>170</v>
      </c>
      <c r="V327" s="42">
        <v>25</v>
      </c>
      <c r="W327" s="42">
        <v>4</v>
      </c>
      <c r="X327" s="42">
        <v>265</v>
      </c>
      <c r="Y327" s="43">
        <v>130</v>
      </c>
      <c r="Z327" s="43">
        <v>150</v>
      </c>
      <c r="AA327" s="43">
        <v>30</v>
      </c>
      <c r="AB327" s="43">
        <v>95</v>
      </c>
      <c r="AC327" s="43">
        <v>250</v>
      </c>
      <c r="AD327" s="43">
        <v>260</v>
      </c>
      <c r="AE327" s="43">
        <v>280</v>
      </c>
      <c r="AF327" s="43">
        <v>200</v>
      </c>
      <c r="AG327" s="43">
        <v>30</v>
      </c>
      <c r="AH327" s="43">
        <v>6</v>
      </c>
      <c r="AI327" s="43">
        <v>300</v>
      </c>
      <c r="AJ327" s="41">
        <f t="shared" si="45"/>
        <v>520</v>
      </c>
      <c r="AK327" s="41">
        <f t="shared" si="41"/>
        <v>0</v>
      </c>
      <c r="AL327" s="41">
        <f t="shared" si="41"/>
        <v>0</v>
      </c>
      <c r="AM327" s="41">
        <f t="shared" si="41"/>
        <v>0</v>
      </c>
      <c r="AN327" s="41">
        <f t="shared" si="41"/>
        <v>0</v>
      </c>
      <c r="AO327" s="41">
        <f t="shared" si="41"/>
        <v>1885</v>
      </c>
      <c r="AP327" s="41">
        <f t="shared" si="40"/>
        <v>1190</v>
      </c>
      <c r="AQ327" s="41">
        <f t="shared" si="40"/>
        <v>0</v>
      </c>
      <c r="AR327" s="41">
        <f t="shared" si="40"/>
        <v>0</v>
      </c>
      <c r="AS327" s="41">
        <f t="shared" si="40"/>
        <v>108</v>
      </c>
      <c r="AT327" s="41">
        <f t="shared" si="40"/>
        <v>600</v>
      </c>
      <c r="AU327" s="43">
        <f t="shared" si="43"/>
        <v>80</v>
      </c>
      <c r="AV327" s="43">
        <f t="shared" si="42"/>
        <v>0</v>
      </c>
      <c r="AW327" s="43">
        <f t="shared" si="42"/>
        <v>0</v>
      </c>
      <c r="AX327" s="43">
        <f t="shared" si="42"/>
        <v>0</v>
      </c>
      <c r="AY327" s="43">
        <f t="shared" si="42"/>
        <v>0</v>
      </c>
      <c r="AZ327" s="43">
        <f t="shared" si="42"/>
        <v>217.5</v>
      </c>
      <c r="BA327" s="43">
        <f t="shared" si="42"/>
        <v>127.5</v>
      </c>
      <c r="BB327" s="43">
        <f t="shared" si="42"/>
        <v>0</v>
      </c>
      <c r="BC327" s="43">
        <f t="shared" si="39"/>
        <v>0</v>
      </c>
      <c r="BD327" s="43">
        <f t="shared" si="39"/>
        <v>36</v>
      </c>
      <c r="BE327" s="43">
        <f t="shared" si="39"/>
        <v>70</v>
      </c>
      <c r="BF327" s="41">
        <f t="shared" si="46"/>
        <v>531</v>
      </c>
      <c r="BG327" s="41" t="str">
        <f t="array" ref="BG327">_xlfn.IFS(
OR(MONTH(A327)=11,MONTH(A327)=12,MONTH(A327)=1,MONTH(A327)=2),"Winter",
OR(MONTH(A327)=3,MONTH(A327)=4),"Spring",
OR(MONTH(A327)=5,MONTH(A327)=6),"Summer",
OR(MONTH(A327)=7,MONTH(A327)=8,MONTH(A327)=9),"Monsoon",
MONTH(A327)=10,"Autumn/Festive",
TRUE,""
)</f>
        <v>Winter</v>
      </c>
    </row>
    <row r="328" spans="1:59" x14ac:dyDescent="0.3">
      <c r="A328" s="39">
        <v>45653</v>
      </c>
      <c r="B328" s="40" t="str">
        <f t="shared" si="44"/>
        <v>December</v>
      </c>
      <c r="C328" s="41">
        <v>0</v>
      </c>
      <c r="D328" s="41">
        <v>0</v>
      </c>
      <c r="E328" s="41">
        <v>0</v>
      </c>
      <c r="F328" s="41">
        <v>0</v>
      </c>
      <c r="G328" s="41">
        <v>0</v>
      </c>
      <c r="H328" s="41">
        <v>0.25</v>
      </c>
      <c r="I328" s="41">
        <v>2.5</v>
      </c>
      <c r="J328" s="41">
        <v>0</v>
      </c>
      <c r="K328" s="41">
        <v>1</v>
      </c>
      <c r="L328" s="41">
        <v>6</v>
      </c>
      <c r="M328" s="41">
        <v>0.5</v>
      </c>
      <c r="N328" s="42">
        <v>110</v>
      </c>
      <c r="O328" s="42">
        <v>110</v>
      </c>
      <c r="P328" s="42">
        <v>26</v>
      </c>
      <c r="Q328" s="42">
        <v>65</v>
      </c>
      <c r="R328" s="42">
        <v>200</v>
      </c>
      <c r="S328" s="42">
        <v>230</v>
      </c>
      <c r="T328" s="42">
        <v>250</v>
      </c>
      <c r="U328" s="42">
        <v>170</v>
      </c>
      <c r="V328" s="42">
        <v>25</v>
      </c>
      <c r="W328" s="42">
        <v>4</v>
      </c>
      <c r="X328" s="42">
        <v>265</v>
      </c>
      <c r="Y328" s="43">
        <v>130</v>
      </c>
      <c r="Z328" s="43">
        <v>150</v>
      </c>
      <c r="AA328" s="43">
        <v>30</v>
      </c>
      <c r="AB328" s="43">
        <v>95</v>
      </c>
      <c r="AC328" s="43">
        <v>250</v>
      </c>
      <c r="AD328" s="43">
        <v>260</v>
      </c>
      <c r="AE328" s="43">
        <v>280</v>
      </c>
      <c r="AF328" s="43">
        <v>200</v>
      </c>
      <c r="AG328" s="43">
        <v>30</v>
      </c>
      <c r="AH328" s="43">
        <v>6</v>
      </c>
      <c r="AI328" s="43">
        <v>300</v>
      </c>
      <c r="AJ328" s="41">
        <f t="shared" si="45"/>
        <v>0</v>
      </c>
      <c r="AK328" s="41">
        <f t="shared" si="41"/>
        <v>0</v>
      </c>
      <c r="AL328" s="41">
        <f t="shared" si="41"/>
        <v>0</v>
      </c>
      <c r="AM328" s="41">
        <f t="shared" si="41"/>
        <v>0</v>
      </c>
      <c r="AN328" s="41">
        <f t="shared" si="41"/>
        <v>0</v>
      </c>
      <c r="AO328" s="41">
        <f t="shared" si="41"/>
        <v>65</v>
      </c>
      <c r="AP328" s="41">
        <f t="shared" si="40"/>
        <v>700</v>
      </c>
      <c r="AQ328" s="41">
        <f t="shared" si="40"/>
        <v>0</v>
      </c>
      <c r="AR328" s="41">
        <f t="shared" si="40"/>
        <v>30</v>
      </c>
      <c r="AS328" s="41">
        <f t="shared" si="40"/>
        <v>36</v>
      </c>
      <c r="AT328" s="41">
        <f t="shared" si="40"/>
        <v>150</v>
      </c>
      <c r="AU328" s="43">
        <f t="shared" si="43"/>
        <v>0</v>
      </c>
      <c r="AV328" s="43">
        <f t="shared" si="42"/>
        <v>0</v>
      </c>
      <c r="AW328" s="43">
        <f t="shared" si="42"/>
        <v>0</v>
      </c>
      <c r="AX328" s="43">
        <f t="shared" si="42"/>
        <v>0</v>
      </c>
      <c r="AY328" s="43">
        <f t="shared" si="42"/>
        <v>0</v>
      </c>
      <c r="AZ328" s="43">
        <f t="shared" si="42"/>
        <v>7.5</v>
      </c>
      <c r="BA328" s="43">
        <f t="shared" si="42"/>
        <v>75</v>
      </c>
      <c r="BB328" s="43">
        <f t="shared" si="42"/>
        <v>0</v>
      </c>
      <c r="BC328" s="43">
        <f t="shared" si="39"/>
        <v>5</v>
      </c>
      <c r="BD328" s="43">
        <f t="shared" si="39"/>
        <v>12</v>
      </c>
      <c r="BE328" s="43">
        <f t="shared" si="39"/>
        <v>17.5</v>
      </c>
      <c r="BF328" s="41">
        <f t="shared" si="46"/>
        <v>117</v>
      </c>
      <c r="BG328" s="41" t="str">
        <f t="array" ref="BG328">_xlfn.IFS(
OR(MONTH(A328)=11,MONTH(A328)=12,MONTH(A328)=1,MONTH(A328)=2),"Winter",
OR(MONTH(A328)=3,MONTH(A328)=4),"Spring",
OR(MONTH(A328)=5,MONTH(A328)=6),"Summer",
OR(MONTH(A328)=7,MONTH(A328)=8,MONTH(A328)=9),"Monsoon",
MONTH(A328)=10,"Autumn/Festive",
TRUE,""
)</f>
        <v>Winter</v>
      </c>
    </row>
    <row r="329" spans="1:59" x14ac:dyDescent="0.3">
      <c r="A329" s="39">
        <v>45654</v>
      </c>
      <c r="B329" s="40" t="str">
        <f t="shared" si="44"/>
        <v>December</v>
      </c>
      <c r="C329" s="41">
        <v>0</v>
      </c>
      <c r="D329" s="41">
        <v>0</v>
      </c>
      <c r="E329" s="41">
        <v>0</v>
      </c>
      <c r="F329" s="41">
        <v>0</v>
      </c>
      <c r="G329" s="41">
        <v>0</v>
      </c>
      <c r="H329" s="41">
        <v>0.5</v>
      </c>
      <c r="I329" s="41">
        <v>2.5</v>
      </c>
      <c r="J329" s="41">
        <v>0</v>
      </c>
      <c r="K329" s="41">
        <v>0</v>
      </c>
      <c r="L329" s="41">
        <v>0</v>
      </c>
      <c r="M329" s="41">
        <v>1</v>
      </c>
      <c r="N329" s="42">
        <v>110</v>
      </c>
      <c r="O329" s="42">
        <v>110</v>
      </c>
      <c r="P329" s="42">
        <v>26</v>
      </c>
      <c r="Q329" s="42">
        <v>65</v>
      </c>
      <c r="R329" s="42">
        <v>200</v>
      </c>
      <c r="S329" s="42">
        <v>230</v>
      </c>
      <c r="T329" s="42">
        <v>250</v>
      </c>
      <c r="U329" s="42">
        <v>170</v>
      </c>
      <c r="V329" s="42">
        <v>25</v>
      </c>
      <c r="W329" s="42">
        <v>4</v>
      </c>
      <c r="X329" s="42">
        <v>265</v>
      </c>
      <c r="Y329" s="43">
        <v>130</v>
      </c>
      <c r="Z329" s="43">
        <v>150</v>
      </c>
      <c r="AA329" s="43">
        <v>30</v>
      </c>
      <c r="AB329" s="43">
        <v>95</v>
      </c>
      <c r="AC329" s="43">
        <v>250</v>
      </c>
      <c r="AD329" s="43">
        <v>260</v>
      </c>
      <c r="AE329" s="43">
        <v>280</v>
      </c>
      <c r="AF329" s="43">
        <v>200</v>
      </c>
      <c r="AG329" s="43">
        <v>30</v>
      </c>
      <c r="AH329" s="43">
        <v>6</v>
      </c>
      <c r="AI329" s="43">
        <v>300</v>
      </c>
      <c r="AJ329" s="41">
        <f t="shared" si="45"/>
        <v>0</v>
      </c>
      <c r="AK329" s="41">
        <f t="shared" si="41"/>
        <v>0</v>
      </c>
      <c r="AL329" s="41">
        <f t="shared" si="41"/>
        <v>0</v>
      </c>
      <c r="AM329" s="41">
        <f t="shared" si="41"/>
        <v>0</v>
      </c>
      <c r="AN329" s="41">
        <f t="shared" si="41"/>
        <v>0</v>
      </c>
      <c r="AO329" s="41">
        <f t="shared" si="41"/>
        <v>130</v>
      </c>
      <c r="AP329" s="41">
        <f t="shared" si="40"/>
        <v>700</v>
      </c>
      <c r="AQ329" s="41">
        <f t="shared" si="40"/>
        <v>0</v>
      </c>
      <c r="AR329" s="41">
        <f t="shared" si="40"/>
        <v>0</v>
      </c>
      <c r="AS329" s="41">
        <f t="shared" si="40"/>
        <v>0</v>
      </c>
      <c r="AT329" s="41">
        <f t="shared" si="40"/>
        <v>300</v>
      </c>
      <c r="AU329" s="43">
        <f t="shared" si="43"/>
        <v>0</v>
      </c>
      <c r="AV329" s="43">
        <f t="shared" si="42"/>
        <v>0</v>
      </c>
      <c r="AW329" s="43">
        <f t="shared" si="42"/>
        <v>0</v>
      </c>
      <c r="AX329" s="43">
        <f t="shared" si="42"/>
        <v>0</v>
      </c>
      <c r="AY329" s="43">
        <f t="shared" si="42"/>
        <v>0</v>
      </c>
      <c r="AZ329" s="43">
        <f t="shared" si="42"/>
        <v>15</v>
      </c>
      <c r="BA329" s="43">
        <f t="shared" si="42"/>
        <v>75</v>
      </c>
      <c r="BB329" s="43">
        <f t="shared" si="42"/>
        <v>0</v>
      </c>
      <c r="BC329" s="43">
        <f t="shared" si="39"/>
        <v>0</v>
      </c>
      <c r="BD329" s="43">
        <f t="shared" si="39"/>
        <v>0</v>
      </c>
      <c r="BE329" s="43">
        <f t="shared" si="39"/>
        <v>35</v>
      </c>
      <c r="BF329" s="41">
        <f t="shared" si="46"/>
        <v>125</v>
      </c>
      <c r="BG329" s="41" t="str">
        <f t="array" ref="BG329">_xlfn.IFS(
OR(MONTH(A329)=11,MONTH(A329)=12,MONTH(A329)=1,MONTH(A329)=2),"Winter",
OR(MONTH(A329)=3,MONTH(A329)=4),"Spring",
OR(MONTH(A329)=5,MONTH(A329)=6),"Summer",
OR(MONTH(A329)=7,MONTH(A329)=8,MONTH(A329)=9),"Monsoon",
MONTH(A329)=10,"Autumn/Festive",
TRUE,""
)</f>
        <v>Winter</v>
      </c>
    </row>
    <row r="330" spans="1:59" x14ac:dyDescent="0.3">
      <c r="A330" s="39">
        <v>45655</v>
      </c>
      <c r="B330" s="40" t="str">
        <f t="shared" si="44"/>
        <v>December</v>
      </c>
      <c r="C330" s="41">
        <v>4</v>
      </c>
      <c r="D330" s="41">
        <v>1</v>
      </c>
      <c r="E330" s="41">
        <v>0</v>
      </c>
      <c r="F330" s="41">
        <v>0</v>
      </c>
      <c r="G330" s="41">
        <v>0</v>
      </c>
      <c r="H330" s="41">
        <v>2</v>
      </c>
      <c r="I330" s="41">
        <v>5.75</v>
      </c>
      <c r="J330" s="41">
        <v>0</v>
      </c>
      <c r="K330" s="41">
        <v>0</v>
      </c>
      <c r="L330" s="41">
        <v>18</v>
      </c>
      <c r="M330" s="41">
        <v>0</v>
      </c>
      <c r="N330" s="42">
        <v>110</v>
      </c>
      <c r="O330" s="42">
        <v>110</v>
      </c>
      <c r="P330" s="42">
        <v>26</v>
      </c>
      <c r="Q330" s="42">
        <v>65</v>
      </c>
      <c r="R330" s="42">
        <v>200</v>
      </c>
      <c r="S330" s="42">
        <v>230</v>
      </c>
      <c r="T330" s="42">
        <v>250</v>
      </c>
      <c r="U330" s="42">
        <v>170</v>
      </c>
      <c r="V330" s="42">
        <v>25</v>
      </c>
      <c r="W330" s="42">
        <v>4</v>
      </c>
      <c r="X330" s="42">
        <v>265</v>
      </c>
      <c r="Y330" s="43">
        <v>130</v>
      </c>
      <c r="Z330" s="43">
        <v>150</v>
      </c>
      <c r="AA330" s="43">
        <v>30</v>
      </c>
      <c r="AB330" s="43">
        <v>95</v>
      </c>
      <c r="AC330" s="43">
        <v>250</v>
      </c>
      <c r="AD330" s="43">
        <v>260</v>
      </c>
      <c r="AE330" s="43">
        <v>280</v>
      </c>
      <c r="AF330" s="43">
        <v>200</v>
      </c>
      <c r="AG330" s="43">
        <v>30</v>
      </c>
      <c r="AH330" s="43">
        <v>6</v>
      </c>
      <c r="AI330" s="43">
        <v>300</v>
      </c>
      <c r="AJ330" s="41">
        <f t="shared" si="45"/>
        <v>520</v>
      </c>
      <c r="AK330" s="41">
        <f t="shared" si="41"/>
        <v>150</v>
      </c>
      <c r="AL330" s="41">
        <f t="shared" si="41"/>
        <v>0</v>
      </c>
      <c r="AM330" s="41">
        <f t="shared" si="41"/>
        <v>0</v>
      </c>
      <c r="AN330" s="41">
        <f t="shared" si="41"/>
        <v>0</v>
      </c>
      <c r="AO330" s="41">
        <f t="shared" si="41"/>
        <v>520</v>
      </c>
      <c r="AP330" s="41">
        <f t="shared" si="40"/>
        <v>1610</v>
      </c>
      <c r="AQ330" s="41">
        <f t="shared" si="40"/>
        <v>0</v>
      </c>
      <c r="AR330" s="41">
        <f t="shared" si="40"/>
        <v>0</v>
      </c>
      <c r="AS330" s="41">
        <f t="shared" si="40"/>
        <v>108</v>
      </c>
      <c r="AT330" s="41">
        <f t="shared" si="40"/>
        <v>0</v>
      </c>
      <c r="AU330" s="43">
        <f t="shared" si="43"/>
        <v>80</v>
      </c>
      <c r="AV330" s="43">
        <f t="shared" si="42"/>
        <v>40</v>
      </c>
      <c r="AW330" s="43">
        <f t="shared" si="42"/>
        <v>0</v>
      </c>
      <c r="AX330" s="43">
        <f t="shared" si="42"/>
        <v>0</v>
      </c>
      <c r="AY330" s="43">
        <f t="shared" si="42"/>
        <v>0</v>
      </c>
      <c r="AZ330" s="43">
        <f t="shared" si="42"/>
        <v>60</v>
      </c>
      <c r="BA330" s="43">
        <f t="shared" si="42"/>
        <v>172.5</v>
      </c>
      <c r="BB330" s="43">
        <f t="shared" si="42"/>
        <v>0</v>
      </c>
      <c r="BC330" s="43">
        <f t="shared" si="39"/>
        <v>0</v>
      </c>
      <c r="BD330" s="43">
        <f t="shared" si="39"/>
        <v>36</v>
      </c>
      <c r="BE330" s="43">
        <f t="shared" si="39"/>
        <v>0</v>
      </c>
      <c r="BF330" s="41">
        <f t="shared" si="46"/>
        <v>388.5</v>
      </c>
      <c r="BG330" s="41" t="str">
        <f t="array" ref="BG330">_xlfn.IFS(
OR(MONTH(A330)=11,MONTH(A330)=12,MONTH(A330)=1,MONTH(A330)=2),"Winter",
OR(MONTH(A330)=3,MONTH(A330)=4),"Spring",
OR(MONTH(A330)=5,MONTH(A330)=6),"Summer",
OR(MONTH(A330)=7,MONTH(A330)=8,MONTH(A330)=9),"Monsoon",
MONTH(A330)=10,"Autumn/Festive",
TRUE,""
)</f>
        <v>Winter</v>
      </c>
    </row>
    <row r="331" spans="1:59" x14ac:dyDescent="0.3">
      <c r="A331" s="39">
        <v>45656</v>
      </c>
      <c r="B331" s="40" t="str">
        <f t="shared" si="44"/>
        <v>December</v>
      </c>
      <c r="C331" s="41">
        <v>8</v>
      </c>
      <c r="D331" s="41">
        <v>0</v>
      </c>
      <c r="E331" s="41">
        <v>0</v>
      </c>
      <c r="F331" s="41">
        <v>0</v>
      </c>
      <c r="G331" s="41">
        <v>0</v>
      </c>
      <c r="H331" s="41">
        <v>3.75</v>
      </c>
      <c r="I331" s="41">
        <v>1.5</v>
      </c>
      <c r="J331" s="41">
        <v>0</v>
      </c>
      <c r="K331" s="41">
        <v>3</v>
      </c>
      <c r="L331" s="41">
        <v>0</v>
      </c>
      <c r="M331" s="41">
        <v>4</v>
      </c>
      <c r="N331" s="42">
        <v>110</v>
      </c>
      <c r="O331" s="42">
        <v>110</v>
      </c>
      <c r="P331" s="42">
        <v>26</v>
      </c>
      <c r="Q331" s="42">
        <v>65</v>
      </c>
      <c r="R331" s="42">
        <v>200</v>
      </c>
      <c r="S331" s="42">
        <v>230</v>
      </c>
      <c r="T331" s="42">
        <v>250</v>
      </c>
      <c r="U331" s="42">
        <v>170</v>
      </c>
      <c r="V331" s="42">
        <v>25</v>
      </c>
      <c r="W331" s="42">
        <v>4</v>
      </c>
      <c r="X331" s="42">
        <v>265</v>
      </c>
      <c r="Y331" s="43">
        <v>130</v>
      </c>
      <c r="Z331" s="43">
        <v>150</v>
      </c>
      <c r="AA331" s="43">
        <v>30</v>
      </c>
      <c r="AB331" s="43">
        <v>95</v>
      </c>
      <c r="AC331" s="43">
        <v>250</v>
      </c>
      <c r="AD331" s="43">
        <v>260</v>
      </c>
      <c r="AE331" s="43">
        <v>280</v>
      </c>
      <c r="AF331" s="43">
        <v>200</v>
      </c>
      <c r="AG331" s="43">
        <v>30</v>
      </c>
      <c r="AH331" s="43">
        <v>6</v>
      </c>
      <c r="AI331" s="43">
        <v>300</v>
      </c>
      <c r="AJ331" s="41">
        <f t="shared" si="45"/>
        <v>1040</v>
      </c>
      <c r="AK331" s="41">
        <f t="shared" si="41"/>
        <v>0</v>
      </c>
      <c r="AL331" s="41">
        <f t="shared" si="41"/>
        <v>0</v>
      </c>
      <c r="AM331" s="41">
        <f t="shared" si="41"/>
        <v>0</v>
      </c>
      <c r="AN331" s="41">
        <f t="shared" si="41"/>
        <v>0</v>
      </c>
      <c r="AO331" s="41">
        <f t="shared" si="41"/>
        <v>975</v>
      </c>
      <c r="AP331" s="41">
        <f t="shared" si="40"/>
        <v>420</v>
      </c>
      <c r="AQ331" s="41">
        <f t="shared" si="40"/>
        <v>0</v>
      </c>
      <c r="AR331" s="41">
        <f t="shared" si="40"/>
        <v>90</v>
      </c>
      <c r="AS331" s="41">
        <f t="shared" si="40"/>
        <v>0</v>
      </c>
      <c r="AT331" s="41">
        <f t="shared" si="40"/>
        <v>1200</v>
      </c>
      <c r="AU331" s="43">
        <f t="shared" si="43"/>
        <v>160</v>
      </c>
      <c r="AV331" s="43">
        <f t="shared" si="42"/>
        <v>0</v>
      </c>
      <c r="AW331" s="43">
        <f t="shared" si="42"/>
        <v>0</v>
      </c>
      <c r="AX331" s="43">
        <f t="shared" si="42"/>
        <v>0</v>
      </c>
      <c r="AY331" s="43">
        <f t="shared" si="42"/>
        <v>0</v>
      </c>
      <c r="AZ331" s="43">
        <f t="shared" si="42"/>
        <v>112.5</v>
      </c>
      <c r="BA331" s="43">
        <f t="shared" si="42"/>
        <v>45</v>
      </c>
      <c r="BB331" s="43">
        <f t="shared" si="42"/>
        <v>0</v>
      </c>
      <c r="BC331" s="43">
        <f t="shared" si="39"/>
        <v>15</v>
      </c>
      <c r="BD331" s="43">
        <f t="shared" si="39"/>
        <v>0</v>
      </c>
      <c r="BE331" s="43">
        <f t="shared" si="39"/>
        <v>140</v>
      </c>
      <c r="BF331" s="41">
        <f t="shared" si="46"/>
        <v>472.5</v>
      </c>
      <c r="BG331" s="41" t="str">
        <f t="array" ref="BG331">_xlfn.IFS(
OR(MONTH(A331)=11,MONTH(A331)=12,MONTH(A331)=1,MONTH(A331)=2),"Winter",
OR(MONTH(A331)=3,MONTH(A331)=4),"Spring",
OR(MONTH(A331)=5,MONTH(A331)=6),"Summer",
OR(MONTH(A331)=7,MONTH(A331)=8,MONTH(A331)=9),"Monsoon",
MONTH(A331)=10,"Autumn/Festive",
TRUE,""
)</f>
        <v>Winter</v>
      </c>
    </row>
    <row r="332" spans="1:59" x14ac:dyDescent="0.3">
      <c r="A332" s="39">
        <v>45657</v>
      </c>
      <c r="B332" s="40" t="str">
        <f t="shared" si="44"/>
        <v>December</v>
      </c>
      <c r="C332" s="41">
        <v>11</v>
      </c>
      <c r="D332" s="41">
        <v>0</v>
      </c>
      <c r="E332" s="41">
        <v>0</v>
      </c>
      <c r="F332" s="41">
        <v>0</v>
      </c>
      <c r="G332" s="41">
        <v>0</v>
      </c>
      <c r="H332" s="41">
        <v>8</v>
      </c>
      <c r="I332" s="41">
        <v>5</v>
      </c>
      <c r="J332" s="41">
        <v>0</v>
      </c>
      <c r="K332" s="41">
        <v>0</v>
      </c>
      <c r="L332" s="41">
        <v>12</v>
      </c>
      <c r="M332" s="41">
        <v>1</v>
      </c>
      <c r="N332" s="42">
        <v>110</v>
      </c>
      <c r="O332" s="42">
        <v>110</v>
      </c>
      <c r="P332" s="42">
        <v>26</v>
      </c>
      <c r="Q332" s="42">
        <v>65</v>
      </c>
      <c r="R332" s="42">
        <v>200</v>
      </c>
      <c r="S332" s="42">
        <v>230</v>
      </c>
      <c r="T332" s="42">
        <v>250</v>
      </c>
      <c r="U332" s="42">
        <v>170</v>
      </c>
      <c r="V332" s="42">
        <v>25</v>
      </c>
      <c r="W332" s="42">
        <v>4</v>
      </c>
      <c r="X332" s="42">
        <v>265</v>
      </c>
      <c r="Y332" s="43">
        <v>130</v>
      </c>
      <c r="Z332" s="43">
        <v>150</v>
      </c>
      <c r="AA332" s="43">
        <v>30</v>
      </c>
      <c r="AB332" s="43">
        <v>95</v>
      </c>
      <c r="AC332" s="43">
        <v>250</v>
      </c>
      <c r="AD332" s="43">
        <v>260</v>
      </c>
      <c r="AE332" s="43">
        <v>280</v>
      </c>
      <c r="AF332" s="43">
        <v>200</v>
      </c>
      <c r="AG332" s="43">
        <v>30</v>
      </c>
      <c r="AH332" s="43">
        <v>6</v>
      </c>
      <c r="AI332" s="43">
        <v>300</v>
      </c>
      <c r="AJ332" s="41">
        <f t="shared" si="45"/>
        <v>1430</v>
      </c>
      <c r="AK332" s="41">
        <f t="shared" si="41"/>
        <v>0</v>
      </c>
      <c r="AL332" s="41">
        <f t="shared" si="41"/>
        <v>0</v>
      </c>
      <c r="AM332" s="41">
        <f t="shared" si="41"/>
        <v>0</v>
      </c>
      <c r="AN332" s="41">
        <f t="shared" si="41"/>
        <v>0</v>
      </c>
      <c r="AO332" s="41">
        <f t="shared" si="41"/>
        <v>2080</v>
      </c>
      <c r="AP332" s="41">
        <f t="shared" si="40"/>
        <v>1400</v>
      </c>
      <c r="AQ332" s="41">
        <f t="shared" si="40"/>
        <v>0</v>
      </c>
      <c r="AR332" s="41">
        <f t="shared" si="40"/>
        <v>0</v>
      </c>
      <c r="AS332" s="41">
        <f t="shared" si="40"/>
        <v>72</v>
      </c>
      <c r="AT332" s="41">
        <f t="shared" si="40"/>
        <v>300</v>
      </c>
      <c r="AU332" s="43">
        <f t="shared" si="43"/>
        <v>220</v>
      </c>
      <c r="AV332" s="43">
        <f t="shared" si="42"/>
        <v>0</v>
      </c>
      <c r="AW332" s="43">
        <f t="shared" si="42"/>
        <v>0</v>
      </c>
      <c r="AX332" s="43">
        <f t="shared" si="42"/>
        <v>0</v>
      </c>
      <c r="AY332" s="43">
        <f t="shared" si="42"/>
        <v>0</v>
      </c>
      <c r="AZ332" s="43">
        <f t="shared" si="42"/>
        <v>240</v>
      </c>
      <c r="BA332" s="43">
        <f t="shared" si="42"/>
        <v>150</v>
      </c>
      <c r="BB332" s="43">
        <f t="shared" si="42"/>
        <v>0</v>
      </c>
      <c r="BC332" s="43">
        <f t="shared" si="39"/>
        <v>0</v>
      </c>
      <c r="BD332" s="43">
        <f t="shared" si="39"/>
        <v>24</v>
      </c>
      <c r="BE332" s="43">
        <f t="shared" si="39"/>
        <v>35</v>
      </c>
      <c r="BF332" s="41">
        <f t="shared" si="46"/>
        <v>669</v>
      </c>
      <c r="BG332" s="41" t="str">
        <f t="array" ref="BG332">_xlfn.IFS(
OR(MONTH(A332)=11,MONTH(A332)=12,MONTH(A332)=1,MONTH(A332)=2),"Winter",
OR(MONTH(A332)=3,MONTH(A332)=4),"Spring",
OR(MONTH(A332)=5,MONTH(A332)=6),"Summer",
OR(MONTH(A332)=7,MONTH(A332)=8,MONTH(A332)=9),"Monsoon",
MONTH(A332)=10,"Autumn/Festive",
TRUE,""
)</f>
        <v>Winter</v>
      </c>
    </row>
    <row r="333" spans="1:59" x14ac:dyDescent="0.3">
      <c r="A333" s="39">
        <v>45658</v>
      </c>
      <c r="B333" s="40" t="str">
        <f t="shared" si="44"/>
        <v>January</v>
      </c>
      <c r="C333" s="41">
        <v>5</v>
      </c>
      <c r="D333" s="41">
        <v>0</v>
      </c>
      <c r="E333" s="41">
        <v>0</v>
      </c>
      <c r="F333" s="41">
        <v>0</v>
      </c>
      <c r="G333" s="41">
        <v>0</v>
      </c>
      <c r="H333" s="41">
        <v>0</v>
      </c>
      <c r="I333" s="41">
        <v>0</v>
      </c>
      <c r="J333" s="41">
        <v>0</v>
      </c>
      <c r="K333" s="41">
        <v>1</v>
      </c>
      <c r="L333" s="41">
        <v>12</v>
      </c>
      <c r="M333" s="41">
        <v>1</v>
      </c>
      <c r="N333" s="42">
        <v>110</v>
      </c>
      <c r="O333" s="42">
        <v>110</v>
      </c>
      <c r="P333" s="42">
        <v>26</v>
      </c>
      <c r="Q333" s="42">
        <v>65</v>
      </c>
      <c r="R333" s="42">
        <v>200</v>
      </c>
      <c r="S333" s="42">
        <v>230</v>
      </c>
      <c r="T333" s="42">
        <v>250</v>
      </c>
      <c r="U333" s="42">
        <v>170</v>
      </c>
      <c r="V333" s="42">
        <v>25</v>
      </c>
      <c r="W333" s="42">
        <v>4</v>
      </c>
      <c r="X333" s="42">
        <v>265</v>
      </c>
      <c r="Y333" s="43">
        <v>130</v>
      </c>
      <c r="Z333" s="43">
        <v>150</v>
      </c>
      <c r="AA333" s="43">
        <v>30</v>
      </c>
      <c r="AB333" s="43">
        <v>95</v>
      </c>
      <c r="AC333" s="43">
        <v>250</v>
      </c>
      <c r="AD333" s="43">
        <v>260</v>
      </c>
      <c r="AE333" s="43">
        <v>280</v>
      </c>
      <c r="AF333" s="43">
        <v>200</v>
      </c>
      <c r="AG333" s="43">
        <v>30</v>
      </c>
      <c r="AH333" s="43">
        <v>6</v>
      </c>
      <c r="AI333" s="43">
        <v>300</v>
      </c>
      <c r="AJ333" s="41">
        <f t="shared" si="45"/>
        <v>650</v>
      </c>
      <c r="AK333" s="41">
        <f t="shared" si="41"/>
        <v>0</v>
      </c>
      <c r="AL333" s="41">
        <f t="shared" si="41"/>
        <v>0</v>
      </c>
      <c r="AM333" s="41">
        <f t="shared" si="41"/>
        <v>0</v>
      </c>
      <c r="AN333" s="41">
        <f t="shared" si="41"/>
        <v>0</v>
      </c>
      <c r="AO333" s="41">
        <f t="shared" si="41"/>
        <v>0</v>
      </c>
      <c r="AP333" s="41">
        <f t="shared" si="40"/>
        <v>0</v>
      </c>
      <c r="AQ333" s="41">
        <f t="shared" si="40"/>
        <v>0</v>
      </c>
      <c r="AR333" s="41">
        <f t="shared" si="40"/>
        <v>30</v>
      </c>
      <c r="AS333" s="41">
        <f t="shared" si="40"/>
        <v>72</v>
      </c>
      <c r="AT333" s="41">
        <f t="shared" si="40"/>
        <v>300</v>
      </c>
      <c r="AU333" s="43">
        <f t="shared" si="43"/>
        <v>100</v>
      </c>
      <c r="AV333" s="43">
        <f t="shared" si="42"/>
        <v>0</v>
      </c>
      <c r="AW333" s="43">
        <f t="shared" si="42"/>
        <v>0</v>
      </c>
      <c r="AX333" s="43">
        <f t="shared" si="42"/>
        <v>0</v>
      </c>
      <c r="AY333" s="43">
        <f t="shared" si="42"/>
        <v>0</v>
      </c>
      <c r="AZ333" s="43">
        <f t="shared" si="42"/>
        <v>0</v>
      </c>
      <c r="BA333" s="43">
        <f t="shared" si="42"/>
        <v>0</v>
      </c>
      <c r="BB333" s="43">
        <f t="shared" si="42"/>
        <v>0</v>
      </c>
      <c r="BC333" s="43">
        <f t="shared" si="39"/>
        <v>5</v>
      </c>
      <c r="BD333" s="43">
        <f t="shared" si="39"/>
        <v>24</v>
      </c>
      <c r="BE333" s="43">
        <f t="shared" si="39"/>
        <v>35</v>
      </c>
      <c r="BF333" s="41">
        <f t="shared" si="46"/>
        <v>164</v>
      </c>
      <c r="BG333" s="41" t="str">
        <f t="array" ref="BG333">_xlfn.IFS(
OR(MONTH(A333)=11,MONTH(A333)=12,MONTH(A333)=1,MONTH(A333)=2),"Winter",
OR(MONTH(A333)=3,MONTH(A333)=4),"Spring",
OR(MONTH(A333)=5,MONTH(A333)=6),"Summer",
OR(MONTH(A333)=7,MONTH(A333)=8,MONTH(A333)=9),"Monsoon",
MONTH(A333)=10,"Autumn/Festive",
TRUE,""
)</f>
        <v>Winter</v>
      </c>
    </row>
    <row r="334" spans="1:59" x14ac:dyDescent="0.3">
      <c r="A334" s="39">
        <v>45659</v>
      </c>
      <c r="B334" s="40" t="str">
        <f t="shared" si="44"/>
        <v>January</v>
      </c>
      <c r="C334" s="41">
        <v>4</v>
      </c>
      <c r="D334" s="41">
        <v>0</v>
      </c>
      <c r="E334" s="41">
        <v>0</v>
      </c>
      <c r="F334" s="41">
        <v>0</v>
      </c>
      <c r="G334" s="41">
        <v>0</v>
      </c>
      <c r="H334" s="41">
        <v>2.75</v>
      </c>
      <c r="I334" s="41">
        <v>4</v>
      </c>
      <c r="J334" s="41">
        <v>0</v>
      </c>
      <c r="K334" s="41">
        <v>0</v>
      </c>
      <c r="L334" s="41">
        <v>22</v>
      </c>
      <c r="M334" s="41">
        <v>1</v>
      </c>
      <c r="N334" s="42">
        <v>110</v>
      </c>
      <c r="O334" s="42">
        <v>110</v>
      </c>
      <c r="P334" s="42">
        <v>26</v>
      </c>
      <c r="Q334" s="42">
        <v>65</v>
      </c>
      <c r="R334" s="42">
        <v>200</v>
      </c>
      <c r="S334" s="42">
        <v>230</v>
      </c>
      <c r="T334" s="42">
        <v>250</v>
      </c>
      <c r="U334" s="42">
        <v>170</v>
      </c>
      <c r="V334" s="42">
        <v>25</v>
      </c>
      <c r="W334" s="42">
        <v>4</v>
      </c>
      <c r="X334" s="42">
        <v>265</v>
      </c>
      <c r="Y334" s="43">
        <v>130</v>
      </c>
      <c r="Z334" s="43">
        <v>150</v>
      </c>
      <c r="AA334" s="43">
        <v>30</v>
      </c>
      <c r="AB334" s="43">
        <v>95</v>
      </c>
      <c r="AC334" s="43">
        <v>250</v>
      </c>
      <c r="AD334" s="43">
        <v>260</v>
      </c>
      <c r="AE334" s="43">
        <v>280</v>
      </c>
      <c r="AF334" s="43">
        <v>200</v>
      </c>
      <c r="AG334" s="43">
        <v>30</v>
      </c>
      <c r="AH334" s="43">
        <v>6</v>
      </c>
      <c r="AI334" s="43">
        <v>300</v>
      </c>
      <c r="AJ334" s="41">
        <f t="shared" si="45"/>
        <v>520</v>
      </c>
      <c r="AK334" s="41">
        <f t="shared" si="41"/>
        <v>0</v>
      </c>
      <c r="AL334" s="41">
        <f t="shared" si="41"/>
        <v>0</v>
      </c>
      <c r="AM334" s="41">
        <f t="shared" si="41"/>
        <v>0</v>
      </c>
      <c r="AN334" s="41">
        <f t="shared" si="41"/>
        <v>0</v>
      </c>
      <c r="AO334" s="41">
        <f t="shared" si="41"/>
        <v>715</v>
      </c>
      <c r="AP334" s="41">
        <f t="shared" si="40"/>
        <v>1120</v>
      </c>
      <c r="AQ334" s="41">
        <f t="shared" si="40"/>
        <v>0</v>
      </c>
      <c r="AR334" s="41">
        <f t="shared" si="40"/>
        <v>0</v>
      </c>
      <c r="AS334" s="41">
        <f t="shared" si="40"/>
        <v>132</v>
      </c>
      <c r="AT334" s="41">
        <f t="shared" si="40"/>
        <v>300</v>
      </c>
      <c r="AU334" s="43">
        <f t="shared" si="43"/>
        <v>80</v>
      </c>
      <c r="AV334" s="43">
        <f t="shared" si="42"/>
        <v>0</v>
      </c>
      <c r="AW334" s="43">
        <f t="shared" si="42"/>
        <v>0</v>
      </c>
      <c r="AX334" s="43">
        <f t="shared" si="42"/>
        <v>0</v>
      </c>
      <c r="AY334" s="43">
        <f t="shared" si="42"/>
        <v>0</v>
      </c>
      <c r="AZ334" s="43">
        <f t="shared" si="42"/>
        <v>82.5</v>
      </c>
      <c r="BA334" s="43">
        <f t="shared" si="42"/>
        <v>120</v>
      </c>
      <c r="BB334" s="43">
        <f t="shared" si="42"/>
        <v>0</v>
      </c>
      <c r="BC334" s="43">
        <f t="shared" si="39"/>
        <v>0</v>
      </c>
      <c r="BD334" s="43">
        <f t="shared" si="39"/>
        <v>44</v>
      </c>
      <c r="BE334" s="43">
        <f t="shared" si="39"/>
        <v>35</v>
      </c>
      <c r="BF334" s="41">
        <f t="shared" si="46"/>
        <v>361.5</v>
      </c>
      <c r="BG334" s="41" t="str">
        <f t="array" ref="BG334">_xlfn.IFS(
OR(MONTH(A334)=11,MONTH(A334)=12,MONTH(A334)=1,MONTH(A334)=2),"Winter",
OR(MONTH(A334)=3,MONTH(A334)=4),"Spring",
OR(MONTH(A334)=5,MONTH(A334)=6),"Summer",
OR(MONTH(A334)=7,MONTH(A334)=8,MONTH(A334)=9),"Monsoon",
MONTH(A334)=10,"Autumn/Festive",
TRUE,""
)</f>
        <v>Winter</v>
      </c>
    </row>
    <row r="335" spans="1:59" x14ac:dyDescent="0.3">
      <c r="A335" s="39">
        <v>45660</v>
      </c>
      <c r="B335" s="40" t="str">
        <f t="shared" si="44"/>
        <v>January</v>
      </c>
      <c r="C335" s="41">
        <v>11</v>
      </c>
      <c r="D335" s="41">
        <v>0</v>
      </c>
      <c r="E335" s="41">
        <v>0</v>
      </c>
      <c r="F335" s="41">
        <v>0</v>
      </c>
      <c r="G335" s="41">
        <v>0</v>
      </c>
      <c r="H335" s="41">
        <v>4.5</v>
      </c>
      <c r="I335" s="41">
        <v>3.25</v>
      </c>
      <c r="J335" s="41">
        <v>0</v>
      </c>
      <c r="K335" s="41">
        <v>3</v>
      </c>
      <c r="L335" s="41">
        <v>11</v>
      </c>
      <c r="M335" s="41">
        <v>1</v>
      </c>
      <c r="N335" s="42">
        <v>110</v>
      </c>
      <c r="O335" s="42">
        <v>110</v>
      </c>
      <c r="P335" s="42">
        <v>26</v>
      </c>
      <c r="Q335" s="42">
        <v>65</v>
      </c>
      <c r="R335" s="42">
        <v>200</v>
      </c>
      <c r="S335" s="42">
        <v>230</v>
      </c>
      <c r="T335" s="42">
        <v>250</v>
      </c>
      <c r="U335" s="42">
        <v>170</v>
      </c>
      <c r="V335" s="42">
        <v>25</v>
      </c>
      <c r="W335" s="42">
        <v>4</v>
      </c>
      <c r="X335" s="42">
        <v>265</v>
      </c>
      <c r="Y335" s="43">
        <v>130</v>
      </c>
      <c r="Z335" s="43">
        <v>150</v>
      </c>
      <c r="AA335" s="43">
        <v>30</v>
      </c>
      <c r="AB335" s="43">
        <v>95</v>
      </c>
      <c r="AC335" s="43">
        <v>250</v>
      </c>
      <c r="AD335" s="43">
        <v>260</v>
      </c>
      <c r="AE335" s="43">
        <v>280</v>
      </c>
      <c r="AF335" s="43">
        <v>200</v>
      </c>
      <c r="AG335" s="43">
        <v>30</v>
      </c>
      <c r="AH335" s="43">
        <v>6</v>
      </c>
      <c r="AI335" s="43">
        <v>300</v>
      </c>
      <c r="AJ335" s="41">
        <f t="shared" si="45"/>
        <v>1430</v>
      </c>
      <c r="AK335" s="41">
        <f t="shared" si="41"/>
        <v>0</v>
      </c>
      <c r="AL335" s="41">
        <f t="shared" si="41"/>
        <v>0</v>
      </c>
      <c r="AM335" s="41">
        <f t="shared" si="41"/>
        <v>0</v>
      </c>
      <c r="AN335" s="41">
        <f t="shared" si="41"/>
        <v>0</v>
      </c>
      <c r="AO335" s="41">
        <f t="shared" si="41"/>
        <v>1170</v>
      </c>
      <c r="AP335" s="41">
        <f t="shared" ref="AP335:AT363" si="47">I335*AE335</f>
        <v>910</v>
      </c>
      <c r="AQ335" s="41">
        <f t="shared" si="47"/>
        <v>0</v>
      </c>
      <c r="AR335" s="41">
        <f t="shared" si="47"/>
        <v>90</v>
      </c>
      <c r="AS335" s="41">
        <f t="shared" si="47"/>
        <v>66</v>
      </c>
      <c r="AT335" s="41">
        <f t="shared" si="47"/>
        <v>300</v>
      </c>
      <c r="AU335" s="43">
        <f t="shared" si="43"/>
        <v>220</v>
      </c>
      <c r="AV335" s="43">
        <f t="shared" si="42"/>
        <v>0</v>
      </c>
      <c r="AW335" s="43">
        <f t="shared" si="42"/>
        <v>0</v>
      </c>
      <c r="AX335" s="43">
        <f t="shared" si="42"/>
        <v>0</v>
      </c>
      <c r="AY335" s="43">
        <f t="shared" si="42"/>
        <v>0</v>
      </c>
      <c r="AZ335" s="43">
        <f t="shared" si="42"/>
        <v>135</v>
      </c>
      <c r="BA335" s="43">
        <f t="shared" si="42"/>
        <v>97.5</v>
      </c>
      <c r="BB335" s="43">
        <f t="shared" si="42"/>
        <v>0</v>
      </c>
      <c r="BC335" s="43">
        <f t="shared" si="39"/>
        <v>15</v>
      </c>
      <c r="BD335" s="43">
        <f t="shared" si="39"/>
        <v>22</v>
      </c>
      <c r="BE335" s="43">
        <f t="shared" si="39"/>
        <v>35</v>
      </c>
      <c r="BF335" s="41">
        <f t="shared" si="46"/>
        <v>524.5</v>
      </c>
      <c r="BG335" s="41" t="str">
        <f t="array" ref="BG335">_xlfn.IFS(
OR(MONTH(A335)=11,MONTH(A335)=12,MONTH(A335)=1,MONTH(A335)=2),"Winter",
OR(MONTH(A335)=3,MONTH(A335)=4),"Spring",
OR(MONTH(A335)=5,MONTH(A335)=6),"Summer",
OR(MONTH(A335)=7,MONTH(A335)=8,MONTH(A335)=9),"Monsoon",
MONTH(A335)=10,"Autumn/Festive",
TRUE,""
)</f>
        <v>Winter</v>
      </c>
    </row>
    <row r="336" spans="1:59" x14ac:dyDescent="0.3">
      <c r="A336" s="39">
        <v>45661</v>
      </c>
      <c r="B336" s="40" t="str">
        <f t="shared" si="44"/>
        <v>January</v>
      </c>
      <c r="C336" s="41">
        <v>5</v>
      </c>
      <c r="D336" s="41">
        <v>0</v>
      </c>
      <c r="E336" s="41">
        <v>0</v>
      </c>
      <c r="F336" s="41">
        <v>0</v>
      </c>
      <c r="G336" s="41">
        <v>0</v>
      </c>
      <c r="H336" s="41">
        <v>1</v>
      </c>
      <c r="I336" s="41">
        <v>5.5</v>
      </c>
      <c r="J336" s="41">
        <v>0</v>
      </c>
      <c r="K336" s="41">
        <v>0</v>
      </c>
      <c r="L336" s="41">
        <v>21</v>
      </c>
      <c r="M336" s="41">
        <v>1</v>
      </c>
      <c r="N336" s="42">
        <v>110</v>
      </c>
      <c r="O336" s="42">
        <v>110</v>
      </c>
      <c r="P336" s="42">
        <v>26</v>
      </c>
      <c r="Q336" s="42">
        <v>65</v>
      </c>
      <c r="R336" s="42">
        <v>200</v>
      </c>
      <c r="S336" s="42">
        <v>230</v>
      </c>
      <c r="T336" s="42">
        <v>250</v>
      </c>
      <c r="U336" s="42">
        <v>170</v>
      </c>
      <c r="V336" s="42">
        <v>25</v>
      </c>
      <c r="W336" s="42">
        <v>4</v>
      </c>
      <c r="X336" s="42">
        <v>265</v>
      </c>
      <c r="Y336" s="43">
        <v>130</v>
      </c>
      <c r="Z336" s="43">
        <v>150</v>
      </c>
      <c r="AA336" s="43">
        <v>30</v>
      </c>
      <c r="AB336" s="43">
        <v>95</v>
      </c>
      <c r="AC336" s="43">
        <v>250</v>
      </c>
      <c r="AD336" s="43">
        <v>260</v>
      </c>
      <c r="AE336" s="43">
        <v>280</v>
      </c>
      <c r="AF336" s="43">
        <v>200</v>
      </c>
      <c r="AG336" s="43">
        <v>30</v>
      </c>
      <c r="AH336" s="43">
        <v>6</v>
      </c>
      <c r="AI336" s="43">
        <v>300</v>
      </c>
      <c r="AJ336" s="41">
        <f t="shared" si="45"/>
        <v>650</v>
      </c>
      <c r="AK336" s="41">
        <f t="shared" ref="AK336:AO363" si="48">D336*Z336</f>
        <v>0</v>
      </c>
      <c r="AL336" s="41">
        <f t="shared" si="48"/>
        <v>0</v>
      </c>
      <c r="AM336" s="41">
        <f t="shared" si="48"/>
        <v>0</v>
      </c>
      <c r="AN336" s="41">
        <f t="shared" si="48"/>
        <v>0</v>
      </c>
      <c r="AO336" s="41">
        <f t="shared" si="48"/>
        <v>260</v>
      </c>
      <c r="AP336" s="41">
        <f t="shared" si="47"/>
        <v>1540</v>
      </c>
      <c r="AQ336" s="41">
        <f t="shared" si="47"/>
        <v>0</v>
      </c>
      <c r="AR336" s="41">
        <f t="shared" si="47"/>
        <v>0</v>
      </c>
      <c r="AS336" s="41">
        <f t="shared" si="47"/>
        <v>126</v>
      </c>
      <c r="AT336" s="41">
        <f t="shared" si="47"/>
        <v>300</v>
      </c>
      <c r="AU336" s="43">
        <f t="shared" si="43"/>
        <v>100</v>
      </c>
      <c r="AV336" s="43">
        <f t="shared" si="42"/>
        <v>0</v>
      </c>
      <c r="AW336" s="43">
        <f t="shared" si="42"/>
        <v>0</v>
      </c>
      <c r="AX336" s="43">
        <f t="shared" si="42"/>
        <v>0</v>
      </c>
      <c r="AY336" s="43">
        <f t="shared" si="42"/>
        <v>0</v>
      </c>
      <c r="AZ336" s="43">
        <f t="shared" si="42"/>
        <v>30</v>
      </c>
      <c r="BA336" s="43">
        <f t="shared" si="42"/>
        <v>165</v>
      </c>
      <c r="BB336" s="43">
        <f t="shared" si="42"/>
        <v>0</v>
      </c>
      <c r="BC336" s="43">
        <f t="shared" si="39"/>
        <v>0</v>
      </c>
      <c r="BD336" s="43">
        <f t="shared" si="39"/>
        <v>42</v>
      </c>
      <c r="BE336" s="43">
        <f t="shared" si="39"/>
        <v>35</v>
      </c>
      <c r="BF336" s="41">
        <f t="shared" si="46"/>
        <v>372</v>
      </c>
      <c r="BG336" s="41" t="str">
        <f t="array" ref="BG336">_xlfn.IFS(
OR(MONTH(A336)=11,MONTH(A336)=12,MONTH(A336)=1,MONTH(A336)=2),"Winter",
OR(MONTH(A336)=3,MONTH(A336)=4),"Spring",
OR(MONTH(A336)=5,MONTH(A336)=6),"Summer",
OR(MONTH(A336)=7,MONTH(A336)=8,MONTH(A336)=9),"Monsoon",
MONTH(A336)=10,"Autumn/Festive",
TRUE,""
)</f>
        <v>Winter</v>
      </c>
    </row>
    <row r="337" spans="1:59" x14ac:dyDescent="0.3">
      <c r="A337" s="39">
        <v>45662</v>
      </c>
      <c r="B337" s="40" t="str">
        <f t="shared" si="44"/>
        <v>January</v>
      </c>
      <c r="C337" s="41">
        <v>3</v>
      </c>
      <c r="D337" s="41">
        <v>0</v>
      </c>
      <c r="E337" s="41">
        <v>0</v>
      </c>
      <c r="F337" s="41">
        <v>0</v>
      </c>
      <c r="G337" s="41">
        <v>0</v>
      </c>
      <c r="H337" s="41">
        <v>0</v>
      </c>
      <c r="I337" s="41">
        <v>0.5</v>
      </c>
      <c r="J337" s="41">
        <v>0</v>
      </c>
      <c r="K337" s="41">
        <v>0</v>
      </c>
      <c r="L337" s="41">
        <v>16</v>
      </c>
      <c r="M337" s="41">
        <v>1</v>
      </c>
      <c r="N337" s="42">
        <v>110</v>
      </c>
      <c r="O337" s="42">
        <v>110</v>
      </c>
      <c r="P337" s="42">
        <v>26</v>
      </c>
      <c r="Q337" s="42">
        <v>65</v>
      </c>
      <c r="R337" s="42">
        <v>200</v>
      </c>
      <c r="S337" s="42">
        <v>230</v>
      </c>
      <c r="T337" s="42">
        <v>250</v>
      </c>
      <c r="U337" s="42">
        <v>170</v>
      </c>
      <c r="V337" s="42">
        <v>25</v>
      </c>
      <c r="W337" s="42">
        <v>4</v>
      </c>
      <c r="X337" s="42">
        <v>265</v>
      </c>
      <c r="Y337" s="43">
        <v>130</v>
      </c>
      <c r="Z337" s="43">
        <v>150</v>
      </c>
      <c r="AA337" s="43">
        <v>30</v>
      </c>
      <c r="AB337" s="43">
        <v>95</v>
      </c>
      <c r="AC337" s="43">
        <v>250</v>
      </c>
      <c r="AD337" s="43">
        <v>260</v>
      </c>
      <c r="AE337" s="43">
        <v>280</v>
      </c>
      <c r="AF337" s="43">
        <v>200</v>
      </c>
      <c r="AG337" s="43">
        <v>30</v>
      </c>
      <c r="AH337" s="43">
        <v>6</v>
      </c>
      <c r="AI337" s="43">
        <v>300</v>
      </c>
      <c r="AJ337" s="41">
        <f t="shared" si="45"/>
        <v>390</v>
      </c>
      <c r="AK337" s="41">
        <f t="shared" si="48"/>
        <v>0</v>
      </c>
      <c r="AL337" s="41">
        <f t="shared" si="48"/>
        <v>0</v>
      </c>
      <c r="AM337" s="41">
        <f t="shared" si="48"/>
        <v>0</v>
      </c>
      <c r="AN337" s="41">
        <f t="shared" si="48"/>
        <v>0</v>
      </c>
      <c r="AO337" s="41">
        <f t="shared" si="48"/>
        <v>0</v>
      </c>
      <c r="AP337" s="41">
        <f t="shared" si="47"/>
        <v>140</v>
      </c>
      <c r="AQ337" s="41">
        <f t="shared" si="47"/>
        <v>0</v>
      </c>
      <c r="AR337" s="41">
        <f t="shared" si="47"/>
        <v>0</v>
      </c>
      <c r="AS337" s="41">
        <f t="shared" si="47"/>
        <v>96</v>
      </c>
      <c r="AT337" s="41">
        <f t="shared" si="47"/>
        <v>300</v>
      </c>
      <c r="AU337" s="43">
        <f t="shared" si="43"/>
        <v>60</v>
      </c>
      <c r="AV337" s="43">
        <f t="shared" si="42"/>
        <v>0</v>
      </c>
      <c r="AW337" s="43">
        <f t="shared" si="42"/>
        <v>0</v>
      </c>
      <c r="AX337" s="43">
        <f t="shared" si="42"/>
        <v>0</v>
      </c>
      <c r="AY337" s="43">
        <f t="shared" si="42"/>
        <v>0</v>
      </c>
      <c r="AZ337" s="43">
        <f t="shared" si="42"/>
        <v>0</v>
      </c>
      <c r="BA337" s="43">
        <f t="shared" si="42"/>
        <v>15</v>
      </c>
      <c r="BB337" s="43">
        <f t="shared" si="42"/>
        <v>0</v>
      </c>
      <c r="BC337" s="43">
        <f t="shared" si="39"/>
        <v>0</v>
      </c>
      <c r="BD337" s="43">
        <f t="shared" si="39"/>
        <v>32</v>
      </c>
      <c r="BE337" s="43">
        <f t="shared" si="39"/>
        <v>35</v>
      </c>
      <c r="BF337" s="41">
        <f t="shared" si="46"/>
        <v>142</v>
      </c>
      <c r="BG337" s="41" t="str">
        <f t="array" ref="BG337">_xlfn.IFS(
OR(MONTH(A337)=11,MONTH(A337)=12,MONTH(A337)=1,MONTH(A337)=2),"Winter",
OR(MONTH(A337)=3,MONTH(A337)=4),"Spring",
OR(MONTH(A337)=5,MONTH(A337)=6),"Summer",
OR(MONTH(A337)=7,MONTH(A337)=8,MONTH(A337)=9),"Monsoon",
MONTH(A337)=10,"Autumn/Festive",
TRUE,""
)</f>
        <v>Winter</v>
      </c>
    </row>
    <row r="338" spans="1:59" x14ac:dyDescent="0.3">
      <c r="A338" s="39">
        <v>45663</v>
      </c>
      <c r="B338" s="40" t="str">
        <f t="shared" si="44"/>
        <v>January</v>
      </c>
      <c r="C338" s="41">
        <v>5</v>
      </c>
      <c r="D338" s="41">
        <v>0</v>
      </c>
      <c r="E338" s="41">
        <v>0</v>
      </c>
      <c r="F338" s="41">
        <v>0</v>
      </c>
      <c r="G338" s="41">
        <v>0</v>
      </c>
      <c r="H338" s="41">
        <v>3.75</v>
      </c>
      <c r="I338" s="41">
        <v>3.5</v>
      </c>
      <c r="J338" s="41">
        <v>1</v>
      </c>
      <c r="K338" s="41">
        <v>2</v>
      </c>
      <c r="L338" s="41">
        <v>12</v>
      </c>
      <c r="M338" s="41">
        <v>0</v>
      </c>
      <c r="N338" s="42">
        <v>110</v>
      </c>
      <c r="O338" s="42">
        <v>110</v>
      </c>
      <c r="P338" s="42">
        <v>26</v>
      </c>
      <c r="Q338" s="42">
        <v>65</v>
      </c>
      <c r="R338" s="42">
        <v>200</v>
      </c>
      <c r="S338" s="42">
        <v>230</v>
      </c>
      <c r="T338" s="42">
        <v>250</v>
      </c>
      <c r="U338" s="42">
        <v>170</v>
      </c>
      <c r="V338" s="42">
        <v>25</v>
      </c>
      <c r="W338" s="42">
        <v>4</v>
      </c>
      <c r="X338" s="42">
        <v>265</v>
      </c>
      <c r="Y338" s="43">
        <v>130</v>
      </c>
      <c r="Z338" s="43">
        <v>150</v>
      </c>
      <c r="AA338" s="43">
        <v>30</v>
      </c>
      <c r="AB338" s="43">
        <v>95</v>
      </c>
      <c r="AC338" s="43">
        <v>250</v>
      </c>
      <c r="AD338" s="43">
        <v>260</v>
      </c>
      <c r="AE338" s="43">
        <v>280</v>
      </c>
      <c r="AF338" s="43">
        <v>200</v>
      </c>
      <c r="AG338" s="43">
        <v>30</v>
      </c>
      <c r="AH338" s="43">
        <v>6</v>
      </c>
      <c r="AI338" s="43">
        <v>300</v>
      </c>
      <c r="AJ338" s="41">
        <f t="shared" si="45"/>
        <v>650</v>
      </c>
      <c r="AK338" s="41">
        <f t="shared" si="48"/>
        <v>0</v>
      </c>
      <c r="AL338" s="41">
        <f t="shared" si="48"/>
        <v>0</v>
      </c>
      <c r="AM338" s="41">
        <f t="shared" si="48"/>
        <v>0</v>
      </c>
      <c r="AN338" s="41">
        <f t="shared" si="48"/>
        <v>0</v>
      </c>
      <c r="AO338" s="41">
        <f t="shared" si="48"/>
        <v>975</v>
      </c>
      <c r="AP338" s="41">
        <f t="shared" si="47"/>
        <v>980</v>
      </c>
      <c r="AQ338" s="41">
        <f t="shared" si="47"/>
        <v>200</v>
      </c>
      <c r="AR338" s="41">
        <f t="shared" si="47"/>
        <v>60</v>
      </c>
      <c r="AS338" s="41">
        <f t="shared" si="47"/>
        <v>72</v>
      </c>
      <c r="AT338" s="41">
        <f t="shared" si="47"/>
        <v>0</v>
      </c>
      <c r="AU338" s="43">
        <f t="shared" si="43"/>
        <v>100</v>
      </c>
      <c r="AV338" s="43">
        <f t="shared" si="42"/>
        <v>0</v>
      </c>
      <c r="AW338" s="43">
        <f t="shared" si="42"/>
        <v>0</v>
      </c>
      <c r="AX338" s="43">
        <f t="shared" si="42"/>
        <v>0</v>
      </c>
      <c r="AY338" s="43">
        <f t="shared" si="42"/>
        <v>0</v>
      </c>
      <c r="AZ338" s="43">
        <f t="shared" si="42"/>
        <v>112.5</v>
      </c>
      <c r="BA338" s="43">
        <f t="shared" si="42"/>
        <v>105</v>
      </c>
      <c r="BB338" s="43">
        <f t="shared" si="42"/>
        <v>30</v>
      </c>
      <c r="BC338" s="43">
        <f t="shared" si="39"/>
        <v>10</v>
      </c>
      <c r="BD338" s="43">
        <f t="shared" si="39"/>
        <v>24</v>
      </c>
      <c r="BE338" s="43">
        <f t="shared" si="39"/>
        <v>0</v>
      </c>
      <c r="BF338" s="41">
        <f t="shared" si="46"/>
        <v>381.5</v>
      </c>
      <c r="BG338" s="41" t="str">
        <f t="array" ref="BG338">_xlfn.IFS(
OR(MONTH(A338)=11,MONTH(A338)=12,MONTH(A338)=1,MONTH(A338)=2),"Winter",
OR(MONTH(A338)=3,MONTH(A338)=4),"Spring",
OR(MONTH(A338)=5,MONTH(A338)=6),"Summer",
OR(MONTH(A338)=7,MONTH(A338)=8,MONTH(A338)=9),"Monsoon",
MONTH(A338)=10,"Autumn/Festive",
TRUE,""
)</f>
        <v>Winter</v>
      </c>
    </row>
    <row r="339" spans="1:59" x14ac:dyDescent="0.3">
      <c r="A339" s="39">
        <v>45664</v>
      </c>
      <c r="B339" s="40" t="str">
        <f t="shared" si="44"/>
        <v>January</v>
      </c>
      <c r="C339" s="41">
        <v>2</v>
      </c>
      <c r="D339" s="41">
        <v>0</v>
      </c>
      <c r="E339" s="41">
        <v>0</v>
      </c>
      <c r="F339" s="41">
        <v>0</v>
      </c>
      <c r="G339" s="41">
        <v>0</v>
      </c>
      <c r="H339" s="41">
        <v>4.5</v>
      </c>
      <c r="I339" s="41">
        <v>4.75</v>
      </c>
      <c r="J339" s="41">
        <v>0</v>
      </c>
      <c r="K339" s="41">
        <v>2</v>
      </c>
      <c r="L339" s="41">
        <v>6</v>
      </c>
      <c r="M339" s="41">
        <v>2</v>
      </c>
      <c r="N339" s="42">
        <v>110</v>
      </c>
      <c r="O339" s="42">
        <v>110</v>
      </c>
      <c r="P339" s="42">
        <v>26</v>
      </c>
      <c r="Q339" s="42">
        <v>65</v>
      </c>
      <c r="R339" s="42">
        <v>200</v>
      </c>
      <c r="S339" s="42">
        <v>230</v>
      </c>
      <c r="T339" s="42">
        <v>250</v>
      </c>
      <c r="U339" s="42">
        <v>170</v>
      </c>
      <c r="V339" s="42">
        <v>25</v>
      </c>
      <c r="W339" s="42">
        <v>4</v>
      </c>
      <c r="X339" s="42">
        <v>265</v>
      </c>
      <c r="Y339" s="43">
        <v>130</v>
      </c>
      <c r="Z339" s="43">
        <v>150</v>
      </c>
      <c r="AA339" s="43">
        <v>30</v>
      </c>
      <c r="AB339" s="43">
        <v>95</v>
      </c>
      <c r="AC339" s="43">
        <v>250</v>
      </c>
      <c r="AD339" s="43">
        <v>260</v>
      </c>
      <c r="AE339" s="43">
        <v>280</v>
      </c>
      <c r="AF339" s="43">
        <v>200</v>
      </c>
      <c r="AG339" s="43">
        <v>30</v>
      </c>
      <c r="AH339" s="43">
        <v>6</v>
      </c>
      <c r="AI339" s="43">
        <v>300</v>
      </c>
      <c r="AJ339" s="41">
        <f t="shared" si="45"/>
        <v>260</v>
      </c>
      <c r="AK339" s="41">
        <f t="shared" si="48"/>
        <v>0</v>
      </c>
      <c r="AL339" s="41">
        <f t="shared" si="48"/>
        <v>0</v>
      </c>
      <c r="AM339" s="41">
        <f t="shared" si="48"/>
        <v>0</v>
      </c>
      <c r="AN339" s="41">
        <f t="shared" si="48"/>
        <v>0</v>
      </c>
      <c r="AO339" s="41">
        <f t="shared" si="48"/>
        <v>1170</v>
      </c>
      <c r="AP339" s="41">
        <f t="shared" si="47"/>
        <v>1330</v>
      </c>
      <c r="AQ339" s="41">
        <f t="shared" si="47"/>
        <v>0</v>
      </c>
      <c r="AR339" s="41">
        <f t="shared" si="47"/>
        <v>60</v>
      </c>
      <c r="AS339" s="41">
        <f t="shared" si="47"/>
        <v>36</v>
      </c>
      <c r="AT339" s="41">
        <f t="shared" si="47"/>
        <v>600</v>
      </c>
      <c r="AU339" s="43">
        <f t="shared" si="43"/>
        <v>40</v>
      </c>
      <c r="AV339" s="43">
        <f t="shared" si="42"/>
        <v>0</v>
      </c>
      <c r="AW339" s="43">
        <f t="shared" si="42"/>
        <v>0</v>
      </c>
      <c r="AX339" s="43">
        <f t="shared" si="42"/>
        <v>0</v>
      </c>
      <c r="AY339" s="43">
        <f t="shared" si="42"/>
        <v>0</v>
      </c>
      <c r="AZ339" s="43">
        <f t="shared" si="42"/>
        <v>135</v>
      </c>
      <c r="BA339" s="43">
        <f t="shared" si="42"/>
        <v>142.5</v>
      </c>
      <c r="BB339" s="43">
        <f t="shared" si="42"/>
        <v>0</v>
      </c>
      <c r="BC339" s="43">
        <f t="shared" si="42"/>
        <v>10</v>
      </c>
      <c r="BD339" s="43">
        <f t="shared" si="42"/>
        <v>12</v>
      </c>
      <c r="BE339" s="43">
        <f t="shared" si="42"/>
        <v>70</v>
      </c>
      <c r="BF339" s="41">
        <f t="shared" si="46"/>
        <v>409.5</v>
      </c>
      <c r="BG339" s="41" t="str">
        <f t="array" ref="BG339">_xlfn.IFS(
OR(MONTH(A339)=11,MONTH(A339)=12,MONTH(A339)=1,MONTH(A339)=2),"Winter",
OR(MONTH(A339)=3,MONTH(A339)=4),"Spring",
OR(MONTH(A339)=5,MONTH(A339)=6),"Summer",
OR(MONTH(A339)=7,MONTH(A339)=8,MONTH(A339)=9),"Monsoon",
MONTH(A339)=10,"Autumn/Festive",
TRUE,""
)</f>
        <v>Winter</v>
      </c>
    </row>
    <row r="340" spans="1:59" x14ac:dyDescent="0.3">
      <c r="A340" s="39">
        <v>45665</v>
      </c>
      <c r="B340" s="40" t="str">
        <f t="shared" si="44"/>
        <v>January</v>
      </c>
      <c r="C340" s="41">
        <v>3</v>
      </c>
      <c r="D340" s="41">
        <v>0</v>
      </c>
      <c r="E340" s="41">
        <v>0</v>
      </c>
      <c r="F340" s="41">
        <v>0</v>
      </c>
      <c r="G340" s="41">
        <v>0</v>
      </c>
      <c r="H340" s="41">
        <v>0</v>
      </c>
      <c r="I340" s="41">
        <v>2.25</v>
      </c>
      <c r="J340" s="41">
        <v>1</v>
      </c>
      <c r="K340" s="41">
        <v>0</v>
      </c>
      <c r="L340" s="41">
        <v>0</v>
      </c>
      <c r="M340" s="41">
        <v>0</v>
      </c>
      <c r="N340" s="42">
        <v>110</v>
      </c>
      <c r="O340" s="42">
        <v>110</v>
      </c>
      <c r="P340" s="42">
        <v>26</v>
      </c>
      <c r="Q340" s="42">
        <v>65</v>
      </c>
      <c r="R340" s="42">
        <v>200</v>
      </c>
      <c r="S340" s="42">
        <v>230</v>
      </c>
      <c r="T340" s="42">
        <v>250</v>
      </c>
      <c r="U340" s="42">
        <v>170</v>
      </c>
      <c r="V340" s="42">
        <v>25</v>
      </c>
      <c r="W340" s="42">
        <v>4</v>
      </c>
      <c r="X340" s="42">
        <v>265</v>
      </c>
      <c r="Y340" s="43">
        <v>130</v>
      </c>
      <c r="Z340" s="43">
        <v>150</v>
      </c>
      <c r="AA340" s="43">
        <v>30</v>
      </c>
      <c r="AB340" s="43">
        <v>95</v>
      </c>
      <c r="AC340" s="43">
        <v>250</v>
      </c>
      <c r="AD340" s="43">
        <v>260</v>
      </c>
      <c r="AE340" s="43">
        <v>280</v>
      </c>
      <c r="AF340" s="43">
        <v>200</v>
      </c>
      <c r="AG340" s="43">
        <v>30</v>
      </c>
      <c r="AH340" s="43">
        <v>6</v>
      </c>
      <c r="AI340" s="43">
        <v>300</v>
      </c>
      <c r="AJ340" s="41">
        <f t="shared" si="45"/>
        <v>390</v>
      </c>
      <c r="AK340" s="41">
        <f t="shared" si="48"/>
        <v>0</v>
      </c>
      <c r="AL340" s="41">
        <f t="shared" si="48"/>
        <v>0</v>
      </c>
      <c r="AM340" s="41">
        <f t="shared" si="48"/>
        <v>0</v>
      </c>
      <c r="AN340" s="41">
        <f t="shared" si="48"/>
        <v>0</v>
      </c>
      <c r="AO340" s="41">
        <f t="shared" si="48"/>
        <v>0</v>
      </c>
      <c r="AP340" s="41">
        <f t="shared" si="47"/>
        <v>630</v>
      </c>
      <c r="AQ340" s="41">
        <f t="shared" si="47"/>
        <v>200</v>
      </c>
      <c r="AR340" s="41">
        <f t="shared" si="47"/>
        <v>0</v>
      </c>
      <c r="AS340" s="41">
        <f t="shared" si="47"/>
        <v>0</v>
      </c>
      <c r="AT340" s="41">
        <f t="shared" si="47"/>
        <v>0</v>
      </c>
      <c r="AU340" s="43">
        <f t="shared" si="43"/>
        <v>60</v>
      </c>
      <c r="AV340" s="43">
        <f t="shared" si="43"/>
        <v>0</v>
      </c>
      <c r="AW340" s="43">
        <f t="shared" si="43"/>
        <v>0</v>
      </c>
      <c r="AX340" s="43">
        <f t="shared" si="43"/>
        <v>0</v>
      </c>
      <c r="AY340" s="43">
        <f t="shared" si="43"/>
        <v>0</v>
      </c>
      <c r="AZ340" s="43">
        <f t="shared" si="43"/>
        <v>0</v>
      </c>
      <c r="BA340" s="43">
        <f t="shared" si="43"/>
        <v>67.5</v>
      </c>
      <c r="BB340" s="43">
        <f t="shared" si="43"/>
        <v>30</v>
      </c>
      <c r="BC340" s="43">
        <f t="shared" si="43"/>
        <v>0</v>
      </c>
      <c r="BD340" s="43">
        <f t="shared" si="43"/>
        <v>0</v>
      </c>
      <c r="BE340" s="43">
        <f t="shared" si="43"/>
        <v>0</v>
      </c>
      <c r="BF340" s="41">
        <f t="shared" si="46"/>
        <v>157.5</v>
      </c>
      <c r="BG340" s="41" t="str">
        <f t="array" ref="BG340">_xlfn.IFS(
OR(MONTH(A340)=11,MONTH(A340)=12,MONTH(A340)=1,MONTH(A340)=2),"Winter",
OR(MONTH(A340)=3,MONTH(A340)=4),"Spring",
OR(MONTH(A340)=5,MONTH(A340)=6),"Summer",
OR(MONTH(A340)=7,MONTH(A340)=8,MONTH(A340)=9),"Monsoon",
MONTH(A340)=10,"Autumn/Festive",
TRUE,""
)</f>
        <v>Winter</v>
      </c>
    </row>
    <row r="341" spans="1:59" x14ac:dyDescent="0.3">
      <c r="A341" s="39">
        <v>45666</v>
      </c>
      <c r="B341" s="40" t="str">
        <f t="shared" si="44"/>
        <v>January</v>
      </c>
      <c r="C341" s="41">
        <v>4</v>
      </c>
      <c r="D341" s="41">
        <v>0</v>
      </c>
      <c r="E341" s="41">
        <v>0</v>
      </c>
      <c r="F341" s="41">
        <v>0</v>
      </c>
      <c r="G341" s="41">
        <v>0</v>
      </c>
      <c r="H341" s="41">
        <v>3.5</v>
      </c>
      <c r="I341" s="41">
        <v>0.25</v>
      </c>
      <c r="J341" s="41">
        <v>0</v>
      </c>
      <c r="K341" s="41">
        <v>1</v>
      </c>
      <c r="L341" s="41">
        <v>12</v>
      </c>
      <c r="M341" s="41">
        <v>2</v>
      </c>
      <c r="N341" s="42">
        <v>110</v>
      </c>
      <c r="O341" s="42">
        <v>110</v>
      </c>
      <c r="P341" s="42">
        <v>26</v>
      </c>
      <c r="Q341" s="42">
        <v>65</v>
      </c>
      <c r="R341" s="42">
        <v>200</v>
      </c>
      <c r="S341" s="42">
        <v>230</v>
      </c>
      <c r="T341" s="42">
        <v>250</v>
      </c>
      <c r="U341" s="42">
        <v>170</v>
      </c>
      <c r="V341" s="42">
        <v>25</v>
      </c>
      <c r="W341" s="42">
        <v>4</v>
      </c>
      <c r="X341" s="42">
        <v>265</v>
      </c>
      <c r="Y341" s="43">
        <v>130</v>
      </c>
      <c r="Z341" s="43">
        <v>150</v>
      </c>
      <c r="AA341" s="43">
        <v>30</v>
      </c>
      <c r="AB341" s="43">
        <v>95</v>
      </c>
      <c r="AC341" s="43">
        <v>250</v>
      </c>
      <c r="AD341" s="43">
        <v>260</v>
      </c>
      <c r="AE341" s="43">
        <v>280</v>
      </c>
      <c r="AF341" s="43">
        <v>200</v>
      </c>
      <c r="AG341" s="43">
        <v>30</v>
      </c>
      <c r="AH341" s="43">
        <v>6</v>
      </c>
      <c r="AI341" s="43">
        <v>300</v>
      </c>
      <c r="AJ341" s="41">
        <f t="shared" si="45"/>
        <v>520</v>
      </c>
      <c r="AK341" s="41">
        <f t="shared" si="48"/>
        <v>0</v>
      </c>
      <c r="AL341" s="41">
        <f t="shared" si="48"/>
        <v>0</v>
      </c>
      <c r="AM341" s="41">
        <f t="shared" si="48"/>
        <v>0</v>
      </c>
      <c r="AN341" s="41">
        <f t="shared" si="48"/>
        <v>0</v>
      </c>
      <c r="AO341" s="41">
        <f t="shared" si="48"/>
        <v>910</v>
      </c>
      <c r="AP341" s="41">
        <f t="shared" si="47"/>
        <v>70</v>
      </c>
      <c r="AQ341" s="41">
        <f t="shared" si="47"/>
        <v>0</v>
      </c>
      <c r="AR341" s="41">
        <f t="shared" si="47"/>
        <v>30</v>
      </c>
      <c r="AS341" s="41">
        <f t="shared" si="47"/>
        <v>72</v>
      </c>
      <c r="AT341" s="41">
        <f t="shared" si="47"/>
        <v>600</v>
      </c>
      <c r="AU341" s="43">
        <f t="shared" si="43"/>
        <v>80</v>
      </c>
      <c r="AV341" s="43">
        <f t="shared" si="43"/>
        <v>0</v>
      </c>
      <c r="AW341" s="43">
        <f t="shared" si="43"/>
        <v>0</v>
      </c>
      <c r="AX341" s="43">
        <f t="shared" si="43"/>
        <v>0</v>
      </c>
      <c r="AY341" s="43">
        <f t="shared" si="43"/>
        <v>0</v>
      </c>
      <c r="AZ341" s="43">
        <f t="shared" si="43"/>
        <v>105</v>
      </c>
      <c r="BA341" s="43">
        <f t="shared" si="43"/>
        <v>7.5</v>
      </c>
      <c r="BB341" s="43">
        <f t="shared" si="43"/>
        <v>0</v>
      </c>
      <c r="BC341" s="43">
        <f t="shared" si="43"/>
        <v>5</v>
      </c>
      <c r="BD341" s="43">
        <f t="shared" si="43"/>
        <v>24</v>
      </c>
      <c r="BE341" s="43">
        <f t="shared" si="43"/>
        <v>70</v>
      </c>
      <c r="BF341" s="41">
        <f t="shared" si="46"/>
        <v>291.5</v>
      </c>
      <c r="BG341" s="41" t="str">
        <f t="array" ref="BG341">_xlfn.IFS(
OR(MONTH(A341)=11,MONTH(A341)=12,MONTH(A341)=1,MONTH(A341)=2),"Winter",
OR(MONTH(A341)=3,MONTH(A341)=4),"Spring",
OR(MONTH(A341)=5,MONTH(A341)=6),"Summer",
OR(MONTH(A341)=7,MONTH(A341)=8,MONTH(A341)=9),"Monsoon",
MONTH(A341)=10,"Autumn/Festive",
TRUE,""
)</f>
        <v>Winter</v>
      </c>
    </row>
    <row r="342" spans="1:59" x14ac:dyDescent="0.3">
      <c r="A342" s="39">
        <v>45667</v>
      </c>
      <c r="B342" s="40" t="str">
        <f t="shared" si="44"/>
        <v>January</v>
      </c>
      <c r="C342" s="41">
        <v>3</v>
      </c>
      <c r="D342" s="41">
        <v>0</v>
      </c>
      <c r="E342" s="41">
        <v>0</v>
      </c>
      <c r="F342" s="41">
        <v>0</v>
      </c>
      <c r="G342" s="41">
        <v>0</v>
      </c>
      <c r="H342" s="41">
        <v>8.75</v>
      </c>
      <c r="I342" s="41">
        <v>0</v>
      </c>
      <c r="J342" s="41">
        <v>0</v>
      </c>
      <c r="K342" s="41">
        <v>0</v>
      </c>
      <c r="L342" s="41">
        <v>6</v>
      </c>
      <c r="M342" s="41">
        <v>3</v>
      </c>
      <c r="N342" s="42">
        <v>110</v>
      </c>
      <c r="O342" s="42">
        <v>110</v>
      </c>
      <c r="P342" s="42">
        <v>26</v>
      </c>
      <c r="Q342" s="42">
        <v>65</v>
      </c>
      <c r="R342" s="42">
        <v>200</v>
      </c>
      <c r="S342" s="42">
        <v>230</v>
      </c>
      <c r="T342" s="42">
        <v>250</v>
      </c>
      <c r="U342" s="42">
        <v>170</v>
      </c>
      <c r="V342" s="42">
        <v>25</v>
      </c>
      <c r="W342" s="42">
        <v>4</v>
      </c>
      <c r="X342" s="42">
        <v>265</v>
      </c>
      <c r="Y342" s="43">
        <v>130</v>
      </c>
      <c r="Z342" s="43">
        <v>150</v>
      </c>
      <c r="AA342" s="43">
        <v>30</v>
      </c>
      <c r="AB342" s="43">
        <v>95</v>
      </c>
      <c r="AC342" s="43">
        <v>250</v>
      </c>
      <c r="AD342" s="43">
        <v>260</v>
      </c>
      <c r="AE342" s="43">
        <v>280</v>
      </c>
      <c r="AF342" s="43">
        <v>200</v>
      </c>
      <c r="AG342" s="43">
        <v>30</v>
      </c>
      <c r="AH342" s="43">
        <v>6</v>
      </c>
      <c r="AI342" s="43">
        <v>300</v>
      </c>
      <c r="AJ342" s="41">
        <f t="shared" si="45"/>
        <v>390</v>
      </c>
      <c r="AK342" s="41">
        <f t="shared" si="48"/>
        <v>0</v>
      </c>
      <c r="AL342" s="41">
        <f t="shared" si="48"/>
        <v>0</v>
      </c>
      <c r="AM342" s="41">
        <f t="shared" si="48"/>
        <v>0</v>
      </c>
      <c r="AN342" s="41">
        <f t="shared" si="48"/>
        <v>0</v>
      </c>
      <c r="AO342" s="41">
        <f t="shared" si="48"/>
        <v>2275</v>
      </c>
      <c r="AP342" s="41">
        <f t="shared" si="47"/>
        <v>0</v>
      </c>
      <c r="AQ342" s="41">
        <f t="shared" si="47"/>
        <v>0</v>
      </c>
      <c r="AR342" s="41">
        <f t="shared" si="47"/>
        <v>0</v>
      </c>
      <c r="AS342" s="41">
        <f t="shared" si="47"/>
        <v>36</v>
      </c>
      <c r="AT342" s="41">
        <f t="shared" si="47"/>
        <v>900</v>
      </c>
      <c r="AU342" s="43">
        <f t="shared" si="43"/>
        <v>60</v>
      </c>
      <c r="AV342" s="43">
        <f t="shared" si="43"/>
        <v>0</v>
      </c>
      <c r="AW342" s="43">
        <f t="shared" si="43"/>
        <v>0</v>
      </c>
      <c r="AX342" s="43">
        <f t="shared" si="43"/>
        <v>0</v>
      </c>
      <c r="AY342" s="43">
        <f t="shared" si="43"/>
        <v>0</v>
      </c>
      <c r="AZ342" s="43">
        <f t="shared" si="43"/>
        <v>262.5</v>
      </c>
      <c r="BA342" s="43">
        <f t="shared" si="43"/>
        <v>0</v>
      </c>
      <c r="BB342" s="43">
        <f t="shared" si="43"/>
        <v>0</v>
      </c>
      <c r="BC342" s="43">
        <f t="shared" si="43"/>
        <v>0</v>
      </c>
      <c r="BD342" s="43">
        <f t="shared" si="43"/>
        <v>12</v>
      </c>
      <c r="BE342" s="43">
        <f t="shared" si="43"/>
        <v>105</v>
      </c>
      <c r="BF342" s="41">
        <f t="shared" si="46"/>
        <v>439.5</v>
      </c>
      <c r="BG342" s="41" t="str">
        <f t="array" ref="BG342">_xlfn.IFS(
OR(MONTH(A342)=11,MONTH(A342)=12,MONTH(A342)=1,MONTH(A342)=2),"Winter",
OR(MONTH(A342)=3,MONTH(A342)=4),"Spring",
OR(MONTH(A342)=5,MONTH(A342)=6),"Summer",
OR(MONTH(A342)=7,MONTH(A342)=8,MONTH(A342)=9),"Monsoon",
MONTH(A342)=10,"Autumn/Festive",
TRUE,""
)</f>
        <v>Winter</v>
      </c>
    </row>
    <row r="343" spans="1:59" x14ac:dyDescent="0.3">
      <c r="A343" s="39">
        <v>45668</v>
      </c>
      <c r="B343" s="40" t="str">
        <f t="shared" si="44"/>
        <v>January</v>
      </c>
      <c r="C343" s="41">
        <v>5</v>
      </c>
      <c r="D343" s="41">
        <v>0</v>
      </c>
      <c r="E343" s="41">
        <v>0</v>
      </c>
      <c r="F343" s="41">
        <v>0</v>
      </c>
      <c r="G343" s="41">
        <v>0</v>
      </c>
      <c r="H343" s="41">
        <v>0</v>
      </c>
      <c r="I343" s="41">
        <v>2.25</v>
      </c>
      <c r="J343" s="41">
        <v>0</v>
      </c>
      <c r="K343" s="41">
        <v>1</v>
      </c>
      <c r="L343" s="41">
        <v>0</v>
      </c>
      <c r="M343" s="41">
        <v>1</v>
      </c>
      <c r="N343" s="42">
        <v>110</v>
      </c>
      <c r="O343" s="42">
        <v>110</v>
      </c>
      <c r="P343" s="42">
        <v>26</v>
      </c>
      <c r="Q343" s="42">
        <v>65</v>
      </c>
      <c r="R343" s="42">
        <v>200</v>
      </c>
      <c r="S343" s="42">
        <v>230</v>
      </c>
      <c r="T343" s="42">
        <v>250</v>
      </c>
      <c r="U343" s="42">
        <v>170</v>
      </c>
      <c r="V343" s="42">
        <v>25</v>
      </c>
      <c r="W343" s="42">
        <v>4</v>
      </c>
      <c r="X343" s="42">
        <v>265</v>
      </c>
      <c r="Y343" s="43">
        <v>130</v>
      </c>
      <c r="Z343" s="43">
        <v>150</v>
      </c>
      <c r="AA343" s="43">
        <v>30</v>
      </c>
      <c r="AB343" s="43">
        <v>95</v>
      </c>
      <c r="AC343" s="43">
        <v>250</v>
      </c>
      <c r="AD343" s="43">
        <v>260</v>
      </c>
      <c r="AE343" s="43">
        <v>280</v>
      </c>
      <c r="AF343" s="43">
        <v>200</v>
      </c>
      <c r="AG343" s="43">
        <v>30</v>
      </c>
      <c r="AH343" s="43">
        <v>6</v>
      </c>
      <c r="AI343" s="43">
        <v>300</v>
      </c>
      <c r="AJ343" s="41">
        <f t="shared" si="45"/>
        <v>650</v>
      </c>
      <c r="AK343" s="41">
        <f t="shared" si="48"/>
        <v>0</v>
      </c>
      <c r="AL343" s="41">
        <f t="shared" si="48"/>
        <v>0</v>
      </c>
      <c r="AM343" s="41">
        <f t="shared" si="48"/>
        <v>0</v>
      </c>
      <c r="AN343" s="41">
        <f t="shared" si="48"/>
        <v>0</v>
      </c>
      <c r="AO343" s="41">
        <f t="shared" si="48"/>
        <v>0</v>
      </c>
      <c r="AP343" s="41">
        <f t="shared" si="47"/>
        <v>630</v>
      </c>
      <c r="AQ343" s="41">
        <f t="shared" si="47"/>
        <v>0</v>
      </c>
      <c r="AR343" s="41">
        <f t="shared" si="47"/>
        <v>30</v>
      </c>
      <c r="AS343" s="41">
        <f t="shared" si="47"/>
        <v>0</v>
      </c>
      <c r="AT343" s="41">
        <f t="shared" si="47"/>
        <v>300</v>
      </c>
      <c r="AU343" s="43">
        <f t="shared" si="43"/>
        <v>100</v>
      </c>
      <c r="AV343" s="43">
        <f t="shared" si="43"/>
        <v>0</v>
      </c>
      <c r="AW343" s="43">
        <f t="shared" si="43"/>
        <v>0</v>
      </c>
      <c r="AX343" s="43">
        <f t="shared" si="43"/>
        <v>0</v>
      </c>
      <c r="AY343" s="43">
        <f t="shared" si="43"/>
        <v>0</v>
      </c>
      <c r="AZ343" s="43">
        <f t="shared" si="43"/>
        <v>0</v>
      </c>
      <c r="BA343" s="43">
        <f t="shared" si="43"/>
        <v>67.5</v>
      </c>
      <c r="BB343" s="43">
        <f t="shared" si="43"/>
        <v>0</v>
      </c>
      <c r="BC343" s="43">
        <f t="shared" si="43"/>
        <v>5</v>
      </c>
      <c r="BD343" s="43">
        <f t="shared" si="43"/>
        <v>0</v>
      </c>
      <c r="BE343" s="43">
        <f t="shared" si="43"/>
        <v>35</v>
      </c>
      <c r="BF343" s="41">
        <f t="shared" si="46"/>
        <v>207.5</v>
      </c>
      <c r="BG343" s="41" t="str">
        <f t="array" ref="BG343">_xlfn.IFS(
OR(MONTH(A343)=11,MONTH(A343)=12,MONTH(A343)=1,MONTH(A343)=2),"Winter",
OR(MONTH(A343)=3,MONTH(A343)=4),"Spring",
OR(MONTH(A343)=5,MONTH(A343)=6),"Summer",
OR(MONTH(A343)=7,MONTH(A343)=8,MONTH(A343)=9),"Monsoon",
MONTH(A343)=10,"Autumn/Festive",
TRUE,""
)</f>
        <v>Winter</v>
      </c>
    </row>
    <row r="344" spans="1:59" x14ac:dyDescent="0.3">
      <c r="A344" s="39">
        <v>45669</v>
      </c>
      <c r="B344" s="40" t="str">
        <f t="shared" si="44"/>
        <v>January</v>
      </c>
      <c r="C344" s="41">
        <v>6</v>
      </c>
      <c r="D344" s="41">
        <v>0</v>
      </c>
      <c r="E344" s="41">
        <v>0</v>
      </c>
      <c r="F344" s="41">
        <v>0</v>
      </c>
      <c r="G344" s="41">
        <v>0</v>
      </c>
      <c r="H344" s="41">
        <v>3.5</v>
      </c>
      <c r="I344" s="41">
        <v>0</v>
      </c>
      <c r="J344" s="41">
        <v>0</v>
      </c>
      <c r="K344" s="41">
        <v>2</v>
      </c>
      <c r="L344" s="41">
        <v>11</v>
      </c>
      <c r="M344" s="41">
        <v>1</v>
      </c>
      <c r="N344" s="42">
        <v>110</v>
      </c>
      <c r="O344" s="42">
        <v>110</v>
      </c>
      <c r="P344" s="42">
        <v>26</v>
      </c>
      <c r="Q344" s="42">
        <v>65</v>
      </c>
      <c r="R344" s="42">
        <v>200</v>
      </c>
      <c r="S344" s="42">
        <v>230</v>
      </c>
      <c r="T344" s="42">
        <v>250</v>
      </c>
      <c r="U344" s="42">
        <v>170</v>
      </c>
      <c r="V344" s="42">
        <v>25</v>
      </c>
      <c r="W344" s="42">
        <v>4</v>
      </c>
      <c r="X344" s="42">
        <v>265</v>
      </c>
      <c r="Y344" s="43">
        <v>130</v>
      </c>
      <c r="Z344" s="43">
        <v>150</v>
      </c>
      <c r="AA344" s="43">
        <v>30</v>
      </c>
      <c r="AB344" s="43">
        <v>95</v>
      </c>
      <c r="AC344" s="43">
        <v>250</v>
      </c>
      <c r="AD344" s="43">
        <v>260</v>
      </c>
      <c r="AE344" s="43">
        <v>280</v>
      </c>
      <c r="AF344" s="43">
        <v>200</v>
      </c>
      <c r="AG344" s="43">
        <v>30</v>
      </c>
      <c r="AH344" s="43">
        <v>6</v>
      </c>
      <c r="AI344" s="43">
        <v>300</v>
      </c>
      <c r="AJ344" s="41">
        <f t="shared" si="45"/>
        <v>780</v>
      </c>
      <c r="AK344" s="41">
        <f t="shared" si="48"/>
        <v>0</v>
      </c>
      <c r="AL344" s="41">
        <f t="shared" si="48"/>
        <v>0</v>
      </c>
      <c r="AM344" s="41">
        <f t="shared" si="48"/>
        <v>0</v>
      </c>
      <c r="AN344" s="41">
        <f t="shared" si="48"/>
        <v>0</v>
      </c>
      <c r="AO344" s="41">
        <f t="shared" si="48"/>
        <v>910</v>
      </c>
      <c r="AP344" s="41">
        <f t="shared" si="47"/>
        <v>0</v>
      </c>
      <c r="AQ344" s="41">
        <f t="shared" si="47"/>
        <v>0</v>
      </c>
      <c r="AR344" s="41">
        <f t="shared" si="47"/>
        <v>60</v>
      </c>
      <c r="AS344" s="41">
        <f t="shared" si="47"/>
        <v>66</v>
      </c>
      <c r="AT344" s="41">
        <f t="shared" si="47"/>
        <v>300</v>
      </c>
      <c r="AU344" s="43">
        <f t="shared" si="43"/>
        <v>120</v>
      </c>
      <c r="AV344" s="43">
        <f t="shared" si="43"/>
        <v>0</v>
      </c>
      <c r="AW344" s="43">
        <f t="shared" si="43"/>
        <v>0</v>
      </c>
      <c r="AX344" s="43">
        <f t="shared" si="43"/>
        <v>0</v>
      </c>
      <c r="AY344" s="43">
        <f t="shared" si="43"/>
        <v>0</v>
      </c>
      <c r="AZ344" s="43">
        <f t="shared" si="43"/>
        <v>105</v>
      </c>
      <c r="BA344" s="43">
        <f t="shared" si="43"/>
        <v>0</v>
      </c>
      <c r="BB344" s="43">
        <f t="shared" si="43"/>
        <v>0</v>
      </c>
      <c r="BC344" s="43">
        <f t="shared" si="43"/>
        <v>10</v>
      </c>
      <c r="BD344" s="43">
        <f t="shared" si="43"/>
        <v>22</v>
      </c>
      <c r="BE344" s="43">
        <f t="shared" si="43"/>
        <v>35</v>
      </c>
      <c r="BF344" s="41">
        <f t="shared" si="46"/>
        <v>292</v>
      </c>
      <c r="BG344" s="41" t="str">
        <f t="array" ref="BG344">_xlfn.IFS(
OR(MONTH(A344)=11,MONTH(A344)=12,MONTH(A344)=1,MONTH(A344)=2),"Winter",
OR(MONTH(A344)=3,MONTH(A344)=4),"Spring",
OR(MONTH(A344)=5,MONTH(A344)=6),"Summer",
OR(MONTH(A344)=7,MONTH(A344)=8,MONTH(A344)=9),"Monsoon",
MONTH(A344)=10,"Autumn/Festive",
TRUE,""
)</f>
        <v>Winter</v>
      </c>
    </row>
    <row r="345" spans="1:59" x14ac:dyDescent="0.3">
      <c r="A345" s="39">
        <v>45670</v>
      </c>
      <c r="B345" s="40" t="str">
        <f t="shared" si="44"/>
        <v>January</v>
      </c>
      <c r="C345" s="41">
        <v>0</v>
      </c>
      <c r="D345" s="41">
        <v>0</v>
      </c>
      <c r="E345" s="41">
        <v>0</v>
      </c>
      <c r="F345" s="41">
        <v>0</v>
      </c>
      <c r="G345" s="41">
        <v>0</v>
      </c>
      <c r="H345" s="41">
        <v>4.75</v>
      </c>
      <c r="I345" s="41">
        <v>2.25</v>
      </c>
      <c r="J345" s="41">
        <v>1</v>
      </c>
      <c r="K345" s="41">
        <v>2</v>
      </c>
      <c r="L345" s="41">
        <v>18</v>
      </c>
      <c r="M345" s="41">
        <v>3</v>
      </c>
      <c r="N345" s="42">
        <v>110</v>
      </c>
      <c r="O345" s="42">
        <v>110</v>
      </c>
      <c r="P345" s="42">
        <v>26</v>
      </c>
      <c r="Q345" s="42">
        <v>65</v>
      </c>
      <c r="R345" s="42">
        <v>200</v>
      </c>
      <c r="S345" s="42">
        <v>230</v>
      </c>
      <c r="T345" s="42">
        <v>250</v>
      </c>
      <c r="U345" s="42">
        <v>170</v>
      </c>
      <c r="V345" s="42">
        <v>25</v>
      </c>
      <c r="W345" s="42">
        <v>4</v>
      </c>
      <c r="X345" s="42">
        <v>265</v>
      </c>
      <c r="Y345" s="43">
        <v>130</v>
      </c>
      <c r="Z345" s="43">
        <v>150</v>
      </c>
      <c r="AA345" s="43">
        <v>30</v>
      </c>
      <c r="AB345" s="43">
        <v>95</v>
      </c>
      <c r="AC345" s="43">
        <v>250</v>
      </c>
      <c r="AD345" s="43">
        <v>260</v>
      </c>
      <c r="AE345" s="43">
        <v>280</v>
      </c>
      <c r="AF345" s="43">
        <v>200</v>
      </c>
      <c r="AG345" s="43">
        <v>30</v>
      </c>
      <c r="AH345" s="43">
        <v>6</v>
      </c>
      <c r="AI345" s="43">
        <v>300</v>
      </c>
      <c r="AJ345" s="41">
        <f t="shared" si="45"/>
        <v>0</v>
      </c>
      <c r="AK345" s="41">
        <f t="shared" si="48"/>
        <v>0</v>
      </c>
      <c r="AL345" s="41">
        <f t="shared" si="48"/>
        <v>0</v>
      </c>
      <c r="AM345" s="41">
        <f t="shared" si="48"/>
        <v>0</v>
      </c>
      <c r="AN345" s="41">
        <f t="shared" si="48"/>
        <v>0</v>
      </c>
      <c r="AO345" s="41">
        <f t="shared" si="48"/>
        <v>1235</v>
      </c>
      <c r="AP345" s="41">
        <f t="shared" si="47"/>
        <v>630</v>
      </c>
      <c r="AQ345" s="41">
        <f t="shared" si="47"/>
        <v>200</v>
      </c>
      <c r="AR345" s="41">
        <f t="shared" si="47"/>
        <v>60</v>
      </c>
      <c r="AS345" s="41">
        <f t="shared" si="47"/>
        <v>108</v>
      </c>
      <c r="AT345" s="41">
        <f t="shared" si="47"/>
        <v>900</v>
      </c>
      <c r="AU345" s="43">
        <f t="shared" si="43"/>
        <v>0</v>
      </c>
      <c r="AV345" s="43">
        <f t="shared" si="43"/>
        <v>0</v>
      </c>
      <c r="AW345" s="43">
        <f t="shared" si="43"/>
        <v>0</v>
      </c>
      <c r="AX345" s="43">
        <f t="shared" si="43"/>
        <v>0</v>
      </c>
      <c r="AY345" s="43">
        <f t="shared" si="43"/>
        <v>0</v>
      </c>
      <c r="AZ345" s="43">
        <f t="shared" si="43"/>
        <v>142.5</v>
      </c>
      <c r="BA345" s="43">
        <f t="shared" si="43"/>
        <v>67.5</v>
      </c>
      <c r="BB345" s="43">
        <f t="shared" si="43"/>
        <v>30</v>
      </c>
      <c r="BC345" s="43">
        <f t="shared" si="43"/>
        <v>10</v>
      </c>
      <c r="BD345" s="43">
        <f t="shared" si="43"/>
        <v>36</v>
      </c>
      <c r="BE345" s="43">
        <f t="shared" si="43"/>
        <v>105</v>
      </c>
      <c r="BF345" s="41">
        <f t="shared" si="46"/>
        <v>391</v>
      </c>
      <c r="BG345" s="41" t="str">
        <f t="array" ref="BG345">_xlfn.IFS(
OR(MONTH(A345)=11,MONTH(A345)=12,MONTH(A345)=1,MONTH(A345)=2),"Winter",
OR(MONTH(A345)=3,MONTH(A345)=4),"Spring",
OR(MONTH(A345)=5,MONTH(A345)=6),"Summer",
OR(MONTH(A345)=7,MONTH(A345)=8,MONTH(A345)=9),"Monsoon",
MONTH(A345)=10,"Autumn/Festive",
TRUE,""
)</f>
        <v>Winter</v>
      </c>
    </row>
    <row r="346" spans="1:59" x14ac:dyDescent="0.3">
      <c r="A346" s="39">
        <v>45671</v>
      </c>
      <c r="B346" s="40" t="str">
        <f t="shared" si="44"/>
        <v>January</v>
      </c>
      <c r="C346" s="41">
        <v>7</v>
      </c>
      <c r="D346" s="41">
        <v>12</v>
      </c>
      <c r="E346" s="41">
        <v>0</v>
      </c>
      <c r="F346" s="41">
        <v>0</v>
      </c>
      <c r="G346" s="41">
        <v>0</v>
      </c>
      <c r="H346" s="41">
        <v>0.5</v>
      </c>
      <c r="I346" s="41">
        <v>3.25</v>
      </c>
      <c r="J346" s="41">
        <v>0</v>
      </c>
      <c r="K346" s="41">
        <v>0</v>
      </c>
      <c r="L346" s="41">
        <v>0</v>
      </c>
      <c r="M346" s="41">
        <v>1.5</v>
      </c>
      <c r="N346" s="42">
        <v>110</v>
      </c>
      <c r="O346" s="42">
        <v>110</v>
      </c>
      <c r="P346" s="42">
        <v>26</v>
      </c>
      <c r="Q346" s="42">
        <v>65</v>
      </c>
      <c r="R346" s="42">
        <v>200</v>
      </c>
      <c r="S346" s="42">
        <v>230</v>
      </c>
      <c r="T346" s="42">
        <v>250</v>
      </c>
      <c r="U346" s="42">
        <v>170</v>
      </c>
      <c r="V346" s="42">
        <v>25</v>
      </c>
      <c r="W346" s="42">
        <v>4</v>
      </c>
      <c r="X346" s="42">
        <v>265</v>
      </c>
      <c r="Y346" s="43">
        <v>130</v>
      </c>
      <c r="Z346" s="43">
        <v>150</v>
      </c>
      <c r="AA346" s="43">
        <v>30</v>
      </c>
      <c r="AB346" s="43">
        <v>95</v>
      </c>
      <c r="AC346" s="43">
        <v>250</v>
      </c>
      <c r="AD346" s="43">
        <v>260</v>
      </c>
      <c r="AE346" s="43">
        <v>280</v>
      </c>
      <c r="AF346" s="43">
        <v>200</v>
      </c>
      <c r="AG346" s="43">
        <v>30</v>
      </c>
      <c r="AH346" s="43">
        <v>6</v>
      </c>
      <c r="AI346" s="43">
        <v>300</v>
      </c>
      <c r="AJ346" s="41">
        <f t="shared" si="45"/>
        <v>910</v>
      </c>
      <c r="AK346" s="41">
        <f t="shared" si="48"/>
        <v>1800</v>
      </c>
      <c r="AL346" s="41">
        <f t="shared" si="48"/>
        <v>0</v>
      </c>
      <c r="AM346" s="41">
        <f t="shared" si="48"/>
        <v>0</v>
      </c>
      <c r="AN346" s="41">
        <f t="shared" si="48"/>
        <v>0</v>
      </c>
      <c r="AO346" s="41">
        <f t="shared" si="48"/>
        <v>130</v>
      </c>
      <c r="AP346" s="41">
        <f t="shared" si="47"/>
        <v>910</v>
      </c>
      <c r="AQ346" s="41">
        <f t="shared" si="47"/>
        <v>0</v>
      </c>
      <c r="AR346" s="41">
        <f t="shared" si="47"/>
        <v>0</v>
      </c>
      <c r="AS346" s="41">
        <f t="shared" si="47"/>
        <v>0</v>
      </c>
      <c r="AT346" s="41">
        <f t="shared" si="47"/>
        <v>450</v>
      </c>
      <c r="AU346" s="43">
        <f t="shared" si="43"/>
        <v>140</v>
      </c>
      <c r="AV346" s="43">
        <f t="shared" si="43"/>
        <v>480</v>
      </c>
      <c r="AW346" s="43">
        <f t="shared" si="43"/>
        <v>0</v>
      </c>
      <c r="AX346" s="43">
        <f t="shared" si="43"/>
        <v>0</v>
      </c>
      <c r="AY346" s="43">
        <f t="shared" si="43"/>
        <v>0</v>
      </c>
      <c r="AZ346" s="43">
        <f t="shared" si="43"/>
        <v>15</v>
      </c>
      <c r="BA346" s="43">
        <f t="shared" si="43"/>
        <v>97.5</v>
      </c>
      <c r="BB346" s="43">
        <f t="shared" si="43"/>
        <v>0</v>
      </c>
      <c r="BC346" s="43">
        <f t="shared" si="43"/>
        <v>0</v>
      </c>
      <c r="BD346" s="43">
        <f t="shared" si="43"/>
        <v>0</v>
      </c>
      <c r="BE346" s="43">
        <f t="shared" si="43"/>
        <v>52.5</v>
      </c>
      <c r="BF346" s="41">
        <f t="shared" si="46"/>
        <v>785</v>
      </c>
      <c r="BG346" s="41" t="str">
        <f t="array" ref="BG346">_xlfn.IFS(
OR(MONTH(A346)=11,MONTH(A346)=12,MONTH(A346)=1,MONTH(A346)=2),"Winter",
OR(MONTH(A346)=3,MONTH(A346)=4),"Spring",
OR(MONTH(A346)=5,MONTH(A346)=6),"Summer",
OR(MONTH(A346)=7,MONTH(A346)=8,MONTH(A346)=9),"Monsoon",
MONTH(A346)=10,"Autumn/Festive",
TRUE,""
)</f>
        <v>Winter</v>
      </c>
    </row>
    <row r="347" spans="1:59" x14ac:dyDescent="0.3">
      <c r="A347" s="39">
        <v>45672</v>
      </c>
      <c r="B347" s="40" t="str">
        <f t="shared" si="44"/>
        <v>January</v>
      </c>
      <c r="C347" s="41">
        <v>10</v>
      </c>
      <c r="D347" s="41">
        <v>0</v>
      </c>
      <c r="E347" s="41">
        <v>0</v>
      </c>
      <c r="F347" s="41">
        <v>0</v>
      </c>
      <c r="G347" s="41">
        <v>0</v>
      </c>
      <c r="H347" s="41">
        <v>3.75</v>
      </c>
      <c r="I347" s="41">
        <v>4</v>
      </c>
      <c r="J347" s="41">
        <v>0</v>
      </c>
      <c r="K347" s="41">
        <v>0</v>
      </c>
      <c r="L347" s="41">
        <v>14</v>
      </c>
      <c r="M347" s="41">
        <v>1</v>
      </c>
      <c r="N347" s="42">
        <v>110</v>
      </c>
      <c r="O347" s="42">
        <v>110</v>
      </c>
      <c r="P347" s="42">
        <v>26</v>
      </c>
      <c r="Q347" s="42">
        <v>65</v>
      </c>
      <c r="R347" s="42">
        <v>200</v>
      </c>
      <c r="S347" s="42">
        <v>230</v>
      </c>
      <c r="T347" s="42">
        <v>250</v>
      </c>
      <c r="U347" s="42">
        <v>170</v>
      </c>
      <c r="V347" s="42">
        <v>25</v>
      </c>
      <c r="W347" s="42">
        <v>4</v>
      </c>
      <c r="X347" s="42">
        <v>265</v>
      </c>
      <c r="Y347" s="43">
        <v>130</v>
      </c>
      <c r="Z347" s="43">
        <v>150</v>
      </c>
      <c r="AA347" s="43">
        <v>30</v>
      </c>
      <c r="AB347" s="43">
        <v>95</v>
      </c>
      <c r="AC347" s="43">
        <v>250</v>
      </c>
      <c r="AD347" s="43">
        <v>260</v>
      </c>
      <c r="AE347" s="43">
        <v>280</v>
      </c>
      <c r="AF347" s="43">
        <v>200</v>
      </c>
      <c r="AG347" s="43">
        <v>30</v>
      </c>
      <c r="AH347" s="43">
        <v>6</v>
      </c>
      <c r="AI347" s="43">
        <v>300</v>
      </c>
      <c r="AJ347" s="41">
        <f t="shared" si="45"/>
        <v>1300</v>
      </c>
      <c r="AK347" s="41">
        <f t="shared" si="48"/>
        <v>0</v>
      </c>
      <c r="AL347" s="41">
        <f t="shared" si="48"/>
        <v>0</v>
      </c>
      <c r="AM347" s="41">
        <f t="shared" si="48"/>
        <v>0</v>
      </c>
      <c r="AN347" s="41">
        <f t="shared" si="48"/>
        <v>0</v>
      </c>
      <c r="AO347" s="41">
        <f t="shared" si="48"/>
        <v>975</v>
      </c>
      <c r="AP347" s="41">
        <f t="shared" si="47"/>
        <v>1120</v>
      </c>
      <c r="AQ347" s="41">
        <f t="shared" si="47"/>
        <v>0</v>
      </c>
      <c r="AR347" s="41">
        <f t="shared" si="47"/>
        <v>0</v>
      </c>
      <c r="AS347" s="41">
        <f t="shared" si="47"/>
        <v>84</v>
      </c>
      <c r="AT347" s="41">
        <f t="shared" si="47"/>
        <v>300</v>
      </c>
      <c r="AU347" s="43">
        <f t="shared" si="43"/>
        <v>200</v>
      </c>
      <c r="AV347" s="43">
        <f t="shared" si="43"/>
        <v>0</v>
      </c>
      <c r="AW347" s="43">
        <f t="shared" si="43"/>
        <v>0</v>
      </c>
      <c r="AX347" s="43">
        <f t="shared" si="43"/>
        <v>0</v>
      </c>
      <c r="AY347" s="43">
        <f t="shared" si="43"/>
        <v>0</v>
      </c>
      <c r="AZ347" s="43">
        <f t="shared" si="43"/>
        <v>112.5</v>
      </c>
      <c r="BA347" s="43">
        <f t="shared" si="43"/>
        <v>120</v>
      </c>
      <c r="BB347" s="43">
        <f t="shared" si="43"/>
        <v>0</v>
      </c>
      <c r="BC347" s="43">
        <f t="shared" si="43"/>
        <v>0</v>
      </c>
      <c r="BD347" s="43">
        <f t="shared" si="43"/>
        <v>28</v>
      </c>
      <c r="BE347" s="43">
        <f t="shared" si="43"/>
        <v>35</v>
      </c>
      <c r="BF347" s="41">
        <f t="shared" si="46"/>
        <v>495.5</v>
      </c>
      <c r="BG347" s="41" t="str">
        <f t="array" ref="BG347">_xlfn.IFS(
OR(MONTH(A347)=11,MONTH(A347)=12,MONTH(A347)=1,MONTH(A347)=2),"Winter",
OR(MONTH(A347)=3,MONTH(A347)=4),"Spring",
OR(MONTH(A347)=5,MONTH(A347)=6),"Summer",
OR(MONTH(A347)=7,MONTH(A347)=8,MONTH(A347)=9),"Monsoon",
MONTH(A347)=10,"Autumn/Festive",
TRUE,""
)</f>
        <v>Winter</v>
      </c>
    </row>
    <row r="348" spans="1:59" x14ac:dyDescent="0.3">
      <c r="A348" s="39">
        <v>45673</v>
      </c>
      <c r="B348" s="40" t="str">
        <f t="shared" si="44"/>
        <v>January</v>
      </c>
      <c r="C348" s="41">
        <v>12</v>
      </c>
      <c r="D348" s="41">
        <v>0</v>
      </c>
      <c r="E348" s="41">
        <v>0</v>
      </c>
      <c r="F348" s="41">
        <v>0</v>
      </c>
      <c r="G348" s="41">
        <v>0</v>
      </c>
      <c r="H348" s="41">
        <v>0.5</v>
      </c>
      <c r="I348" s="41">
        <v>2.25</v>
      </c>
      <c r="J348" s="41">
        <v>1</v>
      </c>
      <c r="K348" s="41">
        <v>2</v>
      </c>
      <c r="L348" s="41">
        <v>6</v>
      </c>
      <c r="M348" s="41">
        <v>1</v>
      </c>
      <c r="N348" s="42">
        <v>110</v>
      </c>
      <c r="O348" s="42">
        <v>110</v>
      </c>
      <c r="P348" s="42">
        <v>26</v>
      </c>
      <c r="Q348" s="42">
        <v>65</v>
      </c>
      <c r="R348" s="42">
        <v>200</v>
      </c>
      <c r="S348" s="42">
        <v>230</v>
      </c>
      <c r="T348" s="42">
        <v>250</v>
      </c>
      <c r="U348" s="42">
        <v>170</v>
      </c>
      <c r="V348" s="42">
        <v>25</v>
      </c>
      <c r="W348" s="42">
        <v>4</v>
      </c>
      <c r="X348" s="42">
        <v>265</v>
      </c>
      <c r="Y348" s="43">
        <v>130</v>
      </c>
      <c r="Z348" s="43">
        <v>150</v>
      </c>
      <c r="AA348" s="43">
        <v>30</v>
      </c>
      <c r="AB348" s="43">
        <v>95</v>
      </c>
      <c r="AC348" s="43">
        <v>250</v>
      </c>
      <c r="AD348" s="43">
        <v>260</v>
      </c>
      <c r="AE348" s="43">
        <v>280</v>
      </c>
      <c r="AF348" s="43">
        <v>200</v>
      </c>
      <c r="AG348" s="43">
        <v>30</v>
      </c>
      <c r="AH348" s="43">
        <v>6</v>
      </c>
      <c r="AI348" s="43">
        <v>300</v>
      </c>
      <c r="AJ348" s="41">
        <f t="shared" si="45"/>
        <v>1560</v>
      </c>
      <c r="AK348" s="41">
        <f t="shared" si="48"/>
        <v>0</v>
      </c>
      <c r="AL348" s="41">
        <f t="shared" si="48"/>
        <v>0</v>
      </c>
      <c r="AM348" s="41">
        <f t="shared" si="48"/>
        <v>0</v>
      </c>
      <c r="AN348" s="41">
        <f t="shared" si="48"/>
        <v>0</v>
      </c>
      <c r="AO348" s="41">
        <f t="shared" si="48"/>
        <v>130</v>
      </c>
      <c r="AP348" s="41">
        <f t="shared" si="47"/>
        <v>630</v>
      </c>
      <c r="AQ348" s="41">
        <f t="shared" si="47"/>
        <v>200</v>
      </c>
      <c r="AR348" s="41">
        <f t="shared" si="47"/>
        <v>60</v>
      </c>
      <c r="AS348" s="41">
        <f t="shared" si="47"/>
        <v>36</v>
      </c>
      <c r="AT348" s="41">
        <f t="shared" si="47"/>
        <v>300</v>
      </c>
      <c r="AU348" s="43">
        <f t="shared" si="43"/>
        <v>240</v>
      </c>
      <c r="AV348" s="43">
        <f t="shared" si="43"/>
        <v>0</v>
      </c>
      <c r="AW348" s="43">
        <f t="shared" si="43"/>
        <v>0</v>
      </c>
      <c r="AX348" s="43">
        <f t="shared" si="43"/>
        <v>0</v>
      </c>
      <c r="AY348" s="43">
        <f t="shared" si="43"/>
        <v>0</v>
      </c>
      <c r="AZ348" s="43">
        <f t="shared" si="43"/>
        <v>15</v>
      </c>
      <c r="BA348" s="43">
        <f t="shared" si="43"/>
        <v>67.5</v>
      </c>
      <c r="BB348" s="43">
        <f t="shared" si="43"/>
        <v>30</v>
      </c>
      <c r="BC348" s="43">
        <f t="shared" si="43"/>
        <v>10</v>
      </c>
      <c r="BD348" s="43">
        <f t="shared" si="43"/>
        <v>12</v>
      </c>
      <c r="BE348" s="43">
        <f t="shared" si="43"/>
        <v>35</v>
      </c>
      <c r="BF348" s="41">
        <f t="shared" si="46"/>
        <v>409.5</v>
      </c>
      <c r="BG348" s="41" t="str">
        <f t="array" ref="BG348">_xlfn.IFS(
OR(MONTH(A348)=11,MONTH(A348)=12,MONTH(A348)=1,MONTH(A348)=2),"Winter",
OR(MONTH(A348)=3,MONTH(A348)=4),"Spring",
OR(MONTH(A348)=5,MONTH(A348)=6),"Summer",
OR(MONTH(A348)=7,MONTH(A348)=8,MONTH(A348)=9),"Monsoon",
MONTH(A348)=10,"Autumn/Festive",
TRUE,""
)</f>
        <v>Winter</v>
      </c>
    </row>
    <row r="349" spans="1:59" x14ac:dyDescent="0.3">
      <c r="A349" s="39">
        <v>45674</v>
      </c>
      <c r="B349" s="40" t="str">
        <f t="shared" si="44"/>
        <v>January</v>
      </c>
      <c r="C349" s="41">
        <v>3</v>
      </c>
      <c r="D349" s="41">
        <v>0</v>
      </c>
      <c r="E349" s="41">
        <v>0</v>
      </c>
      <c r="F349" s="41">
        <v>0</v>
      </c>
      <c r="G349" s="41">
        <v>0</v>
      </c>
      <c r="H349" s="41">
        <v>10</v>
      </c>
      <c r="I349" s="41">
        <v>2</v>
      </c>
      <c r="J349" s="41">
        <v>0</v>
      </c>
      <c r="K349" s="41">
        <v>0</v>
      </c>
      <c r="L349" s="41">
        <v>0</v>
      </c>
      <c r="M349" s="41">
        <v>2</v>
      </c>
      <c r="N349" s="42">
        <v>110</v>
      </c>
      <c r="O349" s="42">
        <v>110</v>
      </c>
      <c r="P349" s="42">
        <v>26</v>
      </c>
      <c r="Q349" s="42">
        <v>65</v>
      </c>
      <c r="R349" s="42">
        <v>200</v>
      </c>
      <c r="S349" s="42">
        <v>230</v>
      </c>
      <c r="T349" s="42">
        <v>250</v>
      </c>
      <c r="U349" s="42">
        <v>170</v>
      </c>
      <c r="V349" s="42">
        <v>25</v>
      </c>
      <c r="W349" s="42">
        <v>4</v>
      </c>
      <c r="X349" s="42">
        <v>265</v>
      </c>
      <c r="Y349" s="43">
        <v>130</v>
      </c>
      <c r="Z349" s="43">
        <v>150</v>
      </c>
      <c r="AA349" s="43">
        <v>30</v>
      </c>
      <c r="AB349" s="43">
        <v>95</v>
      </c>
      <c r="AC349" s="43">
        <v>250</v>
      </c>
      <c r="AD349" s="43">
        <v>260</v>
      </c>
      <c r="AE349" s="43">
        <v>280</v>
      </c>
      <c r="AF349" s="43">
        <v>200</v>
      </c>
      <c r="AG349" s="43">
        <v>30</v>
      </c>
      <c r="AH349" s="43">
        <v>6</v>
      </c>
      <c r="AI349" s="43">
        <v>300</v>
      </c>
      <c r="AJ349" s="41">
        <f t="shared" si="45"/>
        <v>390</v>
      </c>
      <c r="AK349" s="41">
        <f t="shared" si="48"/>
        <v>0</v>
      </c>
      <c r="AL349" s="41">
        <f t="shared" si="48"/>
        <v>0</v>
      </c>
      <c r="AM349" s="41">
        <f t="shared" si="48"/>
        <v>0</v>
      </c>
      <c r="AN349" s="41">
        <f t="shared" si="48"/>
        <v>0</v>
      </c>
      <c r="AO349" s="41">
        <f t="shared" si="48"/>
        <v>2600</v>
      </c>
      <c r="AP349" s="41">
        <f t="shared" si="47"/>
        <v>560</v>
      </c>
      <c r="AQ349" s="41">
        <f t="shared" si="47"/>
        <v>0</v>
      </c>
      <c r="AR349" s="41">
        <f t="shared" si="47"/>
        <v>0</v>
      </c>
      <c r="AS349" s="41">
        <f t="shared" si="47"/>
        <v>0</v>
      </c>
      <c r="AT349" s="41">
        <f t="shared" si="47"/>
        <v>600</v>
      </c>
      <c r="AU349" s="43">
        <f t="shared" si="43"/>
        <v>60</v>
      </c>
      <c r="AV349" s="43">
        <f t="shared" si="43"/>
        <v>0</v>
      </c>
      <c r="AW349" s="43">
        <f t="shared" si="43"/>
        <v>0</v>
      </c>
      <c r="AX349" s="43">
        <f t="shared" si="43"/>
        <v>0</v>
      </c>
      <c r="AY349" s="43">
        <f t="shared" si="43"/>
        <v>0</v>
      </c>
      <c r="AZ349" s="43">
        <f t="shared" si="43"/>
        <v>300</v>
      </c>
      <c r="BA349" s="43">
        <f t="shared" si="43"/>
        <v>60</v>
      </c>
      <c r="BB349" s="43">
        <f t="shared" si="43"/>
        <v>0</v>
      </c>
      <c r="BC349" s="43">
        <f t="shared" si="43"/>
        <v>0</v>
      </c>
      <c r="BD349" s="43">
        <f t="shared" si="43"/>
        <v>0</v>
      </c>
      <c r="BE349" s="43">
        <f t="shared" si="43"/>
        <v>70</v>
      </c>
      <c r="BF349" s="41">
        <f t="shared" si="46"/>
        <v>490</v>
      </c>
      <c r="BG349" s="41" t="str">
        <f t="array" ref="BG349">_xlfn.IFS(
OR(MONTH(A349)=11,MONTH(A349)=12,MONTH(A349)=1,MONTH(A349)=2),"Winter",
OR(MONTH(A349)=3,MONTH(A349)=4),"Spring",
OR(MONTH(A349)=5,MONTH(A349)=6),"Summer",
OR(MONTH(A349)=7,MONTH(A349)=8,MONTH(A349)=9),"Monsoon",
MONTH(A349)=10,"Autumn/Festive",
TRUE,""
)</f>
        <v>Winter</v>
      </c>
    </row>
    <row r="350" spans="1:59" x14ac:dyDescent="0.3">
      <c r="A350" s="39">
        <v>45675</v>
      </c>
      <c r="B350" s="40" t="str">
        <f t="shared" si="44"/>
        <v>January</v>
      </c>
      <c r="C350" s="41">
        <v>4</v>
      </c>
      <c r="D350" s="41">
        <v>0</v>
      </c>
      <c r="E350" s="41">
        <v>0</v>
      </c>
      <c r="F350" s="41">
        <v>0</v>
      </c>
      <c r="G350" s="41">
        <v>0</v>
      </c>
      <c r="H350" s="41">
        <v>9</v>
      </c>
      <c r="I350" s="41">
        <v>1.5</v>
      </c>
      <c r="J350" s="41">
        <v>0</v>
      </c>
      <c r="K350" s="41">
        <v>0</v>
      </c>
      <c r="L350" s="41">
        <v>20</v>
      </c>
      <c r="M350" s="41">
        <v>1</v>
      </c>
      <c r="N350" s="42">
        <v>110</v>
      </c>
      <c r="O350" s="42">
        <v>110</v>
      </c>
      <c r="P350" s="42">
        <v>26</v>
      </c>
      <c r="Q350" s="42">
        <v>65</v>
      </c>
      <c r="R350" s="42">
        <v>200</v>
      </c>
      <c r="S350" s="42">
        <v>230</v>
      </c>
      <c r="T350" s="42">
        <v>250</v>
      </c>
      <c r="U350" s="42">
        <v>170</v>
      </c>
      <c r="V350" s="42">
        <v>25</v>
      </c>
      <c r="W350" s="42">
        <v>4</v>
      </c>
      <c r="X350" s="42">
        <v>265</v>
      </c>
      <c r="Y350" s="43">
        <v>130</v>
      </c>
      <c r="Z350" s="43">
        <v>150</v>
      </c>
      <c r="AA350" s="43">
        <v>30</v>
      </c>
      <c r="AB350" s="43">
        <v>95</v>
      </c>
      <c r="AC350" s="43">
        <v>250</v>
      </c>
      <c r="AD350" s="43">
        <v>260</v>
      </c>
      <c r="AE350" s="43">
        <v>280</v>
      </c>
      <c r="AF350" s="43">
        <v>200</v>
      </c>
      <c r="AG350" s="43">
        <v>30</v>
      </c>
      <c r="AH350" s="43">
        <v>6</v>
      </c>
      <c r="AI350" s="43">
        <v>300</v>
      </c>
      <c r="AJ350" s="41">
        <f t="shared" si="45"/>
        <v>520</v>
      </c>
      <c r="AK350" s="41">
        <f t="shared" si="48"/>
        <v>0</v>
      </c>
      <c r="AL350" s="41">
        <f t="shared" si="48"/>
        <v>0</v>
      </c>
      <c r="AM350" s="41">
        <f t="shared" si="48"/>
        <v>0</v>
      </c>
      <c r="AN350" s="41">
        <f t="shared" si="48"/>
        <v>0</v>
      </c>
      <c r="AO350" s="41">
        <f t="shared" si="48"/>
        <v>2340</v>
      </c>
      <c r="AP350" s="41">
        <f t="shared" si="47"/>
        <v>420</v>
      </c>
      <c r="AQ350" s="41">
        <f t="shared" si="47"/>
        <v>0</v>
      </c>
      <c r="AR350" s="41">
        <f t="shared" si="47"/>
        <v>0</v>
      </c>
      <c r="AS350" s="41">
        <f t="shared" si="47"/>
        <v>120</v>
      </c>
      <c r="AT350" s="41">
        <f t="shared" si="47"/>
        <v>300</v>
      </c>
      <c r="AU350" s="43">
        <f t="shared" si="43"/>
        <v>80</v>
      </c>
      <c r="AV350" s="43">
        <f t="shared" si="43"/>
        <v>0</v>
      </c>
      <c r="AW350" s="43">
        <f t="shared" si="43"/>
        <v>0</v>
      </c>
      <c r="AX350" s="43">
        <f t="shared" si="43"/>
        <v>0</v>
      </c>
      <c r="AY350" s="43">
        <f t="shared" si="43"/>
        <v>0</v>
      </c>
      <c r="AZ350" s="43">
        <f t="shared" si="43"/>
        <v>270</v>
      </c>
      <c r="BA350" s="43">
        <f t="shared" si="43"/>
        <v>45</v>
      </c>
      <c r="BB350" s="43">
        <f t="shared" si="43"/>
        <v>0</v>
      </c>
      <c r="BC350" s="43">
        <f t="shared" si="43"/>
        <v>0</v>
      </c>
      <c r="BD350" s="43">
        <f t="shared" si="43"/>
        <v>40</v>
      </c>
      <c r="BE350" s="43">
        <f t="shared" si="43"/>
        <v>35</v>
      </c>
      <c r="BF350" s="41">
        <f t="shared" si="46"/>
        <v>470</v>
      </c>
      <c r="BG350" s="41" t="str">
        <f t="array" ref="BG350">_xlfn.IFS(
OR(MONTH(A350)=11,MONTH(A350)=12,MONTH(A350)=1,MONTH(A350)=2),"Winter",
OR(MONTH(A350)=3,MONTH(A350)=4),"Spring",
OR(MONTH(A350)=5,MONTH(A350)=6),"Summer",
OR(MONTH(A350)=7,MONTH(A350)=8,MONTH(A350)=9),"Monsoon",
MONTH(A350)=10,"Autumn/Festive",
TRUE,""
)</f>
        <v>Winter</v>
      </c>
    </row>
    <row r="351" spans="1:59" x14ac:dyDescent="0.3">
      <c r="A351" s="39">
        <v>45676</v>
      </c>
      <c r="B351" s="40" t="str">
        <f t="shared" si="44"/>
        <v>January</v>
      </c>
      <c r="C351" s="41">
        <v>2</v>
      </c>
      <c r="D351" s="41">
        <v>0</v>
      </c>
      <c r="E351" s="41">
        <v>0</v>
      </c>
      <c r="F351" s="41">
        <v>0</v>
      </c>
      <c r="G351" s="41">
        <v>0</v>
      </c>
      <c r="H351" s="41">
        <v>5.75</v>
      </c>
      <c r="I351" s="41">
        <v>6.5</v>
      </c>
      <c r="J351" s="41">
        <v>1</v>
      </c>
      <c r="K351" s="41">
        <v>1</v>
      </c>
      <c r="L351" s="41">
        <v>0</v>
      </c>
      <c r="M351" s="41">
        <v>1</v>
      </c>
      <c r="N351" s="42">
        <v>110</v>
      </c>
      <c r="O351" s="42">
        <v>110</v>
      </c>
      <c r="P351" s="42">
        <v>26</v>
      </c>
      <c r="Q351" s="42">
        <v>65</v>
      </c>
      <c r="R351" s="42">
        <v>200</v>
      </c>
      <c r="S351" s="42">
        <v>230</v>
      </c>
      <c r="T351" s="42">
        <v>250</v>
      </c>
      <c r="U351" s="42">
        <v>170</v>
      </c>
      <c r="V351" s="42">
        <v>25</v>
      </c>
      <c r="W351" s="42">
        <v>4</v>
      </c>
      <c r="X351" s="42">
        <v>265</v>
      </c>
      <c r="Y351" s="43">
        <v>130</v>
      </c>
      <c r="Z351" s="43">
        <v>150</v>
      </c>
      <c r="AA351" s="43">
        <v>30</v>
      </c>
      <c r="AB351" s="43">
        <v>95</v>
      </c>
      <c r="AC351" s="43">
        <v>250</v>
      </c>
      <c r="AD351" s="43">
        <v>260</v>
      </c>
      <c r="AE351" s="43">
        <v>280</v>
      </c>
      <c r="AF351" s="43">
        <v>200</v>
      </c>
      <c r="AG351" s="43">
        <v>30</v>
      </c>
      <c r="AH351" s="43">
        <v>6</v>
      </c>
      <c r="AI351" s="43">
        <v>300</v>
      </c>
      <c r="AJ351" s="41">
        <f t="shared" si="45"/>
        <v>260</v>
      </c>
      <c r="AK351" s="41">
        <f t="shared" si="48"/>
        <v>0</v>
      </c>
      <c r="AL351" s="41">
        <f t="shared" si="48"/>
        <v>0</v>
      </c>
      <c r="AM351" s="41">
        <f t="shared" si="48"/>
        <v>0</v>
      </c>
      <c r="AN351" s="41">
        <f t="shared" si="48"/>
        <v>0</v>
      </c>
      <c r="AO351" s="41">
        <f t="shared" si="48"/>
        <v>1495</v>
      </c>
      <c r="AP351" s="41">
        <f t="shared" si="47"/>
        <v>1820</v>
      </c>
      <c r="AQ351" s="41">
        <f t="shared" si="47"/>
        <v>200</v>
      </c>
      <c r="AR351" s="41">
        <f t="shared" si="47"/>
        <v>30</v>
      </c>
      <c r="AS351" s="41">
        <f t="shared" si="47"/>
        <v>0</v>
      </c>
      <c r="AT351" s="41">
        <f t="shared" si="47"/>
        <v>300</v>
      </c>
      <c r="AU351" s="43">
        <f t="shared" si="43"/>
        <v>40</v>
      </c>
      <c r="AV351" s="43">
        <f t="shared" si="43"/>
        <v>0</v>
      </c>
      <c r="AW351" s="43">
        <f t="shared" si="43"/>
        <v>0</v>
      </c>
      <c r="AX351" s="43">
        <f t="shared" si="43"/>
        <v>0</v>
      </c>
      <c r="AY351" s="43">
        <f t="shared" si="43"/>
        <v>0</v>
      </c>
      <c r="AZ351" s="43">
        <f t="shared" si="43"/>
        <v>172.5</v>
      </c>
      <c r="BA351" s="43">
        <f t="shared" si="43"/>
        <v>195</v>
      </c>
      <c r="BB351" s="43">
        <f t="shared" si="43"/>
        <v>30</v>
      </c>
      <c r="BC351" s="43">
        <f t="shared" si="43"/>
        <v>5</v>
      </c>
      <c r="BD351" s="43">
        <f t="shared" si="43"/>
        <v>0</v>
      </c>
      <c r="BE351" s="43">
        <f t="shared" si="43"/>
        <v>35</v>
      </c>
      <c r="BF351" s="41">
        <f t="shared" si="46"/>
        <v>477.5</v>
      </c>
      <c r="BG351" s="41" t="str">
        <f t="array" ref="BG351">_xlfn.IFS(
OR(MONTH(A351)=11,MONTH(A351)=12,MONTH(A351)=1,MONTH(A351)=2),"Winter",
OR(MONTH(A351)=3,MONTH(A351)=4),"Spring",
OR(MONTH(A351)=5,MONTH(A351)=6),"Summer",
OR(MONTH(A351)=7,MONTH(A351)=8,MONTH(A351)=9),"Monsoon",
MONTH(A351)=10,"Autumn/Festive",
TRUE,""
)</f>
        <v>Winter</v>
      </c>
    </row>
    <row r="352" spans="1:59" x14ac:dyDescent="0.3">
      <c r="A352" s="39">
        <v>45677</v>
      </c>
      <c r="B352" s="40" t="str">
        <f t="shared" si="44"/>
        <v>January</v>
      </c>
      <c r="C352" s="41">
        <v>3</v>
      </c>
      <c r="D352" s="41">
        <v>0</v>
      </c>
      <c r="E352" s="41">
        <v>0</v>
      </c>
      <c r="F352" s="41">
        <v>0</v>
      </c>
      <c r="G352" s="41">
        <v>0</v>
      </c>
      <c r="H352" s="41">
        <v>4</v>
      </c>
      <c r="I352" s="41">
        <v>2.25</v>
      </c>
      <c r="J352" s="41">
        <v>1</v>
      </c>
      <c r="K352" s="41">
        <v>1</v>
      </c>
      <c r="L352" s="41">
        <v>0</v>
      </c>
      <c r="M352" s="41">
        <v>2</v>
      </c>
      <c r="N352" s="42">
        <v>110</v>
      </c>
      <c r="O352" s="42">
        <v>110</v>
      </c>
      <c r="P352" s="42">
        <v>26</v>
      </c>
      <c r="Q352" s="42">
        <v>65</v>
      </c>
      <c r="R352" s="42">
        <v>200</v>
      </c>
      <c r="S352" s="42">
        <v>230</v>
      </c>
      <c r="T352" s="42">
        <v>250</v>
      </c>
      <c r="U352" s="42">
        <v>170</v>
      </c>
      <c r="V352" s="42">
        <v>25</v>
      </c>
      <c r="W352" s="42">
        <v>4</v>
      </c>
      <c r="X352" s="42">
        <v>265</v>
      </c>
      <c r="Y352" s="43">
        <v>130</v>
      </c>
      <c r="Z352" s="43">
        <v>150</v>
      </c>
      <c r="AA352" s="43">
        <v>30</v>
      </c>
      <c r="AB352" s="43">
        <v>95</v>
      </c>
      <c r="AC352" s="43">
        <v>250</v>
      </c>
      <c r="AD352" s="43">
        <v>260</v>
      </c>
      <c r="AE352" s="43">
        <v>280</v>
      </c>
      <c r="AF352" s="43">
        <v>200</v>
      </c>
      <c r="AG352" s="43">
        <v>30</v>
      </c>
      <c r="AH352" s="43">
        <v>6</v>
      </c>
      <c r="AI352" s="43">
        <v>300</v>
      </c>
      <c r="AJ352" s="41">
        <f t="shared" si="45"/>
        <v>390</v>
      </c>
      <c r="AK352" s="41">
        <f t="shared" si="48"/>
        <v>0</v>
      </c>
      <c r="AL352" s="41">
        <f t="shared" si="48"/>
        <v>0</v>
      </c>
      <c r="AM352" s="41">
        <f t="shared" si="48"/>
        <v>0</v>
      </c>
      <c r="AN352" s="41">
        <f t="shared" si="48"/>
        <v>0</v>
      </c>
      <c r="AO352" s="41">
        <f t="shared" si="48"/>
        <v>1040</v>
      </c>
      <c r="AP352" s="41">
        <f t="shared" si="47"/>
        <v>630</v>
      </c>
      <c r="AQ352" s="41">
        <f t="shared" si="47"/>
        <v>200</v>
      </c>
      <c r="AR352" s="41">
        <f t="shared" si="47"/>
        <v>30</v>
      </c>
      <c r="AS352" s="41">
        <f t="shared" si="47"/>
        <v>0</v>
      </c>
      <c r="AT352" s="41">
        <f t="shared" si="47"/>
        <v>600</v>
      </c>
      <c r="AU352" s="43">
        <f t="shared" si="43"/>
        <v>60</v>
      </c>
      <c r="AV352" s="43">
        <f t="shared" si="43"/>
        <v>0</v>
      </c>
      <c r="AW352" s="43">
        <f t="shared" si="43"/>
        <v>0</v>
      </c>
      <c r="AX352" s="43">
        <f t="shared" si="43"/>
        <v>0</v>
      </c>
      <c r="AY352" s="43">
        <f t="shared" si="43"/>
        <v>0</v>
      </c>
      <c r="AZ352" s="43">
        <f t="shared" si="43"/>
        <v>120</v>
      </c>
      <c r="BA352" s="43">
        <f t="shared" si="43"/>
        <v>67.5</v>
      </c>
      <c r="BB352" s="43">
        <f t="shared" si="43"/>
        <v>30</v>
      </c>
      <c r="BC352" s="43">
        <f t="shared" si="43"/>
        <v>5</v>
      </c>
      <c r="BD352" s="43">
        <f t="shared" si="43"/>
        <v>0</v>
      </c>
      <c r="BE352" s="43">
        <f t="shared" si="43"/>
        <v>70</v>
      </c>
      <c r="BF352" s="41">
        <f t="shared" si="46"/>
        <v>352.5</v>
      </c>
      <c r="BG352" s="41" t="str">
        <f t="array" ref="BG352">_xlfn.IFS(
OR(MONTH(A352)=11,MONTH(A352)=12,MONTH(A352)=1,MONTH(A352)=2),"Winter",
OR(MONTH(A352)=3,MONTH(A352)=4),"Spring",
OR(MONTH(A352)=5,MONTH(A352)=6),"Summer",
OR(MONTH(A352)=7,MONTH(A352)=8,MONTH(A352)=9),"Monsoon",
MONTH(A352)=10,"Autumn/Festive",
TRUE,""
)</f>
        <v>Winter</v>
      </c>
    </row>
    <row r="353" spans="1:59" x14ac:dyDescent="0.3">
      <c r="A353" s="39">
        <v>45678</v>
      </c>
      <c r="B353" s="40" t="str">
        <f t="shared" si="44"/>
        <v>January</v>
      </c>
      <c r="C353" s="41">
        <v>10</v>
      </c>
      <c r="D353" s="41">
        <v>5</v>
      </c>
      <c r="E353" s="41">
        <v>0</v>
      </c>
      <c r="F353" s="41">
        <v>0</v>
      </c>
      <c r="G353" s="41">
        <v>0</v>
      </c>
      <c r="H353" s="41">
        <v>2</v>
      </c>
      <c r="I353" s="41">
        <v>2.5</v>
      </c>
      <c r="J353" s="41">
        <v>0</v>
      </c>
      <c r="K353" s="41">
        <v>0</v>
      </c>
      <c r="L353" s="41">
        <v>5</v>
      </c>
      <c r="M353" s="41">
        <v>1</v>
      </c>
      <c r="N353" s="42">
        <v>110</v>
      </c>
      <c r="O353" s="42">
        <v>110</v>
      </c>
      <c r="P353" s="42">
        <v>26</v>
      </c>
      <c r="Q353" s="42">
        <v>65</v>
      </c>
      <c r="R353" s="42">
        <v>200</v>
      </c>
      <c r="S353" s="42">
        <v>230</v>
      </c>
      <c r="T353" s="42">
        <v>250</v>
      </c>
      <c r="U353" s="42">
        <v>170</v>
      </c>
      <c r="V353" s="42">
        <v>25</v>
      </c>
      <c r="W353" s="42">
        <v>4</v>
      </c>
      <c r="X353" s="42">
        <v>265</v>
      </c>
      <c r="Y353" s="43">
        <v>130</v>
      </c>
      <c r="Z353" s="43">
        <v>150</v>
      </c>
      <c r="AA353" s="43">
        <v>30</v>
      </c>
      <c r="AB353" s="43">
        <v>95</v>
      </c>
      <c r="AC353" s="43">
        <v>250</v>
      </c>
      <c r="AD353" s="43">
        <v>260</v>
      </c>
      <c r="AE353" s="43">
        <v>280</v>
      </c>
      <c r="AF353" s="43">
        <v>200</v>
      </c>
      <c r="AG353" s="43">
        <v>30</v>
      </c>
      <c r="AH353" s="43">
        <v>6</v>
      </c>
      <c r="AI353" s="43">
        <v>300</v>
      </c>
      <c r="AJ353" s="41">
        <f t="shared" si="45"/>
        <v>1300</v>
      </c>
      <c r="AK353" s="41">
        <f t="shared" si="48"/>
        <v>750</v>
      </c>
      <c r="AL353" s="41">
        <f t="shared" si="48"/>
        <v>0</v>
      </c>
      <c r="AM353" s="41">
        <f t="shared" si="48"/>
        <v>0</v>
      </c>
      <c r="AN353" s="41">
        <f t="shared" si="48"/>
        <v>0</v>
      </c>
      <c r="AO353" s="41">
        <f t="shared" si="48"/>
        <v>520</v>
      </c>
      <c r="AP353" s="41">
        <f t="shared" si="47"/>
        <v>700</v>
      </c>
      <c r="AQ353" s="41">
        <f t="shared" si="47"/>
        <v>0</v>
      </c>
      <c r="AR353" s="41">
        <f t="shared" si="47"/>
        <v>0</v>
      </c>
      <c r="AS353" s="41">
        <f t="shared" si="47"/>
        <v>30</v>
      </c>
      <c r="AT353" s="41">
        <f t="shared" si="47"/>
        <v>300</v>
      </c>
      <c r="AU353" s="43">
        <f t="shared" si="43"/>
        <v>200</v>
      </c>
      <c r="AV353" s="43">
        <f t="shared" si="43"/>
        <v>200</v>
      </c>
      <c r="AW353" s="43">
        <f t="shared" si="43"/>
        <v>0</v>
      </c>
      <c r="AX353" s="43">
        <f t="shared" si="43"/>
        <v>0</v>
      </c>
      <c r="AY353" s="43">
        <f t="shared" si="43"/>
        <v>0</v>
      </c>
      <c r="AZ353" s="43">
        <f t="shared" si="43"/>
        <v>60</v>
      </c>
      <c r="BA353" s="43">
        <f t="shared" si="43"/>
        <v>75</v>
      </c>
      <c r="BB353" s="43">
        <f t="shared" si="43"/>
        <v>0</v>
      </c>
      <c r="BC353" s="43">
        <f t="shared" si="43"/>
        <v>0</v>
      </c>
      <c r="BD353" s="43">
        <f t="shared" si="43"/>
        <v>10</v>
      </c>
      <c r="BE353" s="43">
        <f t="shared" si="43"/>
        <v>35</v>
      </c>
      <c r="BF353" s="41">
        <f t="shared" si="46"/>
        <v>580</v>
      </c>
      <c r="BG353" s="41" t="str">
        <f t="array" ref="BG353">_xlfn.IFS(
OR(MONTH(A353)=11,MONTH(A353)=12,MONTH(A353)=1,MONTH(A353)=2),"Winter",
OR(MONTH(A353)=3,MONTH(A353)=4),"Spring",
OR(MONTH(A353)=5,MONTH(A353)=6),"Summer",
OR(MONTH(A353)=7,MONTH(A353)=8,MONTH(A353)=9),"Monsoon",
MONTH(A353)=10,"Autumn/Festive",
TRUE,""
)</f>
        <v>Winter</v>
      </c>
    </row>
    <row r="354" spans="1:59" x14ac:dyDescent="0.3">
      <c r="A354" s="39">
        <v>45679</v>
      </c>
      <c r="B354" s="40" t="str">
        <f t="shared" si="44"/>
        <v>January</v>
      </c>
      <c r="C354" s="41">
        <v>0</v>
      </c>
      <c r="D354" s="41">
        <v>0</v>
      </c>
      <c r="E354" s="41">
        <v>0</v>
      </c>
      <c r="F354" s="41">
        <v>0</v>
      </c>
      <c r="G354" s="41">
        <v>0</v>
      </c>
      <c r="H354" s="41">
        <v>0</v>
      </c>
      <c r="I354" s="41">
        <v>0</v>
      </c>
      <c r="J354" s="41">
        <v>0</v>
      </c>
      <c r="K354" s="41">
        <v>0</v>
      </c>
      <c r="L354" s="41">
        <v>0</v>
      </c>
      <c r="M354" s="41">
        <v>0</v>
      </c>
      <c r="N354" s="42">
        <v>110</v>
      </c>
      <c r="O354" s="42">
        <v>110</v>
      </c>
      <c r="P354" s="42">
        <v>26</v>
      </c>
      <c r="Q354" s="42">
        <v>65</v>
      </c>
      <c r="R354" s="42">
        <v>200</v>
      </c>
      <c r="S354" s="42">
        <v>230</v>
      </c>
      <c r="T354" s="42">
        <v>250</v>
      </c>
      <c r="U354" s="42">
        <v>170</v>
      </c>
      <c r="V354" s="42">
        <v>25</v>
      </c>
      <c r="W354" s="42">
        <v>4</v>
      </c>
      <c r="X354" s="42">
        <v>265</v>
      </c>
      <c r="Y354" s="43">
        <v>130</v>
      </c>
      <c r="Z354" s="43">
        <v>150</v>
      </c>
      <c r="AA354" s="43">
        <v>30</v>
      </c>
      <c r="AB354" s="43">
        <v>95</v>
      </c>
      <c r="AC354" s="43">
        <v>250</v>
      </c>
      <c r="AD354" s="43">
        <v>260</v>
      </c>
      <c r="AE354" s="43">
        <v>280</v>
      </c>
      <c r="AF354" s="43">
        <v>200</v>
      </c>
      <c r="AG354" s="43">
        <v>30</v>
      </c>
      <c r="AH354" s="43">
        <v>6</v>
      </c>
      <c r="AI354" s="43">
        <v>300</v>
      </c>
      <c r="AJ354" s="41">
        <f t="shared" si="45"/>
        <v>0</v>
      </c>
      <c r="AK354" s="41">
        <f t="shared" si="48"/>
        <v>0</v>
      </c>
      <c r="AL354" s="41">
        <f t="shared" si="48"/>
        <v>0</v>
      </c>
      <c r="AM354" s="41">
        <f t="shared" si="48"/>
        <v>0</v>
      </c>
      <c r="AN354" s="41">
        <f t="shared" si="48"/>
        <v>0</v>
      </c>
      <c r="AO354" s="41">
        <f t="shared" si="48"/>
        <v>0</v>
      </c>
      <c r="AP354" s="41">
        <f t="shared" si="47"/>
        <v>0</v>
      </c>
      <c r="AQ354" s="41">
        <f t="shared" si="47"/>
        <v>0</v>
      </c>
      <c r="AR354" s="41">
        <f t="shared" si="47"/>
        <v>0</v>
      </c>
      <c r="AS354" s="41">
        <f t="shared" si="47"/>
        <v>0</v>
      </c>
      <c r="AT354" s="41">
        <f t="shared" si="47"/>
        <v>0</v>
      </c>
      <c r="AU354" s="43">
        <f t="shared" si="43"/>
        <v>0</v>
      </c>
      <c r="AV354" s="43">
        <f t="shared" si="43"/>
        <v>0</v>
      </c>
      <c r="AW354" s="43">
        <f t="shared" si="43"/>
        <v>0</v>
      </c>
      <c r="AX354" s="43">
        <f t="shared" si="43"/>
        <v>0</v>
      </c>
      <c r="AY354" s="43">
        <f t="shared" si="43"/>
        <v>0</v>
      </c>
      <c r="AZ354" s="43">
        <f t="shared" si="43"/>
        <v>0</v>
      </c>
      <c r="BA354" s="43">
        <f t="shared" si="43"/>
        <v>0</v>
      </c>
      <c r="BB354" s="43">
        <f t="shared" si="43"/>
        <v>0</v>
      </c>
      <c r="BC354" s="43">
        <f t="shared" si="43"/>
        <v>0</v>
      </c>
      <c r="BD354" s="43">
        <f t="shared" si="43"/>
        <v>0</v>
      </c>
      <c r="BE354" s="43">
        <f t="shared" si="43"/>
        <v>0</v>
      </c>
      <c r="BF354" s="41">
        <f t="shared" si="46"/>
        <v>0</v>
      </c>
      <c r="BG354" s="41" t="str">
        <f t="array" ref="BG354">_xlfn.IFS(
OR(MONTH(A354)=11,MONTH(A354)=12,MONTH(A354)=1,MONTH(A354)=2),"Winter",
OR(MONTH(A354)=3,MONTH(A354)=4),"Spring",
OR(MONTH(A354)=5,MONTH(A354)=6),"Summer",
OR(MONTH(A354)=7,MONTH(A354)=8,MONTH(A354)=9),"Monsoon",
MONTH(A354)=10,"Autumn/Festive",
TRUE,""
)</f>
        <v>Winter</v>
      </c>
    </row>
    <row r="355" spans="1:59" x14ac:dyDescent="0.3">
      <c r="A355" s="39">
        <v>45680</v>
      </c>
      <c r="B355" s="40" t="str">
        <f t="shared" si="44"/>
        <v>January</v>
      </c>
      <c r="C355" s="41">
        <v>0</v>
      </c>
      <c r="D355" s="41">
        <v>0</v>
      </c>
      <c r="E355" s="41">
        <v>0</v>
      </c>
      <c r="F355" s="41">
        <v>0</v>
      </c>
      <c r="G355" s="41">
        <v>0</v>
      </c>
      <c r="H355" s="41">
        <v>0</v>
      </c>
      <c r="I355" s="41">
        <v>0</v>
      </c>
      <c r="J355" s="41">
        <v>0</v>
      </c>
      <c r="K355" s="41">
        <v>0</v>
      </c>
      <c r="L355" s="41">
        <v>0</v>
      </c>
      <c r="M355" s="41">
        <v>0</v>
      </c>
      <c r="N355" s="42">
        <v>110</v>
      </c>
      <c r="O355" s="42">
        <v>110</v>
      </c>
      <c r="P355" s="42">
        <v>26</v>
      </c>
      <c r="Q355" s="42">
        <v>65</v>
      </c>
      <c r="R355" s="42">
        <v>200</v>
      </c>
      <c r="S355" s="42">
        <v>230</v>
      </c>
      <c r="T355" s="42">
        <v>250</v>
      </c>
      <c r="U355" s="42">
        <v>170</v>
      </c>
      <c r="V355" s="42">
        <v>25</v>
      </c>
      <c r="W355" s="42">
        <v>4</v>
      </c>
      <c r="X355" s="42">
        <v>265</v>
      </c>
      <c r="Y355" s="43">
        <v>130</v>
      </c>
      <c r="Z355" s="43">
        <v>150</v>
      </c>
      <c r="AA355" s="43">
        <v>30</v>
      </c>
      <c r="AB355" s="43">
        <v>95</v>
      </c>
      <c r="AC355" s="43">
        <v>250</v>
      </c>
      <c r="AD355" s="43">
        <v>260</v>
      </c>
      <c r="AE355" s="43">
        <v>280</v>
      </c>
      <c r="AF355" s="43">
        <v>200</v>
      </c>
      <c r="AG355" s="43">
        <v>30</v>
      </c>
      <c r="AH355" s="43">
        <v>6</v>
      </c>
      <c r="AI355" s="43">
        <v>300</v>
      </c>
      <c r="AJ355" s="41">
        <f t="shared" si="45"/>
        <v>0</v>
      </c>
      <c r="AK355" s="41">
        <f t="shared" si="48"/>
        <v>0</v>
      </c>
      <c r="AL355" s="41">
        <f t="shared" si="48"/>
        <v>0</v>
      </c>
      <c r="AM355" s="41">
        <f t="shared" si="48"/>
        <v>0</v>
      </c>
      <c r="AN355" s="41">
        <f t="shared" si="48"/>
        <v>0</v>
      </c>
      <c r="AO355" s="41">
        <f t="shared" si="48"/>
        <v>0</v>
      </c>
      <c r="AP355" s="41">
        <f t="shared" si="47"/>
        <v>0</v>
      </c>
      <c r="AQ355" s="41">
        <f t="shared" si="47"/>
        <v>0</v>
      </c>
      <c r="AR355" s="41">
        <f t="shared" si="47"/>
        <v>0</v>
      </c>
      <c r="AS355" s="41">
        <f t="shared" si="47"/>
        <v>0</v>
      </c>
      <c r="AT355" s="41">
        <f t="shared" si="47"/>
        <v>0</v>
      </c>
      <c r="AU355" s="43">
        <f t="shared" si="43"/>
        <v>0</v>
      </c>
      <c r="AV355" s="43">
        <f t="shared" si="43"/>
        <v>0</v>
      </c>
      <c r="AW355" s="43">
        <f t="shared" si="43"/>
        <v>0</v>
      </c>
      <c r="AX355" s="43">
        <f t="shared" si="43"/>
        <v>0</v>
      </c>
      <c r="AY355" s="43">
        <f t="shared" si="43"/>
        <v>0</v>
      </c>
      <c r="AZ355" s="43">
        <f t="shared" si="43"/>
        <v>0</v>
      </c>
      <c r="BA355" s="43">
        <f t="shared" si="43"/>
        <v>0</v>
      </c>
      <c r="BB355" s="43">
        <f t="shared" si="43"/>
        <v>0</v>
      </c>
      <c r="BC355" s="43">
        <f t="shared" si="43"/>
        <v>0</v>
      </c>
      <c r="BD355" s="43">
        <f t="shared" si="43"/>
        <v>0</v>
      </c>
      <c r="BE355" s="43">
        <f t="shared" si="43"/>
        <v>0</v>
      </c>
      <c r="BF355" s="41">
        <f t="shared" si="46"/>
        <v>0</v>
      </c>
      <c r="BG355" s="41" t="str">
        <f t="array" ref="BG355">_xlfn.IFS(
OR(MONTH(A355)=11,MONTH(A355)=12,MONTH(A355)=1,MONTH(A355)=2),"Winter",
OR(MONTH(A355)=3,MONTH(A355)=4),"Spring",
OR(MONTH(A355)=5,MONTH(A355)=6),"Summer",
OR(MONTH(A355)=7,MONTH(A355)=8,MONTH(A355)=9),"Monsoon",
MONTH(A355)=10,"Autumn/Festive",
TRUE,""
)</f>
        <v>Winter</v>
      </c>
    </row>
    <row r="356" spans="1:59" x14ac:dyDescent="0.3">
      <c r="A356" s="39">
        <v>45681</v>
      </c>
      <c r="B356" s="40" t="str">
        <f t="shared" si="44"/>
        <v>January</v>
      </c>
      <c r="C356" s="41">
        <v>0</v>
      </c>
      <c r="D356" s="41">
        <v>0</v>
      </c>
      <c r="E356" s="41">
        <v>0</v>
      </c>
      <c r="F356" s="41">
        <v>0</v>
      </c>
      <c r="G356" s="41">
        <v>0</v>
      </c>
      <c r="H356" s="41">
        <v>3.5</v>
      </c>
      <c r="I356" s="41">
        <v>2.25</v>
      </c>
      <c r="J356" s="41">
        <v>0</v>
      </c>
      <c r="K356" s="41">
        <v>3</v>
      </c>
      <c r="L356" s="41">
        <v>12</v>
      </c>
      <c r="M356" s="41">
        <v>0</v>
      </c>
      <c r="N356" s="42">
        <v>110</v>
      </c>
      <c r="O356" s="42">
        <v>110</v>
      </c>
      <c r="P356" s="42">
        <v>26</v>
      </c>
      <c r="Q356" s="42">
        <v>65</v>
      </c>
      <c r="R356" s="42">
        <v>200</v>
      </c>
      <c r="S356" s="42">
        <v>230</v>
      </c>
      <c r="T356" s="42">
        <v>250</v>
      </c>
      <c r="U356" s="42">
        <v>170</v>
      </c>
      <c r="V356" s="42">
        <v>25</v>
      </c>
      <c r="W356" s="42">
        <v>4</v>
      </c>
      <c r="X356" s="42">
        <v>265</v>
      </c>
      <c r="Y356" s="43">
        <v>130</v>
      </c>
      <c r="Z356" s="43">
        <v>150</v>
      </c>
      <c r="AA356" s="43">
        <v>30</v>
      </c>
      <c r="AB356" s="43">
        <v>95</v>
      </c>
      <c r="AC356" s="43">
        <v>250</v>
      </c>
      <c r="AD356" s="43">
        <v>260</v>
      </c>
      <c r="AE356" s="43">
        <v>280</v>
      </c>
      <c r="AF356" s="43">
        <v>200</v>
      </c>
      <c r="AG356" s="43">
        <v>30</v>
      </c>
      <c r="AH356" s="43">
        <v>6</v>
      </c>
      <c r="AI356" s="43">
        <v>300</v>
      </c>
      <c r="AJ356" s="41">
        <f t="shared" si="45"/>
        <v>0</v>
      </c>
      <c r="AK356" s="41">
        <f t="shared" si="48"/>
        <v>0</v>
      </c>
      <c r="AL356" s="41">
        <f t="shared" si="48"/>
        <v>0</v>
      </c>
      <c r="AM356" s="41">
        <f t="shared" si="48"/>
        <v>0</v>
      </c>
      <c r="AN356" s="41">
        <f t="shared" si="48"/>
        <v>0</v>
      </c>
      <c r="AO356" s="41">
        <f t="shared" si="48"/>
        <v>910</v>
      </c>
      <c r="AP356" s="41">
        <f t="shared" si="47"/>
        <v>630</v>
      </c>
      <c r="AQ356" s="41">
        <f t="shared" si="47"/>
        <v>0</v>
      </c>
      <c r="AR356" s="41">
        <f t="shared" si="47"/>
        <v>90</v>
      </c>
      <c r="AS356" s="41">
        <f t="shared" si="47"/>
        <v>72</v>
      </c>
      <c r="AT356" s="41">
        <f t="shared" si="47"/>
        <v>0</v>
      </c>
      <c r="AU356" s="43">
        <f t="shared" si="43"/>
        <v>0</v>
      </c>
      <c r="AV356" s="43">
        <f t="shared" si="43"/>
        <v>0</v>
      </c>
      <c r="AW356" s="43">
        <f t="shared" si="43"/>
        <v>0</v>
      </c>
      <c r="AX356" s="43">
        <f t="shared" si="43"/>
        <v>0</v>
      </c>
      <c r="AY356" s="43">
        <f t="shared" si="43"/>
        <v>0</v>
      </c>
      <c r="AZ356" s="43">
        <f t="shared" si="43"/>
        <v>105</v>
      </c>
      <c r="BA356" s="43">
        <f t="shared" si="43"/>
        <v>67.5</v>
      </c>
      <c r="BB356" s="43">
        <f t="shared" si="43"/>
        <v>0</v>
      </c>
      <c r="BC356" s="43">
        <f t="shared" si="43"/>
        <v>15</v>
      </c>
      <c r="BD356" s="43">
        <f t="shared" si="43"/>
        <v>24</v>
      </c>
      <c r="BE356" s="43">
        <f t="shared" si="43"/>
        <v>0</v>
      </c>
      <c r="BF356" s="41">
        <f t="shared" si="46"/>
        <v>211.5</v>
      </c>
      <c r="BG356" s="41" t="str">
        <f t="array" ref="BG356">_xlfn.IFS(
OR(MONTH(A356)=11,MONTH(A356)=12,MONTH(A356)=1,MONTH(A356)=2),"Winter",
OR(MONTH(A356)=3,MONTH(A356)=4),"Spring",
OR(MONTH(A356)=5,MONTH(A356)=6),"Summer",
OR(MONTH(A356)=7,MONTH(A356)=8,MONTH(A356)=9),"Monsoon",
MONTH(A356)=10,"Autumn/Festive",
TRUE,""
)</f>
        <v>Winter</v>
      </c>
    </row>
    <row r="357" spans="1:59" x14ac:dyDescent="0.3">
      <c r="A357" s="39">
        <v>45682</v>
      </c>
      <c r="B357" s="40" t="str">
        <f t="shared" si="44"/>
        <v>January</v>
      </c>
      <c r="C357" s="41">
        <v>0</v>
      </c>
      <c r="D357" s="41">
        <v>0</v>
      </c>
      <c r="E357" s="41">
        <v>0</v>
      </c>
      <c r="F357" s="41">
        <v>0</v>
      </c>
      <c r="G357" s="41">
        <v>0</v>
      </c>
      <c r="H357" s="41">
        <v>0</v>
      </c>
      <c r="I357" s="41">
        <v>0</v>
      </c>
      <c r="J357" s="41">
        <v>0</v>
      </c>
      <c r="K357" s="41">
        <v>0</v>
      </c>
      <c r="L357" s="41">
        <v>0</v>
      </c>
      <c r="M357" s="41">
        <v>0</v>
      </c>
      <c r="N357" s="42">
        <v>110</v>
      </c>
      <c r="O357" s="42">
        <v>110</v>
      </c>
      <c r="P357" s="42">
        <v>26</v>
      </c>
      <c r="Q357" s="42">
        <v>65</v>
      </c>
      <c r="R357" s="42">
        <v>200</v>
      </c>
      <c r="S357" s="42">
        <v>230</v>
      </c>
      <c r="T357" s="42">
        <v>250</v>
      </c>
      <c r="U357" s="42">
        <v>170</v>
      </c>
      <c r="V357" s="42">
        <v>25</v>
      </c>
      <c r="W357" s="42">
        <v>4</v>
      </c>
      <c r="X357" s="42">
        <v>265</v>
      </c>
      <c r="Y357" s="43">
        <v>130</v>
      </c>
      <c r="Z357" s="43">
        <v>150</v>
      </c>
      <c r="AA357" s="43">
        <v>30</v>
      </c>
      <c r="AB357" s="43">
        <v>95</v>
      </c>
      <c r="AC357" s="43">
        <v>250</v>
      </c>
      <c r="AD357" s="43">
        <v>260</v>
      </c>
      <c r="AE357" s="43">
        <v>280</v>
      </c>
      <c r="AF357" s="43">
        <v>200</v>
      </c>
      <c r="AG357" s="43">
        <v>30</v>
      </c>
      <c r="AH357" s="43">
        <v>6</v>
      </c>
      <c r="AI357" s="43">
        <v>300</v>
      </c>
      <c r="AJ357" s="41">
        <f t="shared" si="45"/>
        <v>0</v>
      </c>
      <c r="AK357" s="41">
        <f t="shared" si="48"/>
        <v>0</v>
      </c>
      <c r="AL357" s="41">
        <f t="shared" si="48"/>
        <v>0</v>
      </c>
      <c r="AM357" s="41">
        <f t="shared" si="48"/>
        <v>0</v>
      </c>
      <c r="AN357" s="41">
        <f t="shared" si="48"/>
        <v>0</v>
      </c>
      <c r="AO357" s="41">
        <f t="shared" si="48"/>
        <v>0</v>
      </c>
      <c r="AP357" s="41">
        <f t="shared" si="47"/>
        <v>0</v>
      </c>
      <c r="AQ357" s="41">
        <f t="shared" si="47"/>
        <v>0</v>
      </c>
      <c r="AR357" s="41">
        <f t="shared" si="47"/>
        <v>0</v>
      </c>
      <c r="AS357" s="41">
        <f t="shared" si="47"/>
        <v>0</v>
      </c>
      <c r="AT357" s="41">
        <f t="shared" si="47"/>
        <v>0</v>
      </c>
      <c r="AU357" s="43">
        <f t="shared" si="43"/>
        <v>0</v>
      </c>
      <c r="AV357" s="43">
        <f t="shared" si="43"/>
        <v>0</v>
      </c>
      <c r="AW357" s="43">
        <f t="shared" si="43"/>
        <v>0</v>
      </c>
      <c r="AX357" s="43">
        <f t="shared" si="43"/>
        <v>0</v>
      </c>
      <c r="AY357" s="43">
        <f t="shared" si="43"/>
        <v>0</v>
      </c>
      <c r="AZ357" s="43">
        <f t="shared" si="43"/>
        <v>0</v>
      </c>
      <c r="BA357" s="43">
        <f t="shared" si="43"/>
        <v>0</v>
      </c>
      <c r="BB357" s="43">
        <f t="shared" si="43"/>
        <v>0</v>
      </c>
      <c r="BC357" s="43">
        <f t="shared" si="43"/>
        <v>0</v>
      </c>
      <c r="BD357" s="43">
        <f t="shared" si="43"/>
        <v>0</v>
      </c>
      <c r="BE357" s="43">
        <f t="shared" si="43"/>
        <v>0</v>
      </c>
      <c r="BF357" s="41">
        <f t="shared" si="46"/>
        <v>0</v>
      </c>
      <c r="BG357" s="41" t="str">
        <f t="array" ref="BG357">_xlfn.IFS(
OR(MONTH(A357)=11,MONTH(A357)=12,MONTH(A357)=1,MONTH(A357)=2),"Winter",
OR(MONTH(A357)=3,MONTH(A357)=4),"Spring",
OR(MONTH(A357)=5,MONTH(A357)=6),"Summer",
OR(MONTH(A357)=7,MONTH(A357)=8,MONTH(A357)=9),"Monsoon",
MONTH(A357)=10,"Autumn/Festive",
TRUE,""
)</f>
        <v>Winter</v>
      </c>
    </row>
    <row r="358" spans="1:59" x14ac:dyDescent="0.3">
      <c r="A358" s="39">
        <v>45683</v>
      </c>
      <c r="B358" s="40" t="str">
        <f t="shared" si="44"/>
        <v>January</v>
      </c>
      <c r="C358" s="41">
        <v>5</v>
      </c>
      <c r="D358" s="41">
        <v>0</v>
      </c>
      <c r="E358" s="41">
        <v>0</v>
      </c>
      <c r="F358" s="41">
        <v>0</v>
      </c>
      <c r="G358" s="41">
        <v>0</v>
      </c>
      <c r="H358" s="41">
        <v>3.75</v>
      </c>
      <c r="I358" s="41">
        <v>0</v>
      </c>
      <c r="J358" s="41">
        <v>0</v>
      </c>
      <c r="K358" s="41">
        <v>0</v>
      </c>
      <c r="L358" s="41">
        <v>0</v>
      </c>
      <c r="M358" s="41">
        <v>1</v>
      </c>
      <c r="N358" s="42">
        <v>110</v>
      </c>
      <c r="O358" s="42">
        <v>110</v>
      </c>
      <c r="P358" s="42">
        <v>26</v>
      </c>
      <c r="Q358" s="42">
        <v>65</v>
      </c>
      <c r="R358" s="42">
        <v>200</v>
      </c>
      <c r="S358" s="42">
        <v>230</v>
      </c>
      <c r="T358" s="42">
        <v>250</v>
      </c>
      <c r="U358" s="42">
        <v>170</v>
      </c>
      <c r="V358" s="42">
        <v>25</v>
      </c>
      <c r="W358" s="42">
        <v>4</v>
      </c>
      <c r="X358" s="42">
        <v>265</v>
      </c>
      <c r="Y358" s="43">
        <v>130</v>
      </c>
      <c r="Z358" s="43">
        <v>150</v>
      </c>
      <c r="AA358" s="43">
        <v>30</v>
      </c>
      <c r="AB358" s="43">
        <v>95</v>
      </c>
      <c r="AC358" s="43">
        <v>250</v>
      </c>
      <c r="AD358" s="43">
        <v>260</v>
      </c>
      <c r="AE358" s="43">
        <v>280</v>
      </c>
      <c r="AF358" s="43">
        <v>200</v>
      </c>
      <c r="AG358" s="43">
        <v>30</v>
      </c>
      <c r="AH358" s="43">
        <v>6</v>
      </c>
      <c r="AI358" s="43">
        <v>300</v>
      </c>
      <c r="AJ358" s="41">
        <f t="shared" si="45"/>
        <v>650</v>
      </c>
      <c r="AK358" s="41">
        <f t="shared" si="48"/>
        <v>0</v>
      </c>
      <c r="AL358" s="41">
        <f t="shared" si="48"/>
        <v>0</v>
      </c>
      <c r="AM358" s="41">
        <f t="shared" si="48"/>
        <v>0</v>
      </c>
      <c r="AN358" s="41">
        <f t="shared" si="48"/>
        <v>0</v>
      </c>
      <c r="AO358" s="41">
        <f t="shared" si="48"/>
        <v>975</v>
      </c>
      <c r="AP358" s="41">
        <f t="shared" si="47"/>
        <v>0</v>
      </c>
      <c r="AQ358" s="41">
        <f t="shared" si="47"/>
        <v>0</v>
      </c>
      <c r="AR358" s="41">
        <f t="shared" si="47"/>
        <v>0</v>
      </c>
      <c r="AS358" s="41">
        <f t="shared" si="47"/>
        <v>0</v>
      </c>
      <c r="AT358" s="41">
        <f t="shared" si="47"/>
        <v>300</v>
      </c>
      <c r="AU358" s="43">
        <f t="shared" si="43"/>
        <v>100</v>
      </c>
      <c r="AV358" s="43">
        <f t="shared" si="43"/>
        <v>0</v>
      </c>
      <c r="AW358" s="43">
        <f t="shared" si="43"/>
        <v>0</v>
      </c>
      <c r="AX358" s="43">
        <f t="shared" si="43"/>
        <v>0</v>
      </c>
      <c r="AY358" s="43">
        <f t="shared" si="43"/>
        <v>0</v>
      </c>
      <c r="AZ358" s="43">
        <f t="shared" si="43"/>
        <v>112.5</v>
      </c>
      <c r="BA358" s="43">
        <f t="shared" si="43"/>
        <v>0</v>
      </c>
      <c r="BB358" s="43">
        <f t="shared" si="43"/>
        <v>0</v>
      </c>
      <c r="BC358" s="43">
        <f t="shared" si="43"/>
        <v>0</v>
      </c>
      <c r="BD358" s="43">
        <f t="shared" si="43"/>
        <v>0</v>
      </c>
      <c r="BE358" s="43">
        <f t="shared" si="43"/>
        <v>35</v>
      </c>
      <c r="BF358" s="41">
        <f t="shared" si="46"/>
        <v>247.5</v>
      </c>
      <c r="BG358" s="41" t="str">
        <f t="array" ref="BG358">_xlfn.IFS(
OR(MONTH(A358)=11,MONTH(A358)=12,MONTH(A358)=1,MONTH(A358)=2),"Winter",
OR(MONTH(A358)=3,MONTH(A358)=4),"Spring",
OR(MONTH(A358)=5,MONTH(A358)=6),"Summer",
OR(MONTH(A358)=7,MONTH(A358)=8,MONTH(A358)=9),"Monsoon",
MONTH(A358)=10,"Autumn/Festive",
TRUE,""
)</f>
        <v>Winter</v>
      </c>
    </row>
    <row r="359" spans="1:59" x14ac:dyDescent="0.3">
      <c r="A359" s="39">
        <v>45684</v>
      </c>
      <c r="B359" s="40" t="str">
        <f t="shared" si="44"/>
        <v>January</v>
      </c>
      <c r="C359" s="41">
        <v>8</v>
      </c>
      <c r="D359" s="41">
        <v>0</v>
      </c>
      <c r="E359" s="41">
        <v>0</v>
      </c>
      <c r="F359" s="41">
        <v>0</v>
      </c>
      <c r="G359" s="41">
        <v>0</v>
      </c>
      <c r="H359" s="41">
        <v>1</v>
      </c>
      <c r="I359" s="41">
        <v>0.25</v>
      </c>
      <c r="J359" s="41">
        <v>0</v>
      </c>
      <c r="K359" s="41">
        <v>1</v>
      </c>
      <c r="L359" s="41">
        <v>24</v>
      </c>
      <c r="M359" s="41">
        <v>1</v>
      </c>
      <c r="N359" s="42">
        <v>110</v>
      </c>
      <c r="O359" s="42">
        <v>110</v>
      </c>
      <c r="P359" s="42">
        <v>26</v>
      </c>
      <c r="Q359" s="42">
        <v>65</v>
      </c>
      <c r="R359" s="42">
        <v>200</v>
      </c>
      <c r="S359" s="42">
        <v>230</v>
      </c>
      <c r="T359" s="42">
        <v>250</v>
      </c>
      <c r="U359" s="42">
        <v>170</v>
      </c>
      <c r="V359" s="42">
        <v>25</v>
      </c>
      <c r="W359" s="42">
        <v>4</v>
      </c>
      <c r="X359" s="42">
        <v>265</v>
      </c>
      <c r="Y359" s="43">
        <v>130</v>
      </c>
      <c r="Z359" s="43">
        <v>150</v>
      </c>
      <c r="AA359" s="43">
        <v>30</v>
      </c>
      <c r="AB359" s="43">
        <v>95</v>
      </c>
      <c r="AC359" s="43">
        <v>250</v>
      </c>
      <c r="AD359" s="43">
        <v>260</v>
      </c>
      <c r="AE359" s="43">
        <v>280</v>
      </c>
      <c r="AF359" s="43">
        <v>200</v>
      </c>
      <c r="AG359" s="43">
        <v>30</v>
      </c>
      <c r="AH359" s="43">
        <v>6</v>
      </c>
      <c r="AI359" s="43">
        <v>300</v>
      </c>
      <c r="AJ359" s="41">
        <f t="shared" si="45"/>
        <v>1040</v>
      </c>
      <c r="AK359" s="41">
        <f t="shared" si="48"/>
        <v>0</v>
      </c>
      <c r="AL359" s="41">
        <f t="shared" si="48"/>
        <v>0</v>
      </c>
      <c r="AM359" s="41">
        <f t="shared" si="48"/>
        <v>0</v>
      </c>
      <c r="AN359" s="41">
        <f t="shared" si="48"/>
        <v>0</v>
      </c>
      <c r="AO359" s="41">
        <f t="shared" si="48"/>
        <v>260</v>
      </c>
      <c r="AP359" s="41">
        <f t="shared" si="47"/>
        <v>70</v>
      </c>
      <c r="AQ359" s="41">
        <f t="shared" si="47"/>
        <v>0</v>
      </c>
      <c r="AR359" s="41">
        <f t="shared" si="47"/>
        <v>30</v>
      </c>
      <c r="AS359" s="41">
        <f t="shared" si="47"/>
        <v>144</v>
      </c>
      <c r="AT359" s="41">
        <f t="shared" si="47"/>
        <v>300</v>
      </c>
      <c r="AU359" s="43">
        <f t="shared" si="43"/>
        <v>160</v>
      </c>
      <c r="AV359" s="43">
        <f t="shared" si="43"/>
        <v>0</v>
      </c>
      <c r="AW359" s="43">
        <f t="shared" si="43"/>
        <v>0</v>
      </c>
      <c r="AX359" s="43">
        <f t="shared" si="43"/>
        <v>0</v>
      </c>
      <c r="AY359" s="43">
        <f t="shared" si="43"/>
        <v>0</v>
      </c>
      <c r="AZ359" s="43">
        <f t="shared" si="43"/>
        <v>30</v>
      </c>
      <c r="BA359" s="43">
        <f t="shared" si="43"/>
        <v>7.5</v>
      </c>
      <c r="BB359" s="43">
        <f t="shared" si="43"/>
        <v>0</v>
      </c>
      <c r="BC359" s="43">
        <f t="shared" si="43"/>
        <v>5</v>
      </c>
      <c r="BD359" s="43">
        <f t="shared" si="43"/>
        <v>48</v>
      </c>
      <c r="BE359" s="43">
        <f t="shared" si="43"/>
        <v>35</v>
      </c>
      <c r="BF359" s="41">
        <f t="shared" si="46"/>
        <v>285.5</v>
      </c>
      <c r="BG359" s="41" t="str">
        <f t="array" ref="BG359">_xlfn.IFS(
OR(MONTH(A359)=11,MONTH(A359)=12,MONTH(A359)=1,MONTH(A359)=2),"Winter",
OR(MONTH(A359)=3,MONTH(A359)=4),"Spring",
OR(MONTH(A359)=5,MONTH(A359)=6),"Summer",
OR(MONTH(A359)=7,MONTH(A359)=8,MONTH(A359)=9),"Monsoon",
MONTH(A359)=10,"Autumn/Festive",
TRUE,""
)</f>
        <v>Winter</v>
      </c>
    </row>
    <row r="360" spans="1:59" x14ac:dyDescent="0.3">
      <c r="A360" s="39">
        <v>45685</v>
      </c>
      <c r="B360" s="40" t="str">
        <f t="shared" si="44"/>
        <v>January</v>
      </c>
      <c r="C360" s="41">
        <v>4</v>
      </c>
      <c r="D360" s="41">
        <v>0</v>
      </c>
      <c r="E360" s="41">
        <v>0</v>
      </c>
      <c r="F360" s="41">
        <v>0</v>
      </c>
      <c r="G360" s="41">
        <v>0</v>
      </c>
      <c r="H360" s="41">
        <v>3.5</v>
      </c>
      <c r="I360" s="41">
        <v>2</v>
      </c>
      <c r="J360" s="41">
        <v>1</v>
      </c>
      <c r="K360" s="41">
        <v>0</v>
      </c>
      <c r="L360" s="41">
        <v>0</v>
      </c>
      <c r="M360" s="41">
        <v>1</v>
      </c>
      <c r="N360" s="42">
        <v>110</v>
      </c>
      <c r="O360" s="42">
        <v>110</v>
      </c>
      <c r="P360" s="42">
        <v>26</v>
      </c>
      <c r="Q360" s="42">
        <v>65</v>
      </c>
      <c r="R360" s="42">
        <v>200</v>
      </c>
      <c r="S360" s="42">
        <v>230</v>
      </c>
      <c r="T360" s="42">
        <v>250</v>
      </c>
      <c r="U360" s="42">
        <v>170</v>
      </c>
      <c r="V360" s="42">
        <v>25</v>
      </c>
      <c r="W360" s="42">
        <v>4</v>
      </c>
      <c r="X360" s="42">
        <v>265</v>
      </c>
      <c r="Y360" s="43">
        <v>130</v>
      </c>
      <c r="Z360" s="43">
        <v>150</v>
      </c>
      <c r="AA360" s="43">
        <v>30</v>
      </c>
      <c r="AB360" s="43">
        <v>95</v>
      </c>
      <c r="AC360" s="43">
        <v>250</v>
      </c>
      <c r="AD360" s="43">
        <v>260</v>
      </c>
      <c r="AE360" s="43">
        <v>280</v>
      </c>
      <c r="AF360" s="43">
        <v>200</v>
      </c>
      <c r="AG360" s="43">
        <v>30</v>
      </c>
      <c r="AH360" s="43">
        <v>6</v>
      </c>
      <c r="AI360" s="43">
        <v>300</v>
      </c>
      <c r="AJ360" s="41">
        <f t="shared" si="45"/>
        <v>520</v>
      </c>
      <c r="AK360" s="41">
        <f t="shared" si="48"/>
        <v>0</v>
      </c>
      <c r="AL360" s="41">
        <f t="shared" si="48"/>
        <v>0</v>
      </c>
      <c r="AM360" s="41">
        <f t="shared" si="48"/>
        <v>0</v>
      </c>
      <c r="AN360" s="41">
        <f t="shared" si="48"/>
        <v>0</v>
      </c>
      <c r="AO360" s="41">
        <f t="shared" si="48"/>
        <v>910</v>
      </c>
      <c r="AP360" s="41">
        <f t="shared" si="47"/>
        <v>560</v>
      </c>
      <c r="AQ360" s="41">
        <f t="shared" si="47"/>
        <v>200</v>
      </c>
      <c r="AR360" s="41">
        <f t="shared" si="47"/>
        <v>0</v>
      </c>
      <c r="AS360" s="41">
        <f t="shared" si="47"/>
        <v>0</v>
      </c>
      <c r="AT360" s="41">
        <f t="shared" si="47"/>
        <v>300</v>
      </c>
      <c r="AU360" s="43">
        <f t="shared" ref="AU360:BE363" si="49">AJ360-(C360*N360)</f>
        <v>80</v>
      </c>
      <c r="AV360" s="43">
        <f t="shared" si="49"/>
        <v>0</v>
      </c>
      <c r="AW360" s="43">
        <f t="shared" si="49"/>
        <v>0</v>
      </c>
      <c r="AX360" s="43">
        <f t="shared" si="49"/>
        <v>0</v>
      </c>
      <c r="AY360" s="43">
        <f t="shared" si="49"/>
        <v>0</v>
      </c>
      <c r="AZ360" s="43">
        <f t="shared" si="49"/>
        <v>105</v>
      </c>
      <c r="BA360" s="43">
        <f t="shared" si="49"/>
        <v>60</v>
      </c>
      <c r="BB360" s="43">
        <f t="shared" si="49"/>
        <v>30</v>
      </c>
      <c r="BC360" s="43">
        <f t="shared" si="49"/>
        <v>0</v>
      </c>
      <c r="BD360" s="43">
        <f t="shared" si="49"/>
        <v>0</v>
      </c>
      <c r="BE360" s="43">
        <f t="shared" si="49"/>
        <v>35</v>
      </c>
      <c r="BF360" s="41">
        <f t="shared" si="46"/>
        <v>310</v>
      </c>
      <c r="BG360" s="41" t="str">
        <f t="array" ref="BG360">_xlfn.IFS(
OR(MONTH(A360)=11,MONTH(A360)=12,MONTH(A360)=1,MONTH(A360)=2),"Winter",
OR(MONTH(A360)=3,MONTH(A360)=4),"Spring",
OR(MONTH(A360)=5,MONTH(A360)=6),"Summer",
OR(MONTH(A360)=7,MONTH(A360)=8,MONTH(A360)=9),"Monsoon",
MONTH(A360)=10,"Autumn/Festive",
TRUE,""
)</f>
        <v>Winter</v>
      </c>
    </row>
    <row r="361" spans="1:59" x14ac:dyDescent="0.3">
      <c r="A361" s="39">
        <v>45686</v>
      </c>
      <c r="B361" s="40" t="str">
        <f t="shared" si="44"/>
        <v>January</v>
      </c>
      <c r="C361" s="41">
        <v>11</v>
      </c>
      <c r="D361" s="41">
        <v>0</v>
      </c>
      <c r="E361" s="41">
        <v>0</v>
      </c>
      <c r="F361" s="41">
        <v>0</v>
      </c>
      <c r="G361" s="41">
        <v>0</v>
      </c>
      <c r="H361" s="41">
        <v>4.75</v>
      </c>
      <c r="I361" s="41">
        <v>2</v>
      </c>
      <c r="J361" s="41">
        <v>0</v>
      </c>
      <c r="K361" s="41">
        <v>2</v>
      </c>
      <c r="L361" s="41">
        <v>10</v>
      </c>
      <c r="M361" s="41">
        <v>1</v>
      </c>
      <c r="N361" s="42">
        <v>110</v>
      </c>
      <c r="O361" s="42">
        <v>110</v>
      </c>
      <c r="P361" s="42">
        <v>26</v>
      </c>
      <c r="Q361" s="42">
        <v>65</v>
      </c>
      <c r="R361" s="42">
        <v>200</v>
      </c>
      <c r="S361" s="42">
        <v>230</v>
      </c>
      <c r="T361" s="42">
        <v>250</v>
      </c>
      <c r="U361" s="42">
        <v>170</v>
      </c>
      <c r="V361" s="42">
        <v>25</v>
      </c>
      <c r="W361" s="42">
        <v>4</v>
      </c>
      <c r="X361" s="42">
        <v>265</v>
      </c>
      <c r="Y361" s="43">
        <v>130</v>
      </c>
      <c r="Z361" s="43">
        <v>150</v>
      </c>
      <c r="AA361" s="43">
        <v>30</v>
      </c>
      <c r="AB361" s="43">
        <v>95</v>
      </c>
      <c r="AC361" s="43">
        <v>250</v>
      </c>
      <c r="AD361" s="43">
        <v>260</v>
      </c>
      <c r="AE361" s="43">
        <v>280</v>
      </c>
      <c r="AF361" s="43">
        <v>200</v>
      </c>
      <c r="AG361" s="43">
        <v>30</v>
      </c>
      <c r="AH361" s="43">
        <v>6</v>
      </c>
      <c r="AI361" s="43">
        <v>300</v>
      </c>
      <c r="AJ361" s="41">
        <f t="shared" si="45"/>
        <v>1430</v>
      </c>
      <c r="AK361" s="41">
        <f t="shared" si="48"/>
        <v>0</v>
      </c>
      <c r="AL361" s="41">
        <f t="shared" si="48"/>
        <v>0</v>
      </c>
      <c r="AM361" s="41">
        <f t="shared" si="48"/>
        <v>0</v>
      </c>
      <c r="AN361" s="41">
        <f t="shared" si="48"/>
        <v>0</v>
      </c>
      <c r="AO361" s="41">
        <f t="shared" si="48"/>
        <v>1235</v>
      </c>
      <c r="AP361" s="41">
        <f t="shared" si="47"/>
        <v>560</v>
      </c>
      <c r="AQ361" s="41">
        <f t="shared" si="47"/>
        <v>0</v>
      </c>
      <c r="AR361" s="41">
        <f t="shared" si="47"/>
        <v>60</v>
      </c>
      <c r="AS361" s="41">
        <f t="shared" si="47"/>
        <v>60</v>
      </c>
      <c r="AT361" s="41">
        <f t="shared" si="47"/>
        <v>300</v>
      </c>
      <c r="AU361" s="43">
        <f t="shared" si="49"/>
        <v>220</v>
      </c>
      <c r="AV361" s="43">
        <f t="shared" si="49"/>
        <v>0</v>
      </c>
      <c r="AW361" s="43">
        <f t="shared" si="49"/>
        <v>0</v>
      </c>
      <c r="AX361" s="43">
        <f t="shared" si="49"/>
        <v>0</v>
      </c>
      <c r="AY361" s="43">
        <f t="shared" si="49"/>
        <v>0</v>
      </c>
      <c r="AZ361" s="43">
        <f t="shared" si="49"/>
        <v>142.5</v>
      </c>
      <c r="BA361" s="43">
        <f t="shared" si="49"/>
        <v>60</v>
      </c>
      <c r="BB361" s="43">
        <f t="shared" si="49"/>
        <v>0</v>
      </c>
      <c r="BC361" s="43">
        <f t="shared" si="49"/>
        <v>10</v>
      </c>
      <c r="BD361" s="43">
        <f t="shared" si="49"/>
        <v>20</v>
      </c>
      <c r="BE361" s="43">
        <f t="shared" si="49"/>
        <v>35</v>
      </c>
      <c r="BF361" s="41">
        <f t="shared" si="46"/>
        <v>487.5</v>
      </c>
      <c r="BG361" s="41" t="str">
        <f t="array" ref="BG361">_xlfn.IFS(
OR(MONTH(A361)=11,MONTH(A361)=12,MONTH(A361)=1,MONTH(A361)=2),"Winter",
OR(MONTH(A361)=3,MONTH(A361)=4),"Spring",
OR(MONTH(A361)=5,MONTH(A361)=6),"Summer",
OR(MONTH(A361)=7,MONTH(A361)=8,MONTH(A361)=9),"Monsoon",
MONTH(A361)=10,"Autumn/Festive",
TRUE,""
)</f>
        <v>Winter</v>
      </c>
    </row>
    <row r="362" spans="1:59" x14ac:dyDescent="0.3">
      <c r="A362" s="39">
        <v>45687</v>
      </c>
      <c r="B362" s="40" t="str">
        <f t="shared" si="44"/>
        <v>January</v>
      </c>
      <c r="C362" s="41">
        <v>2</v>
      </c>
      <c r="D362" s="41">
        <v>0</v>
      </c>
      <c r="E362" s="41">
        <v>0</v>
      </c>
      <c r="F362" s="41">
        <v>0</v>
      </c>
      <c r="G362" s="41">
        <v>0</v>
      </c>
      <c r="H362" s="41">
        <v>3.75</v>
      </c>
      <c r="I362" s="41">
        <v>4.25</v>
      </c>
      <c r="J362" s="41">
        <v>0</v>
      </c>
      <c r="K362" s="41">
        <v>2</v>
      </c>
      <c r="L362" s="41">
        <v>13</v>
      </c>
      <c r="M362" s="41">
        <v>0.5</v>
      </c>
      <c r="N362" s="42">
        <v>110</v>
      </c>
      <c r="O362" s="42">
        <v>110</v>
      </c>
      <c r="P362" s="42">
        <v>26</v>
      </c>
      <c r="Q362" s="42">
        <v>65</v>
      </c>
      <c r="R362" s="42">
        <v>200</v>
      </c>
      <c r="S362" s="42">
        <v>230</v>
      </c>
      <c r="T362" s="42">
        <v>250</v>
      </c>
      <c r="U362" s="42">
        <v>170</v>
      </c>
      <c r="V362" s="42">
        <v>25</v>
      </c>
      <c r="W362" s="42">
        <v>4</v>
      </c>
      <c r="X362" s="42">
        <v>265</v>
      </c>
      <c r="Y362" s="43">
        <v>130</v>
      </c>
      <c r="Z362" s="43">
        <v>150</v>
      </c>
      <c r="AA362" s="43">
        <v>30</v>
      </c>
      <c r="AB362" s="43">
        <v>95</v>
      </c>
      <c r="AC362" s="43">
        <v>250</v>
      </c>
      <c r="AD362" s="43">
        <v>260</v>
      </c>
      <c r="AE362" s="43">
        <v>280</v>
      </c>
      <c r="AF362" s="43">
        <v>200</v>
      </c>
      <c r="AG362" s="43">
        <v>30</v>
      </c>
      <c r="AH362" s="43">
        <v>6</v>
      </c>
      <c r="AI362" s="43">
        <v>300</v>
      </c>
      <c r="AJ362" s="41">
        <f t="shared" si="45"/>
        <v>260</v>
      </c>
      <c r="AK362" s="41">
        <f t="shared" si="48"/>
        <v>0</v>
      </c>
      <c r="AL362" s="41">
        <f t="shared" si="48"/>
        <v>0</v>
      </c>
      <c r="AM362" s="41">
        <f t="shared" si="48"/>
        <v>0</v>
      </c>
      <c r="AN362" s="41">
        <f t="shared" si="48"/>
        <v>0</v>
      </c>
      <c r="AO362" s="41">
        <f t="shared" si="48"/>
        <v>975</v>
      </c>
      <c r="AP362" s="41">
        <f t="shared" si="47"/>
        <v>1190</v>
      </c>
      <c r="AQ362" s="41">
        <f t="shared" si="47"/>
        <v>0</v>
      </c>
      <c r="AR362" s="41">
        <f t="shared" si="47"/>
        <v>60</v>
      </c>
      <c r="AS362" s="41">
        <f t="shared" si="47"/>
        <v>78</v>
      </c>
      <c r="AT362" s="41">
        <f t="shared" si="47"/>
        <v>150</v>
      </c>
      <c r="AU362" s="43">
        <f t="shared" si="49"/>
        <v>40</v>
      </c>
      <c r="AV362" s="43">
        <f t="shared" si="49"/>
        <v>0</v>
      </c>
      <c r="AW362" s="43">
        <f t="shared" si="49"/>
        <v>0</v>
      </c>
      <c r="AX362" s="43">
        <f t="shared" si="49"/>
        <v>0</v>
      </c>
      <c r="AY362" s="43">
        <f t="shared" si="49"/>
        <v>0</v>
      </c>
      <c r="AZ362" s="43">
        <f t="shared" si="49"/>
        <v>112.5</v>
      </c>
      <c r="BA362" s="43">
        <f t="shared" si="49"/>
        <v>127.5</v>
      </c>
      <c r="BB362" s="43">
        <f t="shared" si="49"/>
        <v>0</v>
      </c>
      <c r="BC362" s="43">
        <f t="shared" si="49"/>
        <v>10</v>
      </c>
      <c r="BD362" s="43">
        <f t="shared" si="49"/>
        <v>26</v>
      </c>
      <c r="BE362" s="43">
        <f t="shared" si="49"/>
        <v>17.5</v>
      </c>
      <c r="BF362" s="41">
        <f t="shared" si="46"/>
        <v>333.5</v>
      </c>
      <c r="BG362" s="41" t="str">
        <f t="array" ref="BG362">_xlfn.IFS(
OR(MONTH(A362)=11,MONTH(A362)=12,MONTH(A362)=1,MONTH(A362)=2),"Winter",
OR(MONTH(A362)=3,MONTH(A362)=4),"Spring",
OR(MONTH(A362)=5,MONTH(A362)=6),"Summer",
OR(MONTH(A362)=7,MONTH(A362)=8,MONTH(A362)=9),"Monsoon",
MONTH(A362)=10,"Autumn/Festive",
TRUE,""
)</f>
        <v>Winter</v>
      </c>
    </row>
    <row r="363" spans="1:59" x14ac:dyDescent="0.3">
      <c r="A363" s="39">
        <v>45688</v>
      </c>
      <c r="B363" s="40" t="str">
        <f t="shared" si="44"/>
        <v>January</v>
      </c>
      <c r="C363" s="41">
        <v>4</v>
      </c>
      <c r="D363" s="41">
        <v>1</v>
      </c>
      <c r="E363" s="41">
        <v>0</v>
      </c>
      <c r="F363" s="41">
        <v>0</v>
      </c>
      <c r="G363" s="41">
        <v>0</v>
      </c>
      <c r="H363" s="41">
        <v>2.75</v>
      </c>
      <c r="I363" s="41">
        <v>5.5</v>
      </c>
      <c r="J363" s="41">
        <v>0</v>
      </c>
      <c r="K363" s="41">
        <v>2</v>
      </c>
      <c r="L363" s="41">
        <v>14</v>
      </c>
      <c r="M363" s="41">
        <v>3</v>
      </c>
      <c r="N363" s="42">
        <v>110</v>
      </c>
      <c r="O363" s="42">
        <v>110</v>
      </c>
      <c r="P363" s="42">
        <v>26</v>
      </c>
      <c r="Q363" s="42">
        <v>65</v>
      </c>
      <c r="R363" s="42">
        <v>200</v>
      </c>
      <c r="S363" s="42">
        <v>230</v>
      </c>
      <c r="T363" s="42">
        <v>250</v>
      </c>
      <c r="U363" s="42">
        <v>170</v>
      </c>
      <c r="V363" s="42">
        <v>25</v>
      </c>
      <c r="W363" s="42">
        <v>4</v>
      </c>
      <c r="X363" s="42">
        <v>265</v>
      </c>
      <c r="Y363" s="43">
        <v>130</v>
      </c>
      <c r="Z363" s="43">
        <v>150</v>
      </c>
      <c r="AA363" s="43">
        <v>30</v>
      </c>
      <c r="AB363" s="43">
        <v>95</v>
      </c>
      <c r="AC363" s="43">
        <v>250</v>
      </c>
      <c r="AD363" s="43">
        <v>260</v>
      </c>
      <c r="AE363" s="43">
        <v>280</v>
      </c>
      <c r="AF363" s="43">
        <v>200</v>
      </c>
      <c r="AG363" s="43">
        <v>30</v>
      </c>
      <c r="AH363" s="43">
        <v>6</v>
      </c>
      <c r="AI363" s="43">
        <v>300</v>
      </c>
      <c r="AJ363" s="41">
        <f t="shared" si="45"/>
        <v>520</v>
      </c>
      <c r="AK363" s="41">
        <f t="shared" si="48"/>
        <v>150</v>
      </c>
      <c r="AL363" s="41">
        <f t="shared" si="48"/>
        <v>0</v>
      </c>
      <c r="AM363" s="41">
        <f t="shared" si="48"/>
        <v>0</v>
      </c>
      <c r="AN363" s="41">
        <f t="shared" si="48"/>
        <v>0</v>
      </c>
      <c r="AO363" s="41">
        <f t="shared" si="48"/>
        <v>715</v>
      </c>
      <c r="AP363" s="41">
        <f t="shared" si="47"/>
        <v>1540</v>
      </c>
      <c r="AQ363" s="41">
        <f t="shared" si="47"/>
        <v>0</v>
      </c>
      <c r="AR363" s="41">
        <f t="shared" si="47"/>
        <v>60</v>
      </c>
      <c r="AS363" s="41">
        <f t="shared" si="47"/>
        <v>84</v>
      </c>
      <c r="AT363" s="41">
        <f t="shared" si="47"/>
        <v>900</v>
      </c>
      <c r="AU363" s="43">
        <f t="shared" si="49"/>
        <v>80</v>
      </c>
      <c r="AV363" s="43">
        <f t="shared" si="49"/>
        <v>40</v>
      </c>
      <c r="AW363" s="43">
        <f t="shared" si="49"/>
        <v>0</v>
      </c>
      <c r="AX363" s="43">
        <f t="shared" si="49"/>
        <v>0</v>
      </c>
      <c r="AY363" s="43">
        <f t="shared" si="49"/>
        <v>0</v>
      </c>
      <c r="AZ363" s="43">
        <f t="shared" si="49"/>
        <v>82.5</v>
      </c>
      <c r="BA363" s="43">
        <f t="shared" si="49"/>
        <v>165</v>
      </c>
      <c r="BB363" s="43">
        <f t="shared" si="49"/>
        <v>0</v>
      </c>
      <c r="BC363" s="43">
        <f t="shared" si="49"/>
        <v>10</v>
      </c>
      <c r="BD363" s="43">
        <f t="shared" si="49"/>
        <v>28</v>
      </c>
      <c r="BE363" s="43">
        <f t="shared" si="49"/>
        <v>105</v>
      </c>
      <c r="BF363" s="41">
        <f t="shared" si="46"/>
        <v>510.5</v>
      </c>
      <c r="BG363" s="41" t="str">
        <f t="array" ref="BG363">_xlfn.IFS(
OR(MONTH(A363)=11,MONTH(A363)=12,MONTH(A363)=1,MONTH(A363)=2),"Winter",
OR(MONTH(A363)=3,MONTH(A363)=4),"Spring",
OR(MONTH(A363)=5,MONTH(A363)=6),"Summer",
OR(MONTH(A363)=7,MONTH(A363)=8,MONTH(A363)=9),"Monsoon",
MONTH(A363)=10,"Autumn/Festive",
TRUE,""
)</f>
        <v>Winter</v>
      </c>
    </row>
  </sheetData>
  <mergeCells count="15">
    <mergeCell ref="AD2:AI2"/>
    <mergeCell ref="AJ2:AN2"/>
    <mergeCell ref="AO2:AT2"/>
    <mergeCell ref="AU2:AY2"/>
    <mergeCell ref="AZ2:BE2"/>
    <mergeCell ref="C1:M1"/>
    <mergeCell ref="N1:X1"/>
    <mergeCell ref="Y1:AI1"/>
    <mergeCell ref="AJ1:AT1"/>
    <mergeCell ref="AU1:BE1"/>
    <mergeCell ref="C2:G2"/>
    <mergeCell ref="H2:M2"/>
    <mergeCell ref="N2:R2"/>
    <mergeCell ref="S2:X2"/>
    <mergeCell ref="Y2:A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opLeftCell="CN1" zoomScaleNormal="100" workbookViewId="0">
      <selection activeCell="F23" sqref="F23"/>
    </sheetView>
  </sheetViews>
  <sheetFormatPr defaultColWidth="8.6640625" defaultRowHeight="14.4" x14ac:dyDescent="0.3"/>
  <cols>
    <col min="1" max="1" width="12" customWidth="1"/>
    <col min="2" max="2" width="16" customWidth="1"/>
    <col min="3" max="3" width="15" customWidth="1"/>
    <col min="4" max="5" width="14" customWidth="1"/>
    <col min="6" max="7" width="13" customWidth="1"/>
    <col min="8" max="8" width="16" customWidth="1"/>
    <col min="9" max="9" width="13" customWidth="1"/>
  </cols>
  <sheetData>
    <row r="1" spans="1:9" ht="26.4" x14ac:dyDescent="0.3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17</v>
      </c>
      <c r="H1" s="3" t="s">
        <v>52</v>
      </c>
      <c r="I1" s="3" t="s">
        <v>53</v>
      </c>
    </row>
    <row r="2" spans="1:9" x14ac:dyDescent="0.3">
      <c r="A2" s="4" t="s">
        <v>54</v>
      </c>
      <c r="B2" s="4" t="s">
        <v>55</v>
      </c>
      <c r="C2" s="7">
        <f>SUMIFS(Data!$J$2:$J$2379,Data!$C$2:$C$2379,$A2,Data!$D$2:$D$2379,"Bangles")</f>
        <v>22940</v>
      </c>
      <c r="D2" s="7">
        <f>SUMIFS(Data!$J$2:$J$2379,Data!$C$2:$C$2379,$A2,Data!$D$2:$D$2379,"Wool")</f>
        <v>60456</v>
      </c>
      <c r="E2" s="7">
        <f t="shared" ref="E2:E13" si="0">C2+D2</f>
        <v>83396</v>
      </c>
      <c r="F2" s="7">
        <f>SUMIFS(Data!$L$2:$L$2379,Data!$C$2:$C$2379,$A2)</f>
        <v>14990</v>
      </c>
      <c r="G2" s="5">
        <f>COUNTIFS(Data!$C$2:$C$2379,$A2)</f>
        <v>168</v>
      </c>
      <c r="H2" s="9">
        <f t="shared" ref="H2:H14" si="1">E2/G2</f>
        <v>496.40476190476193</v>
      </c>
      <c r="I2" s="16">
        <f t="shared" ref="I2:I13" si="2">E2/AVERAGE($E$2:$E$13)</f>
        <v>0.82069483580395541</v>
      </c>
    </row>
    <row r="3" spans="1:9" x14ac:dyDescent="0.3">
      <c r="A3" s="4" t="s">
        <v>56</v>
      </c>
      <c r="B3" s="4" t="s">
        <v>57</v>
      </c>
      <c r="C3" s="7">
        <f>SUMIFS(Data!$J$2:$J$2379,Data!$C$2:$C$2379,$A3,Data!$D$2:$D$2379,"Bangles")</f>
        <v>33240</v>
      </c>
      <c r="D3" s="7">
        <f>SUMIFS(Data!$J$2:$J$2379,Data!$C$2:$C$2379,$A3,Data!$D$2:$D$2379,"Wool")</f>
        <v>57798</v>
      </c>
      <c r="E3" s="7">
        <f t="shared" si="0"/>
        <v>91038</v>
      </c>
      <c r="F3" s="7">
        <f>SUMIFS(Data!$L$2:$L$2379,Data!$C$2:$C$2379,$A3)</f>
        <v>16574</v>
      </c>
      <c r="G3" s="5">
        <f>COUNTIFS(Data!$C$2:$C$2379,$A3)</f>
        <v>187</v>
      </c>
      <c r="H3" s="9">
        <f t="shared" si="1"/>
        <v>486.83422459893046</v>
      </c>
      <c r="I3" s="16">
        <f t="shared" si="2"/>
        <v>0.8958992812835207</v>
      </c>
    </row>
    <row r="4" spans="1:9" x14ac:dyDescent="0.3">
      <c r="A4" s="4" t="s">
        <v>58</v>
      </c>
      <c r="B4" s="4" t="s">
        <v>57</v>
      </c>
      <c r="C4" s="7">
        <f>SUMIFS(Data!$J$2:$J$2379,Data!$C$2:$C$2379,$A4,Data!$D$2:$D$2379,"Bangles")</f>
        <v>59295</v>
      </c>
      <c r="D4" s="7">
        <f>SUMIFS(Data!$J$2:$J$2379,Data!$C$2:$C$2379,$A4,Data!$D$2:$D$2379,"Wool")</f>
        <v>14460</v>
      </c>
      <c r="E4" s="7">
        <f t="shared" si="0"/>
        <v>73755</v>
      </c>
      <c r="F4" s="7">
        <f>SUMIFS(Data!$L$2:$L$2379,Data!$C$2:$C$2379,$A4)</f>
        <v>16300</v>
      </c>
      <c r="G4" s="5">
        <f>COUNTIFS(Data!$C$2:$C$2379,$A4)</f>
        <v>144</v>
      </c>
      <c r="H4" s="9">
        <f t="shared" si="1"/>
        <v>512.1875</v>
      </c>
      <c r="I4" s="16">
        <f t="shared" si="2"/>
        <v>0.72581835597295719</v>
      </c>
    </row>
    <row r="5" spans="1:9" x14ac:dyDescent="0.3">
      <c r="A5" s="4" t="s">
        <v>59</v>
      </c>
      <c r="B5" s="4" t="s">
        <v>60</v>
      </c>
      <c r="C5" s="7">
        <f>SUMIFS(Data!$J$2:$J$2379,Data!$C$2:$C$2379,$A5,Data!$D$2:$D$2379,"Bangles")</f>
        <v>56535</v>
      </c>
      <c r="D5" s="7">
        <f>SUMIFS(Data!$J$2:$J$2379,Data!$C$2:$C$2379,$A5,Data!$D$2:$D$2379,"Wool")</f>
        <v>880</v>
      </c>
      <c r="E5" s="7">
        <f t="shared" si="0"/>
        <v>57415</v>
      </c>
      <c r="F5" s="7">
        <f>SUMIFS(Data!$L$2:$L$2379,Data!$C$2:$C$2379,$A5)</f>
        <v>13972</v>
      </c>
      <c r="G5" s="5">
        <f>COUNTIFS(Data!$C$2:$C$2379,$A5)</f>
        <v>97</v>
      </c>
      <c r="H5" s="9">
        <f t="shared" si="1"/>
        <v>591.90721649484533</v>
      </c>
      <c r="I5" s="16">
        <f t="shared" si="2"/>
        <v>0.5650174348611936</v>
      </c>
    </row>
    <row r="6" spans="1:9" x14ac:dyDescent="0.3">
      <c r="A6" s="4" t="s">
        <v>61</v>
      </c>
      <c r="B6" s="4" t="s">
        <v>60</v>
      </c>
      <c r="C6" s="7">
        <f>SUMIFS(Data!$J$2:$J$2379,Data!$C$2:$C$2379,$A6,Data!$D$2:$D$2379,"Bangles")</f>
        <v>61415</v>
      </c>
      <c r="D6" s="7">
        <f>SUMIFS(Data!$J$2:$J$2379,Data!$C$2:$C$2379,$A6,Data!$D$2:$D$2379,"Wool")</f>
        <v>1000</v>
      </c>
      <c r="E6" s="7">
        <f t="shared" si="0"/>
        <v>62415</v>
      </c>
      <c r="F6" s="7">
        <f>SUMIFS(Data!$L$2:$L$2379,Data!$C$2:$C$2379,$A6)</f>
        <v>15472</v>
      </c>
      <c r="G6" s="5">
        <f>COUNTIFS(Data!$C$2:$C$2379,$A6)</f>
        <v>110</v>
      </c>
      <c r="H6" s="9">
        <f t="shared" si="1"/>
        <v>567.40909090909088</v>
      </c>
      <c r="I6" s="16">
        <f t="shared" si="2"/>
        <v>0.61422212308388746</v>
      </c>
    </row>
    <row r="7" spans="1:9" x14ac:dyDescent="0.3">
      <c r="A7" s="4" t="s">
        <v>62</v>
      </c>
      <c r="B7" s="4" t="s">
        <v>63</v>
      </c>
      <c r="C7" s="7">
        <f>SUMIFS(Data!$J$2:$J$2379,Data!$C$2:$C$2379,$A7,Data!$D$2:$D$2379,"Bangles")</f>
        <v>208060</v>
      </c>
      <c r="D7" s="7">
        <f>SUMIFS(Data!$J$2:$J$2379,Data!$C$2:$C$2379,$A7,Data!$D$2:$D$2379,"Wool")</f>
        <v>1510</v>
      </c>
      <c r="E7" s="7">
        <f t="shared" si="0"/>
        <v>209570</v>
      </c>
      <c r="F7" s="7">
        <f>SUMIFS(Data!$L$2:$L$2379,Data!$C$2:$C$2379,$A7)</f>
        <v>51285</v>
      </c>
      <c r="G7" s="5">
        <f>COUNTIFS(Data!$C$2:$C$2379,$A7)</f>
        <v>272</v>
      </c>
      <c r="H7" s="9">
        <f t="shared" si="1"/>
        <v>770.47794117647061</v>
      </c>
      <c r="I7" s="16">
        <f t="shared" si="2"/>
        <v>2.0623653021659907</v>
      </c>
    </row>
    <row r="8" spans="1:9" x14ac:dyDescent="0.3">
      <c r="A8" s="4" t="s">
        <v>64</v>
      </c>
      <c r="B8" s="4" t="s">
        <v>63</v>
      </c>
      <c r="C8" s="7">
        <f>SUMIFS(Data!$J$2:$J$2379,Data!$C$2:$C$2379,$A8,Data!$D$2:$D$2379,"Bangles")</f>
        <v>86650</v>
      </c>
      <c r="D8" s="7">
        <f>SUMIFS(Data!$J$2:$J$2379,Data!$C$2:$C$2379,$A8,Data!$D$2:$D$2379,"Wool")</f>
        <v>300</v>
      </c>
      <c r="E8" s="7">
        <f t="shared" si="0"/>
        <v>86950</v>
      </c>
      <c r="F8" s="7">
        <f>SUMIFS(Data!$L$2:$L$2379,Data!$C$2:$C$2379,$A8)</f>
        <v>20973</v>
      </c>
      <c r="G8" s="5">
        <f>COUNTIFS(Data!$C$2:$C$2379,$A8)</f>
        <v>129</v>
      </c>
      <c r="H8" s="9">
        <f t="shared" si="1"/>
        <v>674.03100775193798</v>
      </c>
      <c r="I8" s="16">
        <f t="shared" si="2"/>
        <v>0.85566952819264619</v>
      </c>
    </row>
    <row r="9" spans="1:9" x14ac:dyDescent="0.3">
      <c r="A9" s="4" t="s">
        <v>65</v>
      </c>
      <c r="B9" s="4" t="s">
        <v>63</v>
      </c>
      <c r="C9" s="7">
        <f>SUMIFS(Data!$J$2:$J$2379,Data!$C$2:$C$2379,$A9,Data!$D$2:$D$2379,"Bangles")</f>
        <v>19780</v>
      </c>
      <c r="D9" s="7">
        <f>SUMIFS(Data!$J$2:$J$2379,Data!$C$2:$C$2379,$A9,Data!$D$2:$D$2379,"Wool")</f>
        <v>5210</v>
      </c>
      <c r="E9" s="7">
        <f t="shared" si="0"/>
        <v>24990</v>
      </c>
      <c r="F9" s="7">
        <f>SUMIFS(Data!$L$2:$L$2379,Data!$C$2:$C$2379,$A9)</f>
        <v>5579</v>
      </c>
      <c r="G9" s="5">
        <f>COUNTIFS(Data!$C$2:$C$2379,$A9)</f>
        <v>63</v>
      </c>
      <c r="H9" s="9">
        <f t="shared" si="1"/>
        <v>396.66666666666669</v>
      </c>
      <c r="I9" s="16">
        <f t="shared" si="2"/>
        <v>0.2459250317370239</v>
      </c>
    </row>
    <row r="10" spans="1:9" x14ac:dyDescent="0.3">
      <c r="A10" s="4" t="s">
        <v>66</v>
      </c>
      <c r="B10" s="4" t="s">
        <v>67</v>
      </c>
      <c r="C10" s="7">
        <f>SUMIFS(Data!$J$2:$J$2379,Data!$C$2:$C$2379,$A10,Data!$D$2:$D$2379,"Bangles")</f>
        <v>291225</v>
      </c>
      <c r="D10" s="7">
        <f>SUMIFS(Data!$J$2:$J$2379,Data!$C$2:$C$2379,$A10,Data!$D$2:$D$2379,"Wool")</f>
        <v>28672</v>
      </c>
      <c r="E10" s="7">
        <f t="shared" si="0"/>
        <v>319897</v>
      </c>
      <c r="F10" s="7">
        <f>SUMIFS(Data!$L$2:$L$2379,Data!$C$2:$C$2379,$A10)</f>
        <v>73554</v>
      </c>
      <c r="G10" s="5">
        <f>COUNTIFS(Data!$C$2:$C$2379,$A10)</f>
        <v>457</v>
      </c>
      <c r="H10" s="9">
        <f t="shared" si="1"/>
        <v>699.99343544857766</v>
      </c>
      <c r="I10" s="16">
        <f t="shared" si="2"/>
        <v>3.1480864296750197</v>
      </c>
    </row>
    <row r="11" spans="1:9" x14ac:dyDescent="0.3">
      <c r="A11" s="4" t="s">
        <v>68</v>
      </c>
      <c r="B11" s="4" t="s">
        <v>55</v>
      </c>
      <c r="C11" s="7">
        <f>SUMIFS(Data!$J$2:$J$2379,Data!$C$2:$C$2379,$A11,Data!$D$2:$D$2379,"Bangles")</f>
        <v>17370</v>
      </c>
      <c r="D11" s="7">
        <f>SUMIFS(Data!$J$2:$J$2379,Data!$C$2:$C$2379,$A11,Data!$D$2:$D$2379,"Wool")</f>
        <v>37708</v>
      </c>
      <c r="E11" s="7">
        <f t="shared" si="0"/>
        <v>55078</v>
      </c>
      <c r="F11" s="7">
        <f>SUMIFS(Data!$L$2:$L$2379,Data!$C$2:$C$2379,$A11)</f>
        <v>10227.5</v>
      </c>
      <c r="G11" s="5">
        <f>COUNTIFS(Data!$C$2:$C$2379,$A11)</f>
        <v>199</v>
      </c>
      <c r="H11" s="9">
        <f t="shared" si="1"/>
        <v>276.77386934673365</v>
      </c>
      <c r="I11" s="16">
        <f t="shared" si="2"/>
        <v>0.54201916358590652</v>
      </c>
    </row>
    <row r="12" spans="1:9" x14ac:dyDescent="0.3">
      <c r="A12" s="4" t="s">
        <v>69</v>
      </c>
      <c r="B12" s="4" t="s">
        <v>55</v>
      </c>
      <c r="C12" s="7">
        <f>SUMIFS(Data!$J$2:$J$2379,Data!$C$2:$C$2379,$A12,Data!$D$2:$D$2379,"Bangles")</f>
        <v>16630</v>
      </c>
      <c r="D12" s="7">
        <f>SUMIFS(Data!$J$2:$J$2379,Data!$C$2:$C$2379,$A12,Data!$D$2:$D$2379,"Wool")</f>
        <v>55102</v>
      </c>
      <c r="E12" s="7">
        <f t="shared" si="0"/>
        <v>71732</v>
      </c>
      <c r="F12" s="7">
        <f>SUMIFS(Data!$L$2:$L$2379,Data!$C$2:$C$2379,$A12)</f>
        <v>12082.5</v>
      </c>
      <c r="G12" s="5">
        <f>COUNTIFS(Data!$C$2:$C$2379,$A12)</f>
        <v>280</v>
      </c>
      <c r="H12" s="9">
        <f t="shared" si="1"/>
        <v>256.18571428571431</v>
      </c>
      <c r="I12" s="16">
        <f t="shared" si="2"/>
        <v>0.70591013911805522</v>
      </c>
    </row>
    <row r="13" spans="1:9" x14ac:dyDescent="0.3">
      <c r="A13" s="4" t="s">
        <v>70</v>
      </c>
      <c r="B13" s="4" t="s">
        <v>55</v>
      </c>
      <c r="C13" s="7">
        <f>SUMIFS(Data!$J$2:$J$2379,Data!$C$2:$C$2379,$A13,Data!$D$2:$D$2379,"Bangles")</f>
        <v>24480</v>
      </c>
      <c r="D13" s="7">
        <f>SUMIFS(Data!$J$2:$J$2379,Data!$C$2:$C$2379,$A13,Data!$D$2:$D$2379,"Wool")</f>
        <v>58680</v>
      </c>
      <c r="E13" s="7">
        <f t="shared" si="0"/>
        <v>83160</v>
      </c>
      <c r="F13" s="7">
        <f>SUMIFS(Data!$L$2:$L$2379,Data!$C$2:$C$2379,$A13)</f>
        <v>14553</v>
      </c>
      <c r="G13" s="5">
        <f>COUNTIFS(Data!$C$2:$C$2379,$A13)</f>
        <v>272</v>
      </c>
      <c r="H13" s="9">
        <f t="shared" si="1"/>
        <v>305.73529411764707</v>
      </c>
      <c r="I13" s="16">
        <f t="shared" si="2"/>
        <v>0.81837237451984424</v>
      </c>
    </row>
    <row r="14" spans="1:9" x14ac:dyDescent="0.3">
      <c r="A14" s="10" t="s">
        <v>23</v>
      </c>
      <c r="B14" s="17"/>
      <c r="C14" s="12">
        <f>SUM(C2:C13)</f>
        <v>897620</v>
      </c>
      <c r="D14" s="12">
        <f>SUM(D2:D13)</f>
        <v>321776</v>
      </c>
      <c r="E14" s="12">
        <f>SUM(E2:E13)</f>
        <v>1219396</v>
      </c>
      <c r="F14" s="12">
        <f>SUM(F2:F13)</f>
        <v>265562</v>
      </c>
      <c r="G14" s="11">
        <f>SUM(G2:G13)</f>
        <v>2378</v>
      </c>
      <c r="H14" s="14">
        <f t="shared" si="1"/>
        <v>512.78216989066448</v>
      </c>
      <c r="I14" s="18">
        <f>AVERAGE(I2:I13)</f>
        <v>1.0000000000000002</v>
      </c>
    </row>
    <row r="16" spans="1:9" x14ac:dyDescent="0.3">
      <c r="A16" s="15" t="s">
        <v>71</v>
      </c>
    </row>
    <row r="17" spans="1:1" x14ac:dyDescent="0.3">
      <c r="A17" s="15" t="s">
        <v>72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2" customWidth="1"/>
    <col min="3" max="3" width="13" customWidth="1"/>
    <col min="4" max="4" width="15" customWidth="1"/>
    <col min="5" max="6" width="13" customWidth="1"/>
    <col min="7" max="8" width="16" customWidth="1"/>
    <col min="9" max="9" width="18" customWidth="1"/>
  </cols>
  <sheetData>
    <row r="1" spans="1:9" ht="26.4" x14ac:dyDescent="0.3">
      <c r="A1" s="3" t="s">
        <v>47</v>
      </c>
      <c r="B1" s="3" t="s">
        <v>73</v>
      </c>
      <c r="C1" s="3" t="s">
        <v>74</v>
      </c>
      <c r="D1" s="3" t="s">
        <v>48</v>
      </c>
      <c r="E1" s="3" t="s">
        <v>49</v>
      </c>
      <c r="F1" s="3" t="s">
        <v>51</v>
      </c>
      <c r="G1" s="3" t="s">
        <v>75</v>
      </c>
      <c r="H1" s="3" t="s">
        <v>76</v>
      </c>
      <c r="I1" s="3" t="s">
        <v>77</v>
      </c>
    </row>
    <row r="2" spans="1:9" x14ac:dyDescent="0.3">
      <c r="A2" s="4" t="s">
        <v>67</v>
      </c>
      <c r="B2" s="19">
        <v>1</v>
      </c>
      <c r="C2" s="7">
        <f>SUMIFS(Data!$J$2:$J$2379,Data!$N$2:$N$2379,$A2)</f>
        <v>319897</v>
      </c>
      <c r="D2" s="7">
        <f>SUMIFS(Data!$J$2:$J$2379,Data!$N$2:$N$2379,$A2,Data!$D$2:$D$2379,"Bangles")</f>
        <v>291225</v>
      </c>
      <c r="E2" s="7">
        <f>SUMIFS(Data!$J$2:$J$2379,Data!$N$2:$N$2379,$A2,Data!$D$2:$D$2379,"Wool")</f>
        <v>28672</v>
      </c>
      <c r="F2" s="7">
        <f>SUMIFS(Data!$L$2:$L$2379,Data!$N$2:$N$2379,$A2)</f>
        <v>73554</v>
      </c>
      <c r="G2" s="7">
        <f t="shared" ref="G2:G7" si="0">C2/B2</f>
        <v>319897</v>
      </c>
      <c r="H2" s="8">
        <f>C2/$C$7</f>
        <v>0.26234053580625161</v>
      </c>
      <c r="I2" s="8">
        <f t="shared" ref="I2:I7" si="1">E2/C2</f>
        <v>8.9628849285863885E-2</v>
      </c>
    </row>
    <row r="3" spans="1:9" x14ac:dyDescent="0.3">
      <c r="A3" s="4" t="s">
        <v>63</v>
      </c>
      <c r="B3" s="19">
        <v>3</v>
      </c>
      <c r="C3" s="7">
        <f>SUMIFS(Data!$J$2:$J$2379,Data!$N$2:$N$2379,$A3)</f>
        <v>321510</v>
      </c>
      <c r="D3" s="7">
        <f>SUMIFS(Data!$J$2:$J$2379,Data!$N$2:$N$2379,$A3,Data!$D$2:$D$2379,"Bangles")</f>
        <v>314490</v>
      </c>
      <c r="E3" s="7">
        <f>SUMIFS(Data!$J$2:$J$2379,Data!$N$2:$N$2379,$A3,Data!$D$2:$D$2379,"Wool")</f>
        <v>7020</v>
      </c>
      <c r="F3" s="7">
        <f>SUMIFS(Data!$L$2:$L$2379,Data!$N$2:$N$2379,$A3)</f>
        <v>77837</v>
      </c>
      <c r="G3" s="7">
        <f t="shared" si="0"/>
        <v>107170</v>
      </c>
      <c r="H3" s="8">
        <f>C3/$C$7</f>
        <v>0.26366332184130503</v>
      </c>
      <c r="I3" s="8">
        <f t="shared" si="1"/>
        <v>2.1834468601287675E-2</v>
      </c>
    </row>
    <row r="4" spans="1:9" x14ac:dyDescent="0.3">
      <c r="A4" s="4" t="s">
        <v>57</v>
      </c>
      <c r="B4" s="19">
        <v>2</v>
      </c>
      <c r="C4" s="7">
        <f>SUMIFS(Data!$J$2:$J$2379,Data!$N$2:$N$2379,$A4)</f>
        <v>164793</v>
      </c>
      <c r="D4" s="7">
        <f>SUMIFS(Data!$J$2:$J$2379,Data!$N$2:$N$2379,$A4,Data!$D$2:$D$2379,"Bangles")</f>
        <v>92535</v>
      </c>
      <c r="E4" s="7">
        <f>SUMIFS(Data!$J$2:$J$2379,Data!$N$2:$N$2379,$A4,Data!$D$2:$D$2379,"Wool")</f>
        <v>72258</v>
      </c>
      <c r="F4" s="7">
        <f>SUMIFS(Data!$L$2:$L$2379,Data!$N$2:$N$2379,$A4)</f>
        <v>32874</v>
      </c>
      <c r="G4" s="7">
        <f t="shared" si="0"/>
        <v>82396.5</v>
      </c>
      <c r="H4" s="8">
        <f>C4/$C$7</f>
        <v>0.13514313643803982</v>
      </c>
      <c r="I4" s="8">
        <f t="shared" si="1"/>
        <v>0.43847736250932989</v>
      </c>
    </row>
    <row r="5" spans="1:9" x14ac:dyDescent="0.3">
      <c r="A5" s="4" t="s">
        <v>60</v>
      </c>
      <c r="B5" s="19">
        <v>2</v>
      </c>
      <c r="C5" s="7">
        <f>SUMIFS(Data!$J$2:$J$2379,Data!$N$2:$N$2379,$A5)</f>
        <v>119830</v>
      </c>
      <c r="D5" s="7">
        <f>SUMIFS(Data!$J$2:$J$2379,Data!$N$2:$N$2379,$A5,Data!$D$2:$D$2379,"Bangles")</f>
        <v>117950</v>
      </c>
      <c r="E5" s="7">
        <f>SUMIFS(Data!$J$2:$J$2379,Data!$N$2:$N$2379,$A5,Data!$D$2:$D$2379,"Wool")</f>
        <v>1880</v>
      </c>
      <c r="F5" s="7">
        <f>SUMIFS(Data!$L$2:$L$2379,Data!$N$2:$N$2379,$A5)</f>
        <v>29444</v>
      </c>
      <c r="G5" s="7">
        <f t="shared" si="0"/>
        <v>59915</v>
      </c>
      <c r="H5" s="8">
        <f>C5/$C$7</f>
        <v>9.8269963162090079E-2</v>
      </c>
      <c r="I5" s="8">
        <f t="shared" si="1"/>
        <v>1.5688892597846948E-2</v>
      </c>
    </row>
    <row r="6" spans="1:9" x14ac:dyDescent="0.3">
      <c r="A6" s="4" t="s">
        <v>55</v>
      </c>
      <c r="B6" s="19">
        <v>4</v>
      </c>
      <c r="C6" s="7">
        <f>SUMIFS(Data!$J$2:$J$2379,Data!$N$2:$N$2379,$A6)</f>
        <v>293366</v>
      </c>
      <c r="D6" s="7">
        <f>SUMIFS(Data!$J$2:$J$2379,Data!$N$2:$N$2379,$A6,Data!$D$2:$D$2379,"Bangles")</f>
        <v>81420</v>
      </c>
      <c r="E6" s="7">
        <f>SUMIFS(Data!$J$2:$J$2379,Data!$N$2:$N$2379,$A6,Data!$D$2:$D$2379,"Wool")</f>
        <v>211946</v>
      </c>
      <c r="F6" s="7">
        <f>SUMIFS(Data!$L$2:$L$2379,Data!$N$2:$N$2379,$A6)</f>
        <v>51853</v>
      </c>
      <c r="G6" s="7">
        <f t="shared" si="0"/>
        <v>73341.5</v>
      </c>
      <c r="H6" s="8">
        <f>C6/$C$7</f>
        <v>0.24058304275231343</v>
      </c>
      <c r="I6" s="8">
        <f t="shared" si="1"/>
        <v>0.72246272574190606</v>
      </c>
    </row>
    <row r="7" spans="1:9" x14ac:dyDescent="0.3">
      <c r="A7" s="10" t="s">
        <v>23</v>
      </c>
      <c r="B7" s="20">
        <f>SUM(B2:B6)</f>
        <v>12</v>
      </c>
      <c r="C7" s="12">
        <f>SUM(C2:C6)</f>
        <v>1219396</v>
      </c>
      <c r="D7" s="12">
        <f>SUM(D2:D6)</f>
        <v>897620</v>
      </c>
      <c r="E7" s="12">
        <f>SUM(E2:E6)</f>
        <v>321776</v>
      </c>
      <c r="F7" s="12">
        <f>SUM(F2:F6)</f>
        <v>265562</v>
      </c>
      <c r="G7" s="12">
        <f t="shared" si="0"/>
        <v>101616.33333333333</v>
      </c>
      <c r="H7" s="13">
        <f>SUM(H2:H6)</f>
        <v>1</v>
      </c>
      <c r="I7" s="13">
        <f t="shared" si="1"/>
        <v>0.26388146262575896</v>
      </c>
    </row>
    <row r="9" spans="1:9" x14ac:dyDescent="0.3">
      <c r="A9" s="15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0" customWidth="1"/>
    <col min="3" max="3" width="9" customWidth="1"/>
    <col min="4" max="4" width="14" customWidth="1"/>
    <col min="5" max="5" width="11" customWidth="1"/>
    <col min="6" max="6" width="16" customWidth="1"/>
    <col min="7" max="8" width="13" customWidth="1"/>
    <col min="9" max="9" width="17" customWidth="1"/>
    <col min="10" max="10" width="20" customWidth="1"/>
    <col min="11" max="11" width="10" customWidth="1"/>
  </cols>
  <sheetData>
    <row r="1" spans="1:11" ht="15.6" x14ac:dyDescent="0.3">
      <c r="A1" s="21" t="s">
        <v>79</v>
      </c>
    </row>
    <row r="2" spans="1:11" x14ac:dyDescent="0.3">
      <c r="A2" s="4" t="s">
        <v>80</v>
      </c>
      <c r="B2" s="22">
        <v>0.8</v>
      </c>
    </row>
    <row r="3" spans="1:11" x14ac:dyDescent="0.3">
      <c r="A3" s="4" t="s">
        <v>81</v>
      </c>
      <c r="B3" s="22">
        <v>0.95</v>
      </c>
    </row>
    <row r="5" spans="1:11" ht="26.4" x14ac:dyDescent="0.3">
      <c r="A5" s="3" t="s">
        <v>82</v>
      </c>
      <c r="B5" s="3" t="s">
        <v>16</v>
      </c>
      <c r="C5" s="3" t="s">
        <v>83</v>
      </c>
      <c r="D5" s="3" t="s">
        <v>18</v>
      </c>
      <c r="E5" s="3" t="s">
        <v>84</v>
      </c>
      <c r="F5" s="3" t="s">
        <v>10</v>
      </c>
      <c r="G5" s="3" t="s">
        <v>11</v>
      </c>
      <c r="H5" s="3" t="s">
        <v>19</v>
      </c>
      <c r="I5" s="3" t="s">
        <v>85</v>
      </c>
      <c r="J5" s="3" t="s">
        <v>86</v>
      </c>
      <c r="K5" s="3" t="s">
        <v>87</v>
      </c>
    </row>
    <row r="6" spans="1:11" x14ac:dyDescent="0.3">
      <c r="A6" s="4" t="s">
        <v>88</v>
      </c>
      <c r="B6" s="4" t="s">
        <v>21</v>
      </c>
      <c r="C6" s="4" t="s">
        <v>89</v>
      </c>
      <c r="D6" s="7">
        <f>SUMIFS(Data!$J$2:$J$2379,Data!$E$2:$E$2379,$A6)</f>
        <v>618150</v>
      </c>
      <c r="E6" s="9">
        <f>SUMIFS(Data!$F$2:$F$2379,Data!$E$2:$E$2379,$A6)</f>
        <v>4755</v>
      </c>
      <c r="F6" s="7">
        <f>SUMIFS(Data!$L$2:$L$2379,Data!$E$2:$E$2379,$A6)</f>
        <v>142650</v>
      </c>
      <c r="G6" s="8">
        <f t="shared" ref="G6:G17" si="0">F6/D6</f>
        <v>0.23076923076923078</v>
      </c>
      <c r="H6" s="8">
        <f t="shared" ref="H6:H16" si="1">D6/$D$17</f>
        <v>0.50693130041430345</v>
      </c>
      <c r="I6" s="8">
        <f t="shared" ref="I6:I16" si="2">F6/$F$17</f>
        <v>0.53716269647012749</v>
      </c>
      <c r="J6" s="8">
        <f>SUM($H$6:H6)</f>
        <v>0.50693130041430345</v>
      </c>
      <c r="K6" s="4" t="str">
        <f t="shared" ref="K6:K16" si="3">IF(J6&lt;=$B$2,"A",IF(J6&lt;=$B$3,"B","C"))</f>
        <v>A</v>
      </c>
    </row>
    <row r="7" spans="1:11" x14ac:dyDescent="0.3">
      <c r="A7" s="4" t="s">
        <v>90</v>
      </c>
      <c r="B7" s="4" t="s">
        <v>22</v>
      </c>
      <c r="C7" s="4" t="s">
        <v>91</v>
      </c>
      <c r="D7" s="7">
        <f>SUMIFS(Data!$J$2:$J$2379,Data!$E$2:$E$2379,$A7)</f>
        <v>140140</v>
      </c>
      <c r="E7" s="9">
        <f>SUMIFS(Data!$F$2:$F$2379,Data!$E$2:$E$2379,$A7)</f>
        <v>500.5</v>
      </c>
      <c r="F7" s="7">
        <f>SUMIFS(Data!$L$2:$L$2379,Data!$E$2:$E$2379,$A7)</f>
        <v>20020</v>
      </c>
      <c r="G7" s="8">
        <f t="shared" si="0"/>
        <v>0.14285714285714285</v>
      </c>
      <c r="H7" s="8">
        <f t="shared" si="1"/>
        <v>0.11492575012547196</v>
      </c>
      <c r="I7" s="8">
        <f t="shared" si="2"/>
        <v>7.5387291856515617E-2</v>
      </c>
      <c r="J7" s="8">
        <f>SUM($H$6:H7)</f>
        <v>0.62185705053977536</v>
      </c>
      <c r="K7" s="4" t="str">
        <f t="shared" si="3"/>
        <v>A</v>
      </c>
    </row>
    <row r="8" spans="1:11" x14ac:dyDescent="0.3">
      <c r="A8" s="4" t="s">
        <v>92</v>
      </c>
      <c r="B8" s="4" t="s">
        <v>22</v>
      </c>
      <c r="C8" s="4" t="s">
        <v>91</v>
      </c>
      <c r="D8" s="7">
        <f>SUMIFS(Data!$J$2:$J$2379,Data!$E$2:$E$2379,$A8)</f>
        <v>107640</v>
      </c>
      <c r="E8" s="9">
        <f>SUMIFS(Data!$F$2:$F$2379,Data!$E$2:$E$2379,$A8)</f>
        <v>414</v>
      </c>
      <c r="F8" s="7">
        <f>SUMIFS(Data!$L$2:$L$2379,Data!$E$2:$E$2379,$A8)</f>
        <v>16560</v>
      </c>
      <c r="G8" s="8">
        <f t="shared" si="0"/>
        <v>0.15384615384615385</v>
      </c>
      <c r="H8" s="8">
        <f t="shared" si="1"/>
        <v>8.8273210671512781E-2</v>
      </c>
      <c r="I8" s="8">
        <f t="shared" si="2"/>
        <v>6.2358319337857071E-2</v>
      </c>
      <c r="J8" s="8">
        <f>SUM($H$6:H8)</f>
        <v>0.71013026121128808</v>
      </c>
      <c r="K8" s="4" t="str">
        <f t="shared" si="3"/>
        <v>A</v>
      </c>
    </row>
    <row r="9" spans="1:11" x14ac:dyDescent="0.3">
      <c r="A9" s="4" t="s">
        <v>93</v>
      </c>
      <c r="B9" s="4" t="s">
        <v>21</v>
      </c>
      <c r="C9" s="4" t="s">
        <v>89</v>
      </c>
      <c r="D9" s="7">
        <f>SUMIFS(Data!$J$2:$J$2379,Data!$E$2:$E$2379,$A9)</f>
        <v>102250</v>
      </c>
      <c r="E9" s="9">
        <f>SUMIFS(Data!$F$2:$F$2379,Data!$E$2:$E$2379,$A9)</f>
        <v>409</v>
      </c>
      <c r="F9" s="7">
        <f>SUMIFS(Data!$L$2:$L$2379,Data!$E$2:$E$2379,$A9)</f>
        <v>28630</v>
      </c>
      <c r="G9" s="8">
        <f t="shared" si="0"/>
        <v>0.28000000000000003</v>
      </c>
      <c r="H9" s="8">
        <f t="shared" si="1"/>
        <v>8.3852989512840787E-2</v>
      </c>
      <c r="I9" s="8">
        <f t="shared" si="2"/>
        <v>0.1078090991934087</v>
      </c>
      <c r="J9" s="8">
        <f>SUM($H$6:H9)</f>
        <v>0.7939832507241289</v>
      </c>
      <c r="K9" s="4" t="str">
        <f t="shared" si="3"/>
        <v>A</v>
      </c>
    </row>
    <row r="10" spans="1:11" x14ac:dyDescent="0.3">
      <c r="A10" s="4" t="s">
        <v>94</v>
      </c>
      <c r="B10" s="4" t="s">
        <v>21</v>
      </c>
      <c r="C10" s="4" t="s">
        <v>89</v>
      </c>
      <c r="D10" s="7">
        <f>SUMIFS(Data!$J$2:$J$2379,Data!$E$2:$E$2379,$A10)</f>
        <v>79500</v>
      </c>
      <c r="E10" s="9">
        <f>SUMIFS(Data!$F$2:$F$2379,Data!$E$2:$E$2379,$A10)</f>
        <v>2650</v>
      </c>
      <c r="F10" s="7">
        <f>SUMIFS(Data!$L$2:$L$2379,Data!$E$2:$E$2379,$A10)</f>
        <v>10600</v>
      </c>
      <c r="G10" s="8">
        <f t="shared" si="0"/>
        <v>0.13333333333333333</v>
      </c>
      <c r="H10" s="8">
        <f t="shared" si="1"/>
        <v>6.5196211895069356E-2</v>
      </c>
      <c r="I10" s="8">
        <f t="shared" si="2"/>
        <v>3.9915349334618655E-2</v>
      </c>
      <c r="J10" s="8">
        <f>SUM($H$6:H10)</f>
        <v>0.8591794626191982</v>
      </c>
      <c r="K10" s="4" t="str">
        <f t="shared" si="3"/>
        <v>B</v>
      </c>
    </row>
    <row r="11" spans="1:11" x14ac:dyDescent="0.3">
      <c r="A11" s="4" t="s">
        <v>95</v>
      </c>
      <c r="B11" s="4" t="s">
        <v>21</v>
      </c>
      <c r="C11" s="4" t="s">
        <v>89</v>
      </c>
      <c r="D11" s="7">
        <f>SUMIFS(Data!$J$2:$J$2379,Data!$E$2:$E$2379,$A11)</f>
        <v>69600</v>
      </c>
      <c r="E11" s="9">
        <f>SUMIFS(Data!$F$2:$F$2379,Data!$E$2:$E$2379,$A11)</f>
        <v>464</v>
      </c>
      <c r="F11" s="7">
        <f>SUMIFS(Data!$L$2:$L$2379,Data!$E$2:$E$2379,$A11)</f>
        <v>23200</v>
      </c>
      <c r="G11" s="8">
        <f t="shared" si="0"/>
        <v>0.33333333333333331</v>
      </c>
      <c r="H11" s="8">
        <f t="shared" si="1"/>
        <v>5.7077438338324876E-2</v>
      </c>
      <c r="I11" s="8">
        <f t="shared" si="2"/>
        <v>8.7361896656901208E-2</v>
      </c>
      <c r="J11" s="8">
        <f>SUM($H$6:H11)</f>
        <v>0.9162569009575231</v>
      </c>
      <c r="K11" s="4" t="str">
        <f t="shared" si="3"/>
        <v>B</v>
      </c>
    </row>
    <row r="12" spans="1:11" x14ac:dyDescent="0.3">
      <c r="A12" s="4" t="s">
        <v>96</v>
      </c>
      <c r="B12" s="4" t="s">
        <v>22</v>
      </c>
      <c r="C12" s="4" t="s">
        <v>97</v>
      </c>
      <c r="D12" s="7">
        <f>SUMIFS(Data!$J$2:$J$2379,Data!$E$2:$E$2379,$A12)</f>
        <v>48600</v>
      </c>
      <c r="E12" s="9">
        <f>SUMIFS(Data!$F$2:$F$2379,Data!$E$2:$E$2379,$A12)</f>
        <v>162</v>
      </c>
      <c r="F12" s="7">
        <f>SUMIFS(Data!$L$2:$L$2379,Data!$E$2:$E$2379,$A12)</f>
        <v>5670</v>
      </c>
      <c r="G12" s="8">
        <f t="shared" si="0"/>
        <v>0.11666666666666667</v>
      </c>
      <c r="H12" s="8">
        <f t="shared" si="1"/>
        <v>3.9855797460382023E-2</v>
      </c>
      <c r="I12" s="8">
        <f t="shared" si="2"/>
        <v>2.1350946295027151E-2</v>
      </c>
      <c r="J12" s="8">
        <f>SUM($H$6:H12)</f>
        <v>0.95611269841790514</v>
      </c>
      <c r="K12" s="4" t="str">
        <f t="shared" si="3"/>
        <v>C</v>
      </c>
    </row>
    <row r="13" spans="1:11" x14ac:dyDescent="0.3">
      <c r="A13" s="4" t="s">
        <v>98</v>
      </c>
      <c r="B13" s="4" t="s">
        <v>21</v>
      </c>
      <c r="C13" s="4" t="s">
        <v>89</v>
      </c>
      <c r="D13" s="7">
        <f>SUMIFS(Data!$J$2:$J$2379,Data!$E$2:$E$2379,$A13)</f>
        <v>28120</v>
      </c>
      <c r="E13" s="9">
        <f>SUMIFS(Data!$F$2:$F$2379,Data!$E$2:$E$2379,$A13)</f>
        <v>296</v>
      </c>
      <c r="F13" s="7">
        <f>SUMIFS(Data!$L$2:$L$2379,Data!$E$2:$E$2379,$A13)</f>
        <v>11840</v>
      </c>
      <c r="G13" s="8">
        <f t="shared" si="0"/>
        <v>0.42105263157894735</v>
      </c>
      <c r="H13" s="8">
        <f t="shared" si="1"/>
        <v>2.3060597213702523E-2</v>
      </c>
      <c r="I13" s="8">
        <f t="shared" si="2"/>
        <v>4.4584692086970273E-2</v>
      </c>
      <c r="J13" s="8">
        <f>SUM($H$6:H13)</f>
        <v>0.97917329563160771</v>
      </c>
      <c r="K13" s="4" t="str">
        <f t="shared" si="3"/>
        <v>C</v>
      </c>
    </row>
    <row r="14" spans="1:11" x14ac:dyDescent="0.3">
      <c r="A14" s="4" t="s">
        <v>99</v>
      </c>
      <c r="B14" s="4" t="s">
        <v>22</v>
      </c>
      <c r="C14" s="4" t="s">
        <v>100</v>
      </c>
      <c r="D14" s="7">
        <f>SUMIFS(Data!$J$2:$J$2379,Data!$E$2:$E$2379,$A14)</f>
        <v>15550</v>
      </c>
      <c r="E14" s="9">
        <f>SUMIFS(Data!$F$2:$F$2379,Data!$E$2:$E$2379,$A14)</f>
        <v>77.75</v>
      </c>
      <c r="F14" s="7">
        <f>SUMIFS(Data!$L$2:$L$2379,Data!$E$2:$E$2379,$A14)</f>
        <v>3110</v>
      </c>
      <c r="G14" s="8">
        <f t="shared" si="0"/>
        <v>0.2</v>
      </c>
      <c r="H14" s="8">
        <f t="shared" si="1"/>
        <v>1.2752215031048158E-2</v>
      </c>
      <c r="I14" s="8">
        <f t="shared" si="2"/>
        <v>1.1711012870817361E-2</v>
      </c>
      <c r="J14" s="8">
        <f>SUM($H$6:H14)</f>
        <v>0.99192551066265588</v>
      </c>
      <c r="K14" s="4" t="str">
        <f t="shared" si="3"/>
        <v>C</v>
      </c>
    </row>
    <row r="15" spans="1:11" x14ac:dyDescent="0.3">
      <c r="A15" s="4" t="s">
        <v>101</v>
      </c>
      <c r="B15" s="4" t="s">
        <v>22</v>
      </c>
      <c r="C15" s="4" t="s">
        <v>102</v>
      </c>
      <c r="D15" s="7">
        <f>SUMIFS(Data!$J$2:$J$2379,Data!$E$2:$E$2379,$A15)</f>
        <v>5376</v>
      </c>
      <c r="E15" s="9">
        <f>SUMIFS(Data!$F$2:$F$2379,Data!$E$2:$E$2379,$A15)</f>
        <v>896</v>
      </c>
      <c r="F15" s="7">
        <f>SUMIFS(Data!$L$2:$L$2379,Data!$E$2:$E$2379,$A15)</f>
        <v>1792</v>
      </c>
      <c r="G15" s="8">
        <f t="shared" si="0"/>
        <v>0.33333333333333331</v>
      </c>
      <c r="H15" s="8">
        <f t="shared" si="1"/>
        <v>4.4087400647533697E-3</v>
      </c>
      <c r="I15" s="8">
        <f t="shared" si="2"/>
        <v>6.7479533969468522E-3</v>
      </c>
      <c r="J15" s="8">
        <f>SUM($H$6:H15)</f>
        <v>0.99633425072740922</v>
      </c>
      <c r="K15" s="4" t="str">
        <f t="shared" si="3"/>
        <v>C</v>
      </c>
    </row>
    <row r="16" spans="1:11" x14ac:dyDescent="0.3">
      <c r="A16" s="4" t="s">
        <v>103</v>
      </c>
      <c r="B16" s="4" t="s">
        <v>22</v>
      </c>
      <c r="C16" s="4" t="s">
        <v>102</v>
      </c>
      <c r="D16" s="7">
        <f>SUMIFS(Data!$J$2:$J$2379,Data!$E$2:$E$2379,$A16)</f>
        <v>4470</v>
      </c>
      <c r="E16" s="9">
        <f>SUMIFS(Data!$F$2:$F$2379,Data!$E$2:$E$2379,$A16)</f>
        <v>149</v>
      </c>
      <c r="F16" s="7">
        <f>SUMIFS(Data!$L$2:$L$2379,Data!$E$2:$E$2379,$A16)</f>
        <v>1490</v>
      </c>
      <c r="G16" s="8">
        <f t="shared" si="0"/>
        <v>0.33333333333333331</v>
      </c>
      <c r="H16" s="8">
        <f t="shared" si="1"/>
        <v>3.6657492725906925E-3</v>
      </c>
      <c r="I16" s="8">
        <f t="shared" si="2"/>
        <v>5.610742500809604E-3</v>
      </c>
      <c r="J16" s="8">
        <f>SUM($H$6:H16)</f>
        <v>0.99999999999999989</v>
      </c>
      <c r="K16" s="4" t="str">
        <f t="shared" si="3"/>
        <v>C</v>
      </c>
    </row>
    <row r="17" spans="1:11" x14ac:dyDescent="0.3">
      <c r="A17" s="10" t="s">
        <v>23</v>
      </c>
      <c r="B17" s="17"/>
      <c r="C17" s="17"/>
      <c r="D17" s="12">
        <f>SUM(D6:D16)</f>
        <v>1219396</v>
      </c>
      <c r="E17" s="17"/>
      <c r="F17" s="12">
        <f>SUM(F6:F16)</f>
        <v>265562</v>
      </c>
      <c r="G17" s="13">
        <f t="shared" si="0"/>
        <v>0.21778159022991711</v>
      </c>
      <c r="H17" s="13">
        <f>SUM(H6:H16)</f>
        <v>0.99999999999999989</v>
      </c>
      <c r="I17" s="13">
        <f>SUM(I6:I16)</f>
        <v>1</v>
      </c>
      <c r="J17" s="17"/>
      <c r="K17" s="17"/>
    </row>
    <row r="19" spans="1:11" x14ac:dyDescent="0.3">
      <c r="A19" s="15" t="s">
        <v>104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6" customWidth="1"/>
    <col min="2" max="2" width="6" customWidth="1"/>
    <col min="3" max="14" width="8" customWidth="1"/>
    <col min="15" max="15" width="14" customWidth="1"/>
    <col min="16" max="16" width="10" customWidth="1"/>
    <col min="17" max="17" width="8" customWidth="1"/>
    <col min="18" max="18" width="6" customWidth="1"/>
    <col min="19" max="19" width="8" customWidth="1"/>
    <col min="20" max="20" width="58" customWidth="1"/>
  </cols>
  <sheetData>
    <row r="1" spans="1:20" ht="15.6" x14ac:dyDescent="0.3">
      <c r="A1" s="21" t="s">
        <v>105</v>
      </c>
    </row>
    <row r="2" spans="1:20" x14ac:dyDescent="0.3">
      <c r="A2" s="4" t="s">
        <v>106</v>
      </c>
      <c r="B2" s="23">
        <v>0.5</v>
      </c>
    </row>
    <row r="3" spans="1:20" x14ac:dyDescent="0.3">
      <c r="A3" s="4" t="s">
        <v>107</v>
      </c>
      <c r="B3" s="23">
        <v>1</v>
      </c>
    </row>
    <row r="5" spans="1:20" ht="26.4" x14ac:dyDescent="0.3">
      <c r="A5" s="3" t="s">
        <v>82</v>
      </c>
      <c r="B5" s="3" t="s">
        <v>108</v>
      </c>
      <c r="C5" s="3" t="s">
        <v>109</v>
      </c>
      <c r="D5" s="3" t="s">
        <v>110</v>
      </c>
      <c r="E5" s="3" t="s">
        <v>111</v>
      </c>
      <c r="F5" s="3" t="s">
        <v>59</v>
      </c>
      <c r="G5" s="3" t="s">
        <v>112</v>
      </c>
      <c r="H5" s="3" t="s">
        <v>113</v>
      </c>
      <c r="I5" s="3" t="s">
        <v>114</v>
      </c>
      <c r="J5" s="3" t="s">
        <v>115</v>
      </c>
      <c r="K5" s="3" t="s">
        <v>116</v>
      </c>
      <c r="L5" s="3" t="s">
        <v>117</v>
      </c>
      <c r="M5" s="3" t="s">
        <v>118</v>
      </c>
      <c r="N5" s="3" t="s">
        <v>119</v>
      </c>
      <c r="O5" s="3" t="s">
        <v>120</v>
      </c>
      <c r="P5" s="3" t="s">
        <v>121</v>
      </c>
      <c r="Q5" s="3" t="s">
        <v>122</v>
      </c>
      <c r="R5" s="3" t="s">
        <v>123</v>
      </c>
      <c r="S5" s="3" t="s">
        <v>124</v>
      </c>
      <c r="T5" s="3" t="s">
        <v>125</v>
      </c>
    </row>
    <row r="6" spans="1:20" x14ac:dyDescent="0.3">
      <c r="A6" s="4" t="s">
        <v>88</v>
      </c>
      <c r="B6" s="4" t="str">
        <f>INDEX(Products!$K$6:$K$16,MATCH($A6,Products!$A$6:$A$16,0))</f>
        <v>A</v>
      </c>
      <c r="C6" s="24">
        <f>SUMIFS(Data!$F$2:$F$2379,Data!$E$2:$E$2379,$A6,Data!$C$2:$C$2379,"February")</f>
        <v>131</v>
      </c>
      <c r="D6" s="24">
        <f>SUMIFS(Data!$F$2:$F$2379,Data!$E$2:$E$2379,$A6,Data!$C$2:$C$2379,"March")</f>
        <v>201</v>
      </c>
      <c r="E6" s="24">
        <f>SUMIFS(Data!$F$2:$F$2379,Data!$E$2:$E$2379,$A6,Data!$C$2:$C$2379,"April")</f>
        <v>352</v>
      </c>
      <c r="F6" s="24">
        <f>SUMIFS(Data!$F$2:$F$2379,Data!$E$2:$E$2379,$A6,Data!$C$2:$C$2379,"May")</f>
        <v>311</v>
      </c>
      <c r="G6" s="24">
        <f>SUMIFS(Data!$F$2:$F$2379,Data!$E$2:$E$2379,$A6,Data!$C$2:$C$2379,"June")</f>
        <v>362</v>
      </c>
      <c r="H6" s="24">
        <f>SUMIFS(Data!$F$2:$F$2379,Data!$E$2:$E$2379,$A6,Data!$C$2:$C$2379,"July")</f>
        <v>1023</v>
      </c>
      <c r="I6" s="24">
        <f>SUMIFS(Data!$F$2:$F$2379,Data!$E$2:$E$2379,$A6,Data!$C$2:$C$2379,"August")</f>
        <v>363</v>
      </c>
      <c r="J6" s="24">
        <f>SUMIFS(Data!$F$2:$F$2379,Data!$E$2:$E$2379,$A6,Data!$C$2:$C$2379,"September")</f>
        <v>78</v>
      </c>
      <c r="K6" s="24">
        <f>SUMIFS(Data!$F$2:$F$2379,Data!$E$2:$E$2379,$A6,Data!$C$2:$C$2379,"October")</f>
        <v>1568</v>
      </c>
      <c r="L6" s="24">
        <f>SUMIFS(Data!$F$2:$F$2379,Data!$E$2:$E$2379,$A6,Data!$C$2:$C$2379,"November")</f>
        <v>80</v>
      </c>
      <c r="M6" s="24">
        <f>SUMIFS(Data!$F$2:$F$2379,Data!$E$2:$E$2379,$A6,Data!$C$2:$C$2379,"December")</f>
        <v>112</v>
      </c>
      <c r="N6" s="24">
        <f>SUMIFS(Data!$F$2:$F$2379,Data!$E$2:$E$2379,$A6,Data!$C$2:$C$2379,"January")</f>
        <v>174</v>
      </c>
      <c r="O6" s="24">
        <f t="shared" ref="O6:O16" si="0">AVERAGE(C6:N6)</f>
        <v>396.25</v>
      </c>
      <c r="P6" s="24">
        <f t="shared" ref="P6:P16" si="1">STDEVP(C6:N6)</f>
        <v>429.8534876365822</v>
      </c>
      <c r="Q6" s="16">
        <f t="shared" ref="Q6:Q16" si="2">P6/O6</f>
        <v>1.0848037542879045</v>
      </c>
      <c r="R6" s="4" t="str">
        <f t="shared" ref="R6:R16" si="3">IF(Q6&lt;=$B$2,"X",IF(Q6&lt;=$B$3,"Y","Z"))</f>
        <v>Z</v>
      </c>
      <c r="S6" s="4" t="str">
        <f t="shared" ref="S6:S16" si="4">B6&amp;R6</f>
        <v>AZ</v>
      </c>
      <c r="T6" s="4" t="str">
        <f t="shared" ref="T6:T16" si="5">IF(B6="A",IF(R6="X","Keep in stock all year",IF(R6="Y","Keep a seasonal buffer; review monthly","Stock ahead of its peak months; pre-book with wholesalers")),IF(B6="B","Order in smaller lots ahead of season; reorder as it sells","Order on demand; do not hold surplus"))</f>
        <v>Stock ahead of its peak months; pre-book with wholesalers</v>
      </c>
    </row>
    <row r="7" spans="1:20" x14ac:dyDescent="0.3">
      <c r="A7" s="4" t="s">
        <v>90</v>
      </c>
      <c r="B7" s="4" t="str">
        <f>INDEX(Products!$K$6:$K$16,MATCH($A7,Products!$A$6:$A$16,0))</f>
        <v>A</v>
      </c>
      <c r="C7" s="24">
        <f>SUMIFS(Data!$F$2:$F$2379,Data!$E$2:$E$2379,$A7,Data!$C$2:$C$2379,"February")</f>
        <v>117.5</v>
      </c>
      <c r="D7" s="24">
        <f>SUMIFS(Data!$F$2:$F$2379,Data!$E$2:$E$2379,$A7,Data!$C$2:$C$2379,"March")</f>
        <v>118.5</v>
      </c>
      <c r="E7" s="24">
        <f>SUMIFS(Data!$F$2:$F$2379,Data!$E$2:$E$2379,$A7,Data!$C$2:$C$2379,"April")</f>
        <v>26.5</v>
      </c>
      <c r="F7" s="24">
        <f>SUMIFS(Data!$F$2:$F$2379,Data!$E$2:$E$2379,$A7,Data!$C$2:$C$2379,"May")</f>
        <v>1</v>
      </c>
      <c r="G7" s="24">
        <f>SUMIFS(Data!$F$2:$F$2379,Data!$E$2:$E$2379,$A7,Data!$C$2:$C$2379,"June")</f>
        <v>0</v>
      </c>
      <c r="H7" s="24">
        <f>SUMIFS(Data!$F$2:$F$2379,Data!$E$2:$E$2379,$A7,Data!$C$2:$C$2379,"July")</f>
        <v>2</v>
      </c>
      <c r="I7" s="24">
        <f>SUMIFS(Data!$F$2:$F$2379,Data!$E$2:$E$2379,$A7,Data!$C$2:$C$2379,"August")</f>
        <v>0</v>
      </c>
      <c r="J7" s="24">
        <f>SUMIFS(Data!$F$2:$F$2379,Data!$E$2:$E$2379,$A7,Data!$C$2:$C$2379,"September")</f>
        <v>7</v>
      </c>
      <c r="K7" s="24">
        <f>SUMIFS(Data!$F$2:$F$2379,Data!$E$2:$E$2379,$A7,Data!$C$2:$C$2379,"October")</f>
        <v>47.5</v>
      </c>
      <c r="L7" s="24">
        <f>SUMIFS(Data!$F$2:$F$2379,Data!$E$2:$E$2379,$A7,Data!$C$2:$C$2379,"November")</f>
        <v>38.75</v>
      </c>
      <c r="M7" s="24">
        <f>SUMIFS(Data!$F$2:$F$2379,Data!$E$2:$E$2379,$A7,Data!$C$2:$C$2379,"December")</f>
        <v>72.75</v>
      </c>
      <c r="N7" s="24">
        <f>SUMIFS(Data!$F$2:$F$2379,Data!$E$2:$E$2379,$A7,Data!$C$2:$C$2379,"January")</f>
        <v>69</v>
      </c>
      <c r="O7" s="24">
        <f t="shared" si="0"/>
        <v>41.708333333333336</v>
      </c>
      <c r="P7" s="24">
        <f t="shared" si="1"/>
        <v>42.368526218041723</v>
      </c>
      <c r="Q7" s="16">
        <f t="shared" si="2"/>
        <v>1.0158288004325686</v>
      </c>
      <c r="R7" s="4" t="str">
        <f t="shared" si="3"/>
        <v>Z</v>
      </c>
      <c r="S7" s="4" t="str">
        <f t="shared" si="4"/>
        <v>AZ</v>
      </c>
      <c r="T7" s="4" t="str">
        <f t="shared" si="5"/>
        <v>Stock ahead of its peak months; pre-book with wholesalers</v>
      </c>
    </row>
    <row r="8" spans="1:20" x14ac:dyDescent="0.3">
      <c r="A8" s="4" t="s">
        <v>92</v>
      </c>
      <c r="B8" s="4" t="str">
        <f>INDEX(Products!$K$6:$K$16,MATCH($A8,Products!$A$6:$A$16,0))</f>
        <v>A</v>
      </c>
      <c r="C8" s="24">
        <f>SUMIFS(Data!$F$2:$F$2379,Data!$E$2:$E$2379,$A8,Data!$C$2:$C$2379,"February")</f>
        <v>75</v>
      </c>
      <c r="D8" s="24">
        <f>SUMIFS(Data!$F$2:$F$2379,Data!$E$2:$E$2379,$A8,Data!$C$2:$C$2379,"March")</f>
        <v>61.5</v>
      </c>
      <c r="E8" s="24">
        <f>SUMIFS(Data!$F$2:$F$2379,Data!$E$2:$E$2379,$A8,Data!$C$2:$C$2379,"April")</f>
        <v>15.5</v>
      </c>
      <c r="F8" s="24">
        <f>SUMIFS(Data!$F$2:$F$2379,Data!$E$2:$E$2379,$A8,Data!$C$2:$C$2379,"May")</f>
        <v>0</v>
      </c>
      <c r="G8" s="24">
        <f>SUMIFS(Data!$F$2:$F$2379,Data!$E$2:$E$2379,$A8,Data!$C$2:$C$2379,"June")</f>
        <v>0</v>
      </c>
      <c r="H8" s="24">
        <f>SUMIFS(Data!$F$2:$F$2379,Data!$E$2:$E$2379,$A8,Data!$C$2:$C$2379,"July")</f>
        <v>2.5</v>
      </c>
      <c r="I8" s="24">
        <f>SUMIFS(Data!$F$2:$F$2379,Data!$E$2:$E$2379,$A8,Data!$C$2:$C$2379,"August")</f>
        <v>0</v>
      </c>
      <c r="J8" s="24">
        <f>SUMIFS(Data!$F$2:$F$2379,Data!$E$2:$E$2379,$A8,Data!$C$2:$C$2379,"September")</f>
        <v>7.5</v>
      </c>
      <c r="K8" s="24">
        <f>SUMIFS(Data!$F$2:$F$2379,Data!$E$2:$E$2379,$A8,Data!$C$2:$C$2379,"October")</f>
        <v>27</v>
      </c>
      <c r="L8" s="24">
        <f>SUMIFS(Data!$F$2:$F$2379,Data!$E$2:$E$2379,$A8,Data!$C$2:$C$2379,"November")</f>
        <v>57</v>
      </c>
      <c r="M8" s="24">
        <f>SUMIFS(Data!$F$2:$F$2379,Data!$E$2:$E$2379,$A8,Data!$C$2:$C$2379,"December")</f>
        <v>72.5</v>
      </c>
      <c r="N8" s="24">
        <f>SUMIFS(Data!$F$2:$F$2379,Data!$E$2:$E$2379,$A8,Data!$C$2:$C$2379,"January")</f>
        <v>95.5</v>
      </c>
      <c r="O8" s="24">
        <f t="shared" si="0"/>
        <v>34.5</v>
      </c>
      <c r="P8" s="24">
        <f t="shared" si="1"/>
        <v>33.888911657551546</v>
      </c>
      <c r="Q8" s="16">
        <f t="shared" si="2"/>
        <v>0.98228729442178397</v>
      </c>
      <c r="R8" s="4" t="str">
        <f t="shared" si="3"/>
        <v>Y</v>
      </c>
      <c r="S8" s="4" t="str">
        <f t="shared" si="4"/>
        <v>AY</v>
      </c>
      <c r="T8" s="4" t="str">
        <f t="shared" si="5"/>
        <v>Keep a seasonal buffer; review monthly</v>
      </c>
    </row>
    <row r="9" spans="1:20" x14ac:dyDescent="0.3">
      <c r="A9" s="4" t="s">
        <v>93</v>
      </c>
      <c r="B9" s="4" t="str">
        <f>INDEX(Products!$K$6:$K$16,MATCH($A9,Products!$A$6:$A$16,0))</f>
        <v>A</v>
      </c>
      <c r="C9" s="24">
        <f>SUMIFS(Data!$F$2:$F$2379,Data!$E$2:$E$2379,$A9,Data!$C$2:$C$2379,"February")</f>
        <v>0</v>
      </c>
      <c r="D9" s="24">
        <f>SUMIFS(Data!$F$2:$F$2379,Data!$E$2:$E$2379,$A9,Data!$C$2:$C$2379,"March")</f>
        <v>0</v>
      </c>
      <c r="E9" s="24">
        <f>SUMIFS(Data!$F$2:$F$2379,Data!$E$2:$E$2379,$A9,Data!$C$2:$C$2379,"April")</f>
        <v>4</v>
      </c>
      <c r="F9" s="24">
        <f>SUMIFS(Data!$F$2:$F$2379,Data!$E$2:$E$2379,$A9,Data!$C$2:$C$2379,"May")</f>
        <v>27</v>
      </c>
      <c r="G9" s="24">
        <f>SUMIFS(Data!$F$2:$F$2379,Data!$E$2:$E$2379,$A9,Data!$C$2:$C$2379,"June")</f>
        <v>15</v>
      </c>
      <c r="H9" s="24">
        <f>SUMIFS(Data!$F$2:$F$2379,Data!$E$2:$E$2379,$A9,Data!$C$2:$C$2379,"July")</f>
        <v>111</v>
      </c>
      <c r="I9" s="24">
        <f>SUMIFS(Data!$F$2:$F$2379,Data!$E$2:$E$2379,$A9,Data!$C$2:$C$2379,"August")</f>
        <v>61</v>
      </c>
      <c r="J9" s="24">
        <f>SUMIFS(Data!$F$2:$F$2379,Data!$E$2:$E$2379,$A9,Data!$C$2:$C$2379,"September")</f>
        <v>19</v>
      </c>
      <c r="K9" s="24">
        <f>SUMIFS(Data!$F$2:$F$2379,Data!$E$2:$E$2379,$A9,Data!$C$2:$C$2379,"October")</f>
        <v>172</v>
      </c>
      <c r="L9" s="24">
        <f>SUMIFS(Data!$F$2:$F$2379,Data!$E$2:$E$2379,$A9,Data!$C$2:$C$2379,"November")</f>
        <v>0</v>
      </c>
      <c r="M9" s="24">
        <f>SUMIFS(Data!$F$2:$F$2379,Data!$E$2:$E$2379,$A9,Data!$C$2:$C$2379,"December")</f>
        <v>0</v>
      </c>
      <c r="N9" s="24">
        <f>SUMIFS(Data!$F$2:$F$2379,Data!$E$2:$E$2379,$A9,Data!$C$2:$C$2379,"January")</f>
        <v>0</v>
      </c>
      <c r="O9" s="24">
        <f t="shared" si="0"/>
        <v>34.083333333333336</v>
      </c>
      <c r="P9" s="24">
        <f t="shared" si="1"/>
        <v>52.453881860375425</v>
      </c>
      <c r="Q9" s="16">
        <f t="shared" si="2"/>
        <v>1.5389891988374207</v>
      </c>
      <c r="R9" s="4" t="str">
        <f t="shared" si="3"/>
        <v>Z</v>
      </c>
      <c r="S9" s="4" t="str">
        <f t="shared" si="4"/>
        <v>AZ</v>
      </c>
      <c r="T9" s="4" t="str">
        <f t="shared" si="5"/>
        <v>Stock ahead of its peak months; pre-book with wholesalers</v>
      </c>
    </row>
    <row r="10" spans="1:20" x14ac:dyDescent="0.3">
      <c r="A10" s="4" t="s">
        <v>94</v>
      </c>
      <c r="B10" s="4" t="str">
        <f>INDEX(Products!$K$6:$K$16,MATCH($A10,Products!$A$6:$A$16,0))</f>
        <v>B</v>
      </c>
      <c r="C10" s="24">
        <f>SUMIFS(Data!$F$2:$F$2379,Data!$E$2:$E$2379,$A10,Data!$C$2:$C$2379,"February")</f>
        <v>2</v>
      </c>
      <c r="D10" s="24">
        <f>SUMIFS(Data!$F$2:$F$2379,Data!$E$2:$E$2379,$A10,Data!$C$2:$C$2379,"March")</f>
        <v>82</v>
      </c>
      <c r="E10" s="24">
        <f>SUMIFS(Data!$F$2:$F$2379,Data!$E$2:$E$2379,$A10,Data!$C$2:$C$2379,"April")</f>
        <v>170</v>
      </c>
      <c r="F10" s="24">
        <f>SUMIFS(Data!$F$2:$F$2379,Data!$E$2:$E$2379,$A10,Data!$C$2:$C$2379,"May")</f>
        <v>103</v>
      </c>
      <c r="G10" s="24">
        <f>SUMIFS(Data!$F$2:$F$2379,Data!$E$2:$E$2379,$A10,Data!$C$2:$C$2379,"June")</f>
        <v>58</v>
      </c>
      <c r="H10" s="24">
        <f>SUMIFS(Data!$F$2:$F$2379,Data!$E$2:$E$2379,$A10,Data!$C$2:$C$2379,"July")</f>
        <v>605</v>
      </c>
      <c r="I10" s="24">
        <f>SUMIFS(Data!$F$2:$F$2379,Data!$E$2:$E$2379,$A10,Data!$C$2:$C$2379,"August")</f>
        <v>382</v>
      </c>
      <c r="J10" s="24">
        <f>SUMIFS(Data!$F$2:$F$2379,Data!$E$2:$E$2379,$A10,Data!$C$2:$C$2379,"September")</f>
        <v>106</v>
      </c>
      <c r="K10" s="24">
        <f>SUMIFS(Data!$F$2:$F$2379,Data!$E$2:$E$2379,$A10,Data!$C$2:$C$2379,"October")</f>
        <v>995</v>
      </c>
      <c r="L10" s="24">
        <f>SUMIFS(Data!$F$2:$F$2379,Data!$E$2:$E$2379,$A10,Data!$C$2:$C$2379,"November")</f>
        <v>66</v>
      </c>
      <c r="M10" s="24">
        <f>SUMIFS(Data!$F$2:$F$2379,Data!$E$2:$E$2379,$A10,Data!$C$2:$C$2379,"December")</f>
        <v>44</v>
      </c>
      <c r="N10" s="24">
        <f>SUMIFS(Data!$F$2:$F$2379,Data!$E$2:$E$2379,$A10,Data!$C$2:$C$2379,"January")</f>
        <v>37</v>
      </c>
      <c r="O10" s="24">
        <f t="shared" si="0"/>
        <v>220.83333333333334</v>
      </c>
      <c r="P10" s="24">
        <f t="shared" si="1"/>
        <v>286.54023374659897</v>
      </c>
      <c r="Q10" s="16">
        <f t="shared" si="2"/>
        <v>1.2975406811166745</v>
      </c>
      <c r="R10" s="4" t="str">
        <f t="shared" si="3"/>
        <v>Z</v>
      </c>
      <c r="S10" s="4" t="str">
        <f t="shared" si="4"/>
        <v>BZ</v>
      </c>
      <c r="T10" s="4" t="str">
        <f t="shared" si="5"/>
        <v>Order in smaller lots ahead of season; reorder as it sells</v>
      </c>
    </row>
    <row r="11" spans="1:20" x14ac:dyDescent="0.3">
      <c r="A11" s="4" t="s">
        <v>95</v>
      </c>
      <c r="B11" s="4" t="str">
        <f>INDEX(Products!$K$6:$K$16,MATCH($A11,Products!$A$6:$A$16,0))</f>
        <v>B</v>
      </c>
      <c r="C11" s="24">
        <f>SUMIFS(Data!$F$2:$F$2379,Data!$E$2:$E$2379,$A11,Data!$C$2:$C$2379,"February")</f>
        <v>39</v>
      </c>
      <c r="D11" s="24">
        <f>SUMIFS(Data!$F$2:$F$2379,Data!$E$2:$E$2379,$A11,Data!$C$2:$C$2379,"March")</f>
        <v>31</v>
      </c>
      <c r="E11" s="24">
        <f>SUMIFS(Data!$F$2:$F$2379,Data!$E$2:$E$2379,$A11,Data!$C$2:$C$2379,"April")</f>
        <v>35</v>
      </c>
      <c r="F11" s="24">
        <f>SUMIFS(Data!$F$2:$F$2379,Data!$E$2:$E$2379,$A11,Data!$C$2:$C$2379,"May")</f>
        <v>31</v>
      </c>
      <c r="G11" s="24">
        <f>SUMIFS(Data!$F$2:$F$2379,Data!$E$2:$E$2379,$A11,Data!$C$2:$C$2379,"June")</f>
        <v>42</v>
      </c>
      <c r="H11" s="24">
        <f>SUMIFS(Data!$F$2:$F$2379,Data!$E$2:$E$2379,$A11,Data!$C$2:$C$2379,"July")</f>
        <v>159</v>
      </c>
      <c r="I11" s="24">
        <f>SUMIFS(Data!$F$2:$F$2379,Data!$E$2:$E$2379,$A11,Data!$C$2:$C$2379,"August")</f>
        <v>85</v>
      </c>
      <c r="J11" s="24">
        <f>SUMIFS(Data!$F$2:$F$2379,Data!$E$2:$E$2379,$A11,Data!$C$2:$C$2379,"September")</f>
        <v>0</v>
      </c>
      <c r="K11" s="24">
        <f>SUMIFS(Data!$F$2:$F$2379,Data!$E$2:$E$2379,$A11,Data!$C$2:$C$2379,"October")</f>
        <v>0</v>
      </c>
      <c r="L11" s="24">
        <f>SUMIFS(Data!$F$2:$F$2379,Data!$E$2:$E$2379,$A11,Data!$C$2:$C$2379,"November")</f>
        <v>32</v>
      </c>
      <c r="M11" s="24">
        <f>SUMIFS(Data!$F$2:$F$2379,Data!$E$2:$E$2379,$A11,Data!$C$2:$C$2379,"December")</f>
        <v>5</v>
      </c>
      <c r="N11" s="24">
        <f>SUMIFS(Data!$F$2:$F$2379,Data!$E$2:$E$2379,$A11,Data!$C$2:$C$2379,"January")</f>
        <v>5</v>
      </c>
      <c r="O11" s="24">
        <f t="shared" si="0"/>
        <v>38.666666666666664</v>
      </c>
      <c r="P11" s="24">
        <f t="shared" si="1"/>
        <v>42.886154201819288</v>
      </c>
      <c r="Q11" s="16">
        <f t="shared" si="2"/>
        <v>1.1091246776332575</v>
      </c>
      <c r="R11" s="4" t="str">
        <f t="shared" si="3"/>
        <v>Z</v>
      </c>
      <c r="S11" s="4" t="str">
        <f t="shared" si="4"/>
        <v>BZ</v>
      </c>
      <c r="T11" s="4" t="str">
        <f t="shared" si="5"/>
        <v>Order in smaller lots ahead of season; reorder as it sells</v>
      </c>
    </row>
    <row r="12" spans="1:20" x14ac:dyDescent="0.3">
      <c r="A12" s="4" t="s">
        <v>96</v>
      </c>
      <c r="B12" s="4" t="str">
        <f>INDEX(Products!$K$6:$K$16,MATCH($A12,Products!$A$6:$A$16,0))</f>
        <v>C</v>
      </c>
      <c r="C12" s="24">
        <f>SUMIFS(Data!$F$2:$F$2379,Data!$E$2:$E$2379,$A12,Data!$C$2:$C$2379,"February")</f>
        <v>14</v>
      </c>
      <c r="D12" s="24">
        <f>SUMIFS(Data!$F$2:$F$2379,Data!$E$2:$E$2379,$A12,Data!$C$2:$C$2379,"March")</f>
        <v>18</v>
      </c>
      <c r="E12" s="24">
        <f>SUMIFS(Data!$F$2:$F$2379,Data!$E$2:$E$2379,$A12,Data!$C$2:$C$2379,"April")</f>
        <v>8</v>
      </c>
      <c r="F12" s="24">
        <f>SUMIFS(Data!$F$2:$F$2379,Data!$E$2:$E$2379,$A12,Data!$C$2:$C$2379,"May")</f>
        <v>2</v>
      </c>
      <c r="G12" s="24">
        <f>SUMIFS(Data!$F$2:$F$2379,Data!$E$2:$E$2379,$A12,Data!$C$2:$C$2379,"June")</f>
        <v>2</v>
      </c>
      <c r="H12" s="24">
        <f>SUMIFS(Data!$F$2:$F$2379,Data!$E$2:$E$2379,$A12,Data!$C$2:$C$2379,"July")</f>
        <v>1</v>
      </c>
      <c r="I12" s="24">
        <f>SUMIFS(Data!$F$2:$F$2379,Data!$E$2:$E$2379,$A12,Data!$C$2:$C$2379,"August")</f>
        <v>1</v>
      </c>
      <c r="J12" s="24">
        <f>SUMIFS(Data!$F$2:$F$2379,Data!$E$2:$E$2379,$A12,Data!$C$2:$C$2379,"September")</f>
        <v>3</v>
      </c>
      <c r="K12" s="24">
        <f>SUMIFS(Data!$F$2:$F$2379,Data!$E$2:$E$2379,$A12,Data!$C$2:$C$2379,"October")</f>
        <v>14</v>
      </c>
      <c r="L12" s="24">
        <f>SUMIFS(Data!$F$2:$F$2379,Data!$E$2:$E$2379,$A12,Data!$C$2:$C$2379,"November")</f>
        <v>24.5</v>
      </c>
      <c r="M12" s="24">
        <f>SUMIFS(Data!$F$2:$F$2379,Data!$E$2:$E$2379,$A12,Data!$C$2:$C$2379,"December")</f>
        <v>39.5</v>
      </c>
      <c r="N12" s="24">
        <f>SUMIFS(Data!$F$2:$F$2379,Data!$E$2:$E$2379,$A12,Data!$C$2:$C$2379,"January")</f>
        <v>35</v>
      </c>
      <c r="O12" s="24">
        <f t="shared" si="0"/>
        <v>13.5</v>
      </c>
      <c r="P12" s="24">
        <f t="shared" si="1"/>
        <v>12.901873249002772</v>
      </c>
      <c r="Q12" s="16">
        <f t="shared" si="2"/>
        <v>0.95569431474094613</v>
      </c>
      <c r="R12" s="4" t="str">
        <f t="shared" si="3"/>
        <v>Y</v>
      </c>
      <c r="S12" s="4" t="str">
        <f t="shared" si="4"/>
        <v>CY</v>
      </c>
      <c r="T12" s="4" t="str">
        <f t="shared" si="5"/>
        <v>Order on demand; do not hold surplus</v>
      </c>
    </row>
    <row r="13" spans="1:20" x14ac:dyDescent="0.3">
      <c r="A13" s="4" t="s">
        <v>98</v>
      </c>
      <c r="B13" s="4" t="str">
        <f>INDEX(Products!$K$6:$K$16,MATCH($A13,Products!$A$6:$A$16,0))</f>
        <v>C</v>
      </c>
      <c r="C13" s="24">
        <f>SUMIFS(Data!$F$2:$F$2379,Data!$E$2:$E$2379,$A13,Data!$C$2:$C$2379,"February")</f>
        <v>0</v>
      </c>
      <c r="D13" s="24">
        <f>SUMIFS(Data!$F$2:$F$2379,Data!$E$2:$E$2379,$A13,Data!$C$2:$C$2379,"March")</f>
        <v>0</v>
      </c>
      <c r="E13" s="24">
        <f>SUMIFS(Data!$F$2:$F$2379,Data!$E$2:$E$2379,$A13,Data!$C$2:$C$2379,"April")</f>
        <v>23</v>
      </c>
      <c r="F13" s="24">
        <f>SUMIFS(Data!$F$2:$F$2379,Data!$E$2:$E$2379,$A13,Data!$C$2:$C$2379,"May")</f>
        <v>17</v>
      </c>
      <c r="G13" s="24">
        <f>SUMIFS(Data!$F$2:$F$2379,Data!$E$2:$E$2379,$A13,Data!$C$2:$C$2379,"June")</f>
        <v>27</v>
      </c>
      <c r="H13" s="24">
        <f>SUMIFS(Data!$F$2:$F$2379,Data!$E$2:$E$2379,$A13,Data!$C$2:$C$2379,"July")</f>
        <v>56</v>
      </c>
      <c r="I13" s="24">
        <f>SUMIFS(Data!$F$2:$F$2379,Data!$E$2:$E$2379,$A13,Data!$C$2:$C$2379,"August")</f>
        <v>0</v>
      </c>
      <c r="J13" s="24">
        <f>SUMIFS(Data!$F$2:$F$2379,Data!$E$2:$E$2379,$A13,Data!$C$2:$C$2379,"September")</f>
        <v>18</v>
      </c>
      <c r="K13" s="24">
        <f>SUMIFS(Data!$F$2:$F$2379,Data!$E$2:$E$2379,$A13,Data!$C$2:$C$2379,"October")</f>
        <v>153</v>
      </c>
      <c r="L13" s="24">
        <f>SUMIFS(Data!$F$2:$F$2379,Data!$E$2:$E$2379,$A13,Data!$C$2:$C$2379,"November")</f>
        <v>2</v>
      </c>
      <c r="M13" s="24">
        <f>SUMIFS(Data!$F$2:$F$2379,Data!$E$2:$E$2379,$A13,Data!$C$2:$C$2379,"December")</f>
        <v>0</v>
      </c>
      <c r="N13" s="24">
        <f>SUMIFS(Data!$F$2:$F$2379,Data!$E$2:$E$2379,$A13,Data!$C$2:$C$2379,"January")</f>
        <v>0</v>
      </c>
      <c r="O13" s="24">
        <f t="shared" si="0"/>
        <v>24.666666666666668</v>
      </c>
      <c r="P13" s="24">
        <f t="shared" si="1"/>
        <v>41.951029652308762</v>
      </c>
      <c r="Q13" s="16">
        <f t="shared" si="2"/>
        <v>1.7007174183368416</v>
      </c>
      <c r="R13" s="4" t="str">
        <f t="shared" si="3"/>
        <v>Z</v>
      </c>
      <c r="S13" s="4" t="str">
        <f t="shared" si="4"/>
        <v>CZ</v>
      </c>
      <c r="T13" s="4" t="str">
        <f t="shared" si="5"/>
        <v>Order on demand; do not hold surplus</v>
      </c>
    </row>
    <row r="14" spans="1:20" x14ac:dyDescent="0.3">
      <c r="A14" s="4" t="s">
        <v>99</v>
      </c>
      <c r="B14" s="4" t="str">
        <f>INDEX(Products!$K$6:$K$16,MATCH($A14,Products!$A$6:$A$16,0))</f>
        <v>C</v>
      </c>
      <c r="C14" s="24">
        <f>SUMIFS(Data!$F$2:$F$2379,Data!$E$2:$E$2379,$A14,Data!$C$2:$C$2379,"February")</f>
        <v>14</v>
      </c>
      <c r="D14" s="24">
        <f>SUMIFS(Data!$F$2:$F$2379,Data!$E$2:$E$2379,$A14,Data!$C$2:$C$2379,"March")</f>
        <v>9</v>
      </c>
      <c r="E14" s="24">
        <f>SUMIFS(Data!$F$2:$F$2379,Data!$E$2:$E$2379,$A14,Data!$C$2:$C$2379,"April")</f>
        <v>2</v>
      </c>
      <c r="F14" s="24">
        <f>SUMIFS(Data!$F$2:$F$2379,Data!$E$2:$E$2379,$A14,Data!$C$2:$C$2379,"May")</f>
        <v>0</v>
      </c>
      <c r="G14" s="24">
        <f>SUMIFS(Data!$F$2:$F$2379,Data!$E$2:$E$2379,$A14,Data!$C$2:$C$2379,"June")</f>
        <v>2</v>
      </c>
      <c r="H14" s="24">
        <f>SUMIFS(Data!$F$2:$F$2379,Data!$E$2:$E$2379,$A14,Data!$C$2:$C$2379,"July")</f>
        <v>0</v>
      </c>
      <c r="I14" s="24">
        <f>SUMIFS(Data!$F$2:$F$2379,Data!$E$2:$E$2379,$A14,Data!$C$2:$C$2379,"August")</f>
        <v>0</v>
      </c>
      <c r="J14" s="24">
        <f>SUMIFS(Data!$F$2:$F$2379,Data!$E$2:$E$2379,$A14,Data!$C$2:$C$2379,"September")</f>
        <v>2</v>
      </c>
      <c r="K14" s="24">
        <f>SUMIFS(Data!$F$2:$F$2379,Data!$E$2:$E$2379,$A14,Data!$C$2:$C$2379,"October")</f>
        <v>18</v>
      </c>
      <c r="L14" s="24">
        <f>SUMIFS(Data!$F$2:$F$2379,Data!$E$2:$E$2379,$A14,Data!$C$2:$C$2379,"November")</f>
        <v>13.75</v>
      </c>
      <c r="M14" s="24">
        <f>SUMIFS(Data!$F$2:$F$2379,Data!$E$2:$E$2379,$A14,Data!$C$2:$C$2379,"December")</f>
        <v>9</v>
      </c>
      <c r="N14" s="24">
        <f>SUMIFS(Data!$F$2:$F$2379,Data!$E$2:$E$2379,$A14,Data!$C$2:$C$2379,"January")</f>
        <v>8</v>
      </c>
      <c r="O14" s="24">
        <f t="shared" si="0"/>
        <v>6.479166666666667</v>
      </c>
      <c r="P14" s="24">
        <f t="shared" si="1"/>
        <v>6.0780156552575244</v>
      </c>
      <c r="Q14" s="16">
        <f t="shared" si="2"/>
        <v>0.93808601753170795</v>
      </c>
      <c r="R14" s="4" t="str">
        <f t="shared" si="3"/>
        <v>Y</v>
      </c>
      <c r="S14" s="4" t="str">
        <f t="shared" si="4"/>
        <v>CY</v>
      </c>
      <c r="T14" s="4" t="str">
        <f t="shared" si="5"/>
        <v>Order on demand; do not hold surplus</v>
      </c>
    </row>
    <row r="15" spans="1:20" x14ac:dyDescent="0.3">
      <c r="A15" s="4" t="s">
        <v>101</v>
      </c>
      <c r="B15" s="4" t="str">
        <f>INDEX(Products!$K$6:$K$16,MATCH($A15,Products!$A$6:$A$16,0))</f>
        <v>C</v>
      </c>
      <c r="C15" s="24">
        <f>SUMIFS(Data!$F$2:$F$2379,Data!$E$2:$E$2379,$A15,Data!$C$2:$C$2379,"February")</f>
        <v>61</v>
      </c>
      <c r="D15" s="24">
        <f>SUMIFS(Data!$F$2:$F$2379,Data!$E$2:$E$2379,$A15,Data!$C$2:$C$2379,"March")</f>
        <v>98</v>
      </c>
      <c r="E15" s="24">
        <f>SUMIFS(Data!$F$2:$F$2379,Data!$E$2:$E$2379,$A15,Data!$C$2:$C$2379,"April")</f>
        <v>0</v>
      </c>
      <c r="F15" s="24">
        <f>SUMIFS(Data!$F$2:$F$2379,Data!$E$2:$E$2379,$A15,Data!$C$2:$C$2379,"May")</f>
        <v>0</v>
      </c>
      <c r="G15" s="24">
        <f>SUMIFS(Data!$F$2:$F$2379,Data!$E$2:$E$2379,$A15,Data!$C$2:$C$2379,"June")</f>
        <v>0</v>
      </c>
      <c r="H15" s="24">
        <f>SUMIFS(Data!$F$2:$F$2379,Data!$E$2:$E$2379,$A15,Data!$C$2:$C$2379,"July")</f>
        <v>0</v>
      </c>
      <c r="I15" s="24">
        <f>SUMIFS(Data!$F$2:$F$2379,Data!$E$2:$E$2379,$A15,Data!$C$2:$C$2379,"August")</f>
        <v>0</v>
      </c>
      <c r="J15" s="24">
        <f>SUMIFS(Data!$F$2:$F$2379,Data!$E$2:$E$2379,$A15,Data!$C$2:$C$2379,"September")</f>
        <v>0</v>
      </c>
      <c r="K15" s="24">
        <f>SUMIFS(Data!$F$2:$F$2379,Data!$E$2:$E$2379,$A15,Data!$C$2:$C$2379,"October")</f>
        <v>32</v>
      </c>
      <c r="L15" s="24">
        <f>SUMIFS(Data!$F$2:$F$2379,Data!$E$2:$E$2379,$A15,Data!$C$2:$C$2379,"November")</f>
        <v>163</v>
      </c>
      <c r="M15" s="24">
        <f>SUMIFS(Data!$F$2:$F$2379,Data!$E$2:$E$2379,$A15,Data!$C$2:$C$2379,"December")</f>
        <v>277</v>
      </c>
      <c r="N15" s="24">
        <f>SUMIFS(Data!$F$2:$F$2379,Data!$E$2:$E$2379,$A15,Data!$C$2:$C$2379,"January")</f>
        <v>265</v>
      </c>
      <c r="O15" s="24">
        <f t="shared" si="0"/>
        <v>74.666666666666671</v>
      </c>
      <c r="P15" s="24">
        <f t="shared" si="1"/>
        <v>100.40362985912854</v>
      </c>
      <c r="Q15" s="16">
        <f t="shared" si="2"/>
        <v>1.3446914713276144</v>
      </c>
      <c r="R15" s="4" t="str">
        <f t="shared" si="3"/>
        <v>Z</v>
      </c>
      <c r="S15" s="4" t="str">
        <f t="shared" si="4"/>
        <v>CZ</v>
      </c>
      <c r="T15" s="4" t="str">
        <f t="shared" si="5"/>
        <v>Order on demand; do not hold surplus</v>
      </c>
    </row>
    <row r="16" spans="1:20" x14ac:dyDescent="0.3">
      <c r="A16" s="4" t="s">
        <v>103</v>
      </c>
      <c r="B16" s="4" t="str">
        <f>INDEX(Products!$K$6:$K$16,MATCH($A16,Products!$A$6:$A$16,0))</f>
        <v>C</v>
      </c>
      <c r="C16" s="24">
        <f>SUMIFS(Data!$F$2:$F$2379,Data!$E$2:$E$2379,$A16,Data!$C$2:$C$2379,"February")</f>
        <v>23</v>
      </c>
      <c r="D16" s="24">
        <f>SUMIFS(Data!$F$2:$F$2379,Data!$E$2:$E$2379,$A16,Data!$C$2:$C$2379,"March")</f>
        <v>28</v>
      </c>
      <c r="E16" s="24">
        <f>SUMIFS(Data!$F$2:$F$2379,Data!$E$2:$E$2379,$A16,Data!$C$2:$C$2379,"April")</f>
        <v>7</v>
      </c>
      <c r="F16" s="24">
        <f>SUMIFS(Data!$F$2:$F$2379,Data!$E$2:$E$2379,$A16,Data!$C$2:$C$2379,"May")</f>
        <v>0</v>
      </c>
      <c r="G16" s="24">
        <f>SUMIFS(Data!$F$2:$F$2379,Data!$E$2:$E$2379,$A16,Data!$C$2:$C$2379,"June")</f>
        <v>0</v>
      </c>
      <c r="H16" s="24">
        <f>SUMIFS(Data!$F$2:$F$2379,Data!$E$2:$E$2379,$A16,Data!$C$2:$C$2379,"July")</f>
        <v>0</v>
      </c>
      <c r="I16" s="24">
        <f>SUMIFS(Data!$F$2:$F$2379,Data!$E$2:$E$2379,$A16,Data!$C$2:$C$2379,"August")</f>
        <v>0</v>
      </c>
      <c r="J16" s="24">
        <f>SUMIFS(Data!$F$2:$F$2379,Data!$E$2:$E$2379,$A16,Data!$C$2:$C$2379,"September")</f>
        <v>0</v>
      </c>
      <c r="K16" s="24">
        <f>SUMIFS(Data!$F$2:$F$2379,Data!$E$2:$E$2379,$A16,Data!$C$2:$C$2379,"October")</f>
        <v>12</v>
      </c>
      <c r="L16" s="24">
        <f>SUMIFS(Data!$F$2:$F$2379,Data!$E$2:$E$2379,$A16,Data!$C$2:$C$2379,"November")</f>
        <v>32</v>
      </c>
      <c r="M16" s="24">
        <f>SUMIFS(Data!$F$2:$F$2379,Data!$E$2:$E$2379,$A16,Data!$C$2:$C$2379,"December")</f>
        <v>19</v>
      </c>
      <c r="N16" s="24">
        <f>SUMIFS(Data!$F$2:$F$2379,Data!$E$2:$E$2379,$A16,Data!$C$2:$C$2379,"January")</f>
        <v>28</v>
      </c>
      <c r="O16" s="24">
        <f t="shared" si="0"/>
        <v>12.416666666666666</v>
      </c>
      <c r="P16" s="24">
        <f t="shared" si="1"/>
        <v>12.331925595335422</v>
      </c>
      <c r="Q16" s="16">
        <f t="shared" si="2"/>
        <v>0.99317521573171186</v>
      </c>
      <c r="R16" s="4" t="str">
        <f t="shared" si="3"/>
        <v>Y</v>
      </c>
      <c r="S16" s="4" t="str">
        <f t="shared" si="4"/>
        <v>CY</v>
      </c>
      <c r="T16" s="4" t="str">
        <f t="shared" si="5"/>
        <v>Order on demand; do not hold surplus</v>
      </c>
    </row>
    <row r="18" spans="1:1" x14ac:dyDescent="0.3">
      <c r="A18" s="15" t="s">
        <v>126</v>
      </c>
    </row>
    <row r="19" spans="1:1" x14ac:dyDescent="0.3">
      <c r="A19" s="15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79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4" customWidth="1"/>
    <col min="3" max="4" width="16" customWidth="1"/>
  </cols>
  <sheetData>
    <row r="1" spans="1:4" ht="26.4" x14ac:dyDescent="0.3">
      <c r="A1" s="3" t="s">
        <v>140</v>
      </c>
      <c r="B1" s="3" t="s">
        <v>18</v>
      </c>
      <c r="C1" s="3" t="s">
        <v>141</v>
      </c>
      <c r="D1" s="3" t="s">
        <v>142</v>
      </c>
    </row>
    <row r="2" spans="1:4" x14ac:dyDescent="0.3">
      <c r="A2" s="25">
        <v>1</v>
      </c>
      <c r="B2" s="25">
        <f>LARGE(Data!$J$2:$J$2379,A2)</f>
        <v>3250</v>
      </c>
      <c r="C2" s="25">
        <f>B2</f>
        <v>3250</v>
      </c>
      <c r="D2" s="28">
        <f>C2/SUM(Data!$J$2:$J$2379)</f>
        <v>2.6652539453959172E-3</v>
      </c>
    </row>
    <row r="3" spans="1:4" x14ac:dyDescent="0.3">
      <c r="A3" s="25">
        <v>2</v>
      </c>
      <c r="B3" s="25">
        <f>LARGE(Data!$J$2:$J$2379,A3)</f>
        <v>3120</v>
      </c>
      <c r="C3" s="25">
        <f t="shared" ref="C3:C66" si="0">C2+B3</f>
        <v>6370</v>
      </c>
      <c r="D3" s="28">
        <f>C3/SUM(Data!$J$2:$J$2379)</f>
        <v>5.2238977329759975E-3</v>
      </c>
    </row>
    <row r="4" spans="1:4" x14ac:dyDescent="0.3">
      <c r="A4" s="25">
        <v>3</v>
      </c>
      <c r="B4" s="25">
        <f>LARGE(Data!$J$2:$J$2379,A4)</f>
        <v>3000</v>
      </c>
      <c r="C4" s="25">
        <f t="shared" si="0"/>
        <v>9370</v>
      </c>
      <c r="D4" s="28">
        <f>C4/SUM(Data!$J$2:$J$2379)</f>
        <v>7.684132144110691E-3</v>
      </c>
    </row>
    <row r="5" spans="1:4" x14ac:dyDescent="0.3">
      <c r="A5" s="25">
        <v>4</v>
      </c>
      <c r="B5" s="25">
        <f>LARGE(Data!$J$2:$J$2379,A5)</f>
        <v>2600</v>
      </c>
      <c r="C5" s="25">
        <f t="shared" si="0"/>
        <v>11970</v>
      </c>
      <c r="D5" s="28">
        <f>C5/SUM(Data!$J$2:$J$2379)</f>
        <v>9.8163353004274249E-3</v>
      </c>
    </row>
    <row r="6" spans="1:4" x14ac:dyDescent="0.3">
      <c r="A6" s="25">
        <v>5</v>
      </c>
      <c r="B6" s="25">
        <f>LARGE(Data!$J$2:$J$2379,A6)</f>
        <v>2600</v>
      </c>
      <c r="C6" s="25">
        <f t="shared" si="0"/>
        <v>14570</v>
      </c>
      <c r="D6" s="28">
        <f>C6/SUM(Data!$J$2:$J$2379)</f>
        <v>1.1948538456744158E-2</v>
      </c>
    </row>
    <row r="7" spans="1:4" x14ac:dyDescent="0.3">
      <c r="A7" s="25">
        <v>6</v>
      </c>
      <c r="B7" s="25">
        <f>LARGE(Data!$J$2:$J$2379,A7)</f>
        <v>2600</v>
      </c>
      <c r="C7" s="25">
        <f t="shared" si="0"/>
        <v>17170</v>
      </c>
      <c r="D7" s="28">
        <f>C7/SUM(Data!$J$2:$J$2379)</f>
        <v>1.4080741613060893E-2</v>
      </c>
    </row>
    <row r="8" spans="1:4" x14ac:dyDescent="0.3">
      <c r="A8" s="25">
        <v>7</v>
      </c>
      <c r="B8" s="25">
        <f>LARGE(Data!$J$2:$J$2379,A8)</f>
        <v>2500</v>
      </c>
      <c r="C8" s="25">
        <f t="shared" si="0"/>
        <v>19670</v>
      </c>
      <c r="D8" s="28">
        <f>C8/SUM(Data!$J$2:$J$2379)</f>
        <v>1.6130936955673136E-2</v>
      </c>
    </row>
    <row r="9" spans="1:4" x14ac:dyDescent="0.3">
      <c r="A9" s="25">
        <v>8</v>
      </c>
      <c r="B9" s="25">
        <f>LARGE(Data!$J$2:$J$2379,A9)</f>
        <v>2340</v>
      </c>
      <c r="C9" s="25">
        <f t="shared" si="0"/>
        <v>22010</v>
      </c>
      <c r="D9" s="28">
        <f>C9/SUM(Data!$J$2:$J$2379)</f>
        <v>1.8049919796358196E-2</v>
      </c>
    </row>
    <row r="10" spans="1:4" x14ac:dyDescent="0.3">
      <c r="A10" s="25">
        <v>9</v>
      </c>
      <c r="B10" s="25">
        <f>LARGE(Data!$J$2:$J$2379,A10)</f>
        <v>2340</v>
      </c>
      <c r="C10" s="25">
        <f t="shared" si="0"/>
        <v>24350</v>
      </c>
      <c r="D10" s="28">
        <f>C10/SUM(Data!$J$2:$J$2379)</f>
        <v>1.9968902637043259E-2</v>
      </c>
    </row>
    <row r="11" spans="1:4" x14ac:dyDescent="0.3">
      <c r="A11" s="25">
        <v>10</v>
      </c>
      <c r="B11" s="25">
        <f>LARGE(Data!$J$2:$J$2379,A11)</f>
        <v>2340</v>
      </c>
      <c r="C11" s="25">
        <f t="shared" si="0"/>
        <v>26690</v>
      </c>
      <c r="D11" s="28">
        <f>C11/SUM(Data!$J$2:$J$2379)</f>
        <v>2.1887885477728318E-2</v>
      </c>
    </row>
    <row r="12" spans="1:4" x14ac:dyDescent="0.3">
      <c r="A12" s="25">
        <v>11</v>
      </c>
      <c r="B12" s="25">
        <f>LARGE(Data!$J$2:$J$2379,A12)</f>
        <v>2250</v>
      </c>
      <c r="C12" s="25">
        <f t="shared" si="0"/>
        <v>28940</v>
      </c>
      <c r="D12" s="28">
        <f>C12/SUM(Data!$J$2:$J$2379)</f>
        <v>2.3733061286079337E-2</v>
      </c>
    </row>
    <row r="13" spans="1:4" x14ac:dyDescent="0.3">
      <c r="A13" s="25">
        <v>12</v>
      </c>
      <c r="B13" s="25">
        <f>LARGE(Data!$J$2:$J$2379,A13)</f>
        <v>2210</v>
      </c>
      <c r="C13" s="25">
        <f t="shared" si="0"/>
        <v>31150</v>
      </c>
      <c r="D13" s="28">
        <f>C13/SUM(Data!$J$2:$J$2379)</f>
        <v>2.5545433968948563E-2</v>
      </c>
    </row>
    <row r="14" spans="1:4" x14ac:dyDescent="0.3">
      <c r="A14" s="25">
        <v>13</v>
      </c>
      <c r="B14" s="25">
        <f>LARGE(Data!$J$2:$J$2379,A14)</f>
        <v>2210</v>
      </c>
      <c r="C14" s="25">
        <f t="shared" si="0"/>
        <v>33360</v>
      </c>
      <c r="D14" s="28">
        <f>C14/SUM(Data!$J$2:$J$2379)</f>
        <v>2.7357806651817786E-2</v>
      </c>
    </row>
    <row r="15" spans="1:4" x14ac:dyDescent="0.3">
      <c r="A15" s="25">
        <v>14</v>
      </c>
      <c r="B15" s="25">
        <f>LARGE(Data!$J$2:$J$2379,A15)</f>
        <v>2210</v>
      </c>
      <c r="C15" s="25">
        <f t="shared" si="0"/>
        <v>35570</v>
      </c>
      <c r="D15" s="28">
        <f>C15/SUM(Data!$J$2:$J$2379)</f>
        <v>2.9170179334687008E-2</v>
      </c>
    </row>
    <row r="16" spans="1:4" x14ac:dyDescent="0.3">
      <c r="A16" s="25">
        <v>15</v>
      </c>
      <c r="B16" s="25">
        <f>LARGE(Data!$J$2:$J$2379,A16)</f>
        <v>2210</v>
      </c>
      <c r="C16" s="25">
        <f t="shared" si="0"/>
        <v>37780</v>
      </c>
      <c r="D16" s="28">
        <f>C16/SUM(Data!$J$2:$J$2379)</f>
        <v>3.0982552017556234E-2</v>
      </c>
    </row>
    <row r="17" spans="1:4" x14ac:dyDescent="0.3">
      <c r="A17" s="25">
        <v>16</v>
      </c>
      <c r="B17" s="25">
        <f>LARGE(Data!$J$2:$J$2379,A17)</f>
        <v>2210</v>
      </c>
      <c r="C17" s="25">
        <f t="shared" si="0"/>
        <v>39990</v>
      </c>
      <c r="D17" s="28">
        <f>C17/SUM(Data!$J$2:$J$2379)</f>
        <v>3.2794924700425457E-2</v>
      </c>
    </row>
    <row r="18" spans="1:4" x14ac:dyDescent="0.3">
      <c r="A18" s="25">
        <v>17</v>
      </c>
      <c r="B18" s="25">
        <f>LARGE(Data!$J$2:$J$2379,A18)</f>
        <v>2100</v>
      </c>
      <c r="C18" s="25">
        <f t="shared" si="0"/>
        <v>42090</v>
      </c>
      <c r="D18" s="28">
        <f>C18/SUM(Data!$J$2:$J$2379)</f>
        <v>3.4517088788219741E-2</v>
      </c>
    </row>
    <row r="19" spans="1:4" x14ac:dyDescent="0.3">
      <c r="A19" s="25">
        <v>18</v>
      </c>
      <c r="B19" s="25">
        <f>LARGE(Data!$J$2:$J$2379,A19)</f>
        <v>2080</v>
      </c>
      <c r="C19" s="25">
        <f t="shared" si="0"/>
        <v>44170</v>
      </c>
      <c r="D19" s="28">
        <f>C19/SUM(Data!$J$2:$J$2379)</f>
        <v>3.622285131327313E-2</v>
      </c>
    </row>
    <row r="20" spans="1:4" x14ac:dyDescent="0.3">
      <c r="A20" s="25">
        <v>19</v>
      </c>
      <c r="B20" s="25">
        <f>LARGE(Data!$J$2:$J$2379,A20)</f>
        <v>2080</v>
      </c>
      <c r="C20" s="25">
        <f t="shared" si="0"/>
        <v>46250</v>
      </c>
      <c r="D20" s="28">
        <f>C20/SUM(Data!$J$2:$J$2379)</f>
        <v>3.7928613838326512E-2</v>
      </c>
    </row>
    <row r="21" spans="1:4" x14ac:dyDescent="0.3">
      <c r="A21" s="25">
        <v>20</v>
      </c>
      <c r="B21" s="25">
        <f>LARGE(Data!$J$2:$J$2379,A21)</f>
        <v>2080</v>
      </c>
      <c r="C21" s="25">
        <f t="shared" si="0"/>
        <v>48330</v>
      </c>
      <c r="D21" s="28">
        <f>C21/SUM(Data!$J$2:$J$2379)</f>
        <v>3.9634376363379901E-2</v>
      </c>
    </row>
    <row r="22" spans="1:4" x14ac:dyDescent="0.3">
      <c r="A22" s="25">
        <v>21</v>
      </c>
      <c r="B22" s="25">
        <f>LARGE(Data!$J$2:$J$2379,A22)</f>
        <v>2080</v>
      </c>
      <c r="C22" s="25">
        <f t="shared" si="0"/>
        <v>50410</v>
      </c>
      <c r="D22" s="28">
        <f>C22/SUM(Data!$J$2:$J$2379)</f>
        <v>4.1340138888433291E-2</v>
      </c>
    </row>
    <row r="23" spans="1:4" x14ac:dyDescent="0.3">
      <c r="A23" s="25">
        <v>22</v>
      </c>
      <c r="B23" s="25">
        <f>LARGE(Data!$J$2:$J$2379,A23)</f>
        <v>2080</v>
      </c>
      <c r="C23" s="25">
        <f t="shared" si="0"/>
        <v>52490</v>
      </c>
      <c r="D23" s="28">
        <f>C23/SUM(Data!$J$2:$J$2379)</f>
        <v>4.304590141348668E-2</v>
      </c>
    </row>
    <row r="24" spans="1:4" x14ac:dyDescent="0.3">
      <c r="A24" s="25">
        <v>23</v>
      </c>
      <c r="B24" s="25">
        <f>LARGE(Data!$J$2:$J$2379,A24)</f>
        <v>2080</v>
      </c>
      <c r="C24" s="25">
        <f t="shared" si="0"/>
        <v>54570</v>
      </c>
      <c r="D24" s="28">
        <f>C24/SUM(Data!$J$2:$J$2379)</f>
        <v>4.4751663938540062E-2</v>
      </c>
    </row>
    <row r="25" spans="1:4" x14ac:dyDescent="0.3">
      <c r="A25" s="25">
        <v>24</v>
      </c>
      <c r="B25" s="25">
        <f>LARGE(Data!$J$2:$J$2379,A25)</f>
        <v>2080</v>
      </c>
      <c r="C25" s="25">
        <f t="shared" si="0"/>
        <v>56650</v>
      </c>
      <c r="D25" s="28">
        <f>C25/SUM(Data!$J$2:$J$2379)</f>
        <v>4.6457426463593451E-2</v>
      </c>
    </row>
    <row r="26" spans="1:4" x14ac:dyDescent="0.3">
      <c r="A26" s="25">
        <v>25</v>
      </c>
      <c r="B26" s="25">
        <f>LARGE(Data!$J$2:$J$2379,A26)</f>
        <v>2080</v>
      </c>
      <c r="C26" s="25">
        <f t="shared" si="0"/>
        <v>58730</v>
      </c>
      <c r="D26" s="28">
        <f>C26/SUM(Data!$J$2:$J$2379)</f>
        <v>4.8163188988646841E-2</v>
      </c>
    </row>
    <row r="27" spans="1:4" x14ac:dyDescent="0.3">
      <c r="A27" s="25">
        <v>26</v>
      </c>
      <c r="B27" s="25">
        <f>LARGE(Data!$J$2:$J$2379,A27)</f>
        <v>2080</v>
      </c>
      <c r="C27" s="25">
        <f t="shared" si="0"/>
        <v>60810</v>
      </c>
      <c r="D27" s="28">
        <f>C27/SUM(Data!$J$2:$J$2379)</f>
        <v>4.9868951513700223E-2</v>
      </c>
    </row>
    <row r="28" spans="1:4" x14ac:dyDescent="0.3">
      <c r="A28" s="25">
        <v>27</v>
      </c>
      <c r="B28" s="25">
        <f>LARGE(Data!$J$2:$J$2379,A28)</f>
        <v>2080</v>
      </c>
      <c r="C28" s="25">
        <f t="shared" si="0"/>
        <v>62890</v>
      </c>
      <c r="D28" s="28">
        <f>C28/SUM(Data!$J$2:$J$2379)</f>
        <v>5.1574714038753612E-2</v>
      </c>
    </row>
    <row r="29" spans="1:4" x14ac:dyDescent="0.3">
      <c r="A29" s="25">
        <v>28</v>
      </c>
      <c r="B29" s="25">
        <f>LARGE(Data!$J$2:$J$2379,A29)</f>
        <v>2080</v>
      </c>
      <c r="C29" s="25">
        <f t="shared" si="0"/>
        <v>64970</v>
      </c>
      <c r="D29" s="28">
        <f>C29/SUM(Data!$J$2:$J$2379)</f>
        <v>5.3280476563807001E-2</v>
      </c>
    </row>
    <row r="30" spans="1:4" x14ac:dyDescent="0.3">
      <c r="A30" s="25">
        <v>29</v>
      </c>
      <c r="B30" s="25">
        <f>LARGE(Data!$J$2:$J$2379,A30)</f>
        <v>2080</v>
      </c>
      <c r="C30" s="25">
        <f t="shared" si="0"/>
        <v>67050</v>
      </c>
      <c r="D30" s="28">
        <f>C30/SUM(Data!$J$2:$J$2379)</f>
        <v>5.4986239088860384E-2</v>
      </c>
    </row>
    <row r="31" spans="1:4" x14ac:dyDescent="0.3">
      <c r="A31" s="25">
        <v>30</v>
      </c>
      <c r="B31" s="25">
        <f>LARGE(Data!$J$2:$J$2379,A31)</f>
        <v>2080</v>
      </c>
      <c r="C31" s="25">
        <f t="shared" si="0"/>
        <v>69130</v>
      </c>
      <c r="D31" s="28">
        <f>C31/SUM(Data!$J$2:$J$2379)</f>
        <v>5.6692001613913773E-2</v>
      </c>
    </row>
    <row r="32" spans="1:4" x14ac:dyDescent="0.3">
      <c r="A32" s="25">
        <v>31</v>
      </c>
      <c r="B32" s="25">
        <f>LARGE(Data!$J$2:$J$2379,A32)</f>
        <v>2080</v>
      </c>
      <c r="C32" s="25">
        <f t="shared" si="0"/>
        <v>71210</v>
      </c>
      <c r="D32" s="28">
        <f>C32/SUM(Data!$J$2:$J$2379)</f>
        <v>5.8397764138967162E-2</v>
      </c>
    </row>
    <row r="33" spans="1:4" x14ac:dyDescent="0.3">
      <c r="A33" s="25">
        <v>32</v>
      </c>
      <c r="B33" s="25">
        <f>LARGE(Data!$J$2:$J$2379,A33)</f>
        <v>2080</v>
      </c>
      <c r="C33" s="25">
        <f t="shared" si="0"/>
        <v>73290</v>
      </c>
      <c r="D33" s="28">
        <f>C33/SUM(Data!$J$2:$J$2379)</f>
        <v>6.0103526664020551E-2</v>
      </c>
    </row>
    <row r="34" spans="1:4" x14ac:dyDescent="0.3">
      <c r="A34" s="25">
        <v>33</v>
      </c>
      <c r="B34" s="25">
        <f>LARGE(Data!$J$2:$J$2379,A34)</f>
        <v>2080</v>
      </c>
      <c r="C34" s="25">
        <f t="shared" si="0"/>
        <v>75370</v>
      </c>
      <c r="D34" s="28">
        <f>C34/SUM(Data!$J$2:$J$2379)</f>
        <v>6.1809289189073933E-2</v>
      </c>
    </row>
    <row r="35" spans="1:4" x14ac:dyDescent="0.3">
      <c r="A35" s="25">
        <v>34</v>
      </c>
      <c r="B35" s="25">
        <f>LARGE(Data!$J$2:$J$2379,A35)</f>
        <v>2080</v>
      </c>
      <c r="C35" s="25">
        <f t="shared" si="0"/>
        <v>77450</v>
      </c>
      <c r="D35" s="28">
        <f>C35/SUM(Data!$J$2:$J$2379)</f>
        <v>6.3515051714127316E-2</v>
      </c>
    </row>
    <row r="36" spans="1:4" x14ac:dyDescent="0.3">
      <c r="A36" s="25">
        <v>35</v>
      </c>
      <c r="B36" s="25">
        <f>LARGE(Data!$J$2:$J$2379,A36)</f>
        <v>2080</v>
      </c>
      <c r="C36" s="25">
        <f t="shared" si="0"/>
        <v>79530</v>
      </c>
      <c r="D36" s="28">
        <f>C36/SUM(Data!$J$2:$J$2379)</f>
        <v>6.5220814239180705E-2</v>
      </c>
    </row>
    <row r="37" spans="1:4" x14ac:dyDescent="0.3">
      <c r="A37" s="25">
        <v>36</v>
      </c>
      <c r="B37" s="25">
        <f>LARGE(Data!$J$2:$J$2379,A37)</f>
        <v>2000</v>
      </c>
      <c r="C37" s="25">
        <f t="shared" si="0"/>
        <v>81530</v>
      </c>
      <c r="D37" s="28">
        <f>C37/SUM(Data!$J$2:$J$2379)</f>
        <v>6.6860970513270501E-2</v>
      </c>
    </row>
    <row r="38" spans="1:4" x14ac:dyDescent="0.3">
      <c r="A38" s="25">
        <v>37</v>
      </c>
      <c r="B38" s="25">
        <f>LARGE(Data!$J$2:$J$2379,A38)</f>
        <v>2000</v>
      </c>
      <c r="C38" s="25">
        <f t="shared" si="0"/>
        <v>83530</v>
      </c>
      <c r="D38" s="28">
        <f>C38/SUM(Data!$J$2:$J$2379)</f>
        <v>6.8501126787360297E-2</v>
      </c>
    </row>
    <row r="39" spans="1:4" x14ac:dyDescent="0.3">
      <c r="A39" s="25">
        <v>38</v>
      </c>
      <c r="B39" s="25">
        <f>LARGE(Data!$J$2:$J$2379,A39)</f>
        <v>2000</v>
      </c>
      <c r="C39" s="25">
        <f t="shared" si="0"/>
        <v>85530</v>
      </c>
      <c r="D39" s="28">
        <f>C39/SUM(Data!$J$2:$J$2379)</f>
        <v>7.0141283061450094E-2</v>
      </c>
    </row>
    <row r="40" spans="1:4" x14ac:dyDescent="0.3">
      <c r="A40" s="25">
        <v>39</v>
      </c>
      <c r="B40" s="25">
        <f>LARGE(Data!$J$2:$J$2379,A40)</f>
        <v>2000</v>
      </c>
      <c r="C40" s="25">
        <f t="shared" si="0"/>
        <v>87530</v>
      </c>
      <c r="D40" s="28">
        <f>C40/SUM(Data!$J$2:$J$2379)</f>
        <v>7.178143933553989E-2</v>
      </c>
    </row>
    <row r="41" spans="1:4" x14ac:dyDescent="0.3">
      <c r="A41" s="25">
        <v>40</v>
      </c>
      <c r="B41" s="25">
        <f>LARGE(Data!$J$2:$J$2379,A41)</f>
        <v>1950</v>
      </c>
      <c r="C41" s="25">
        <f t="shared" si="0"/>
        <v>89480</v>
      </c>
      <c r="D41" s="28">
        <f>C41/SUM(Data!$J$2:$J$2379)</f>
        <v>7.3380591702777442E-2</v>
      </c>
    </row>
    <row r="42" spans="1:4" x14ac:dyDescent="0.3">
      <c r="A42" s="25">
        <v>41</v>
      </c>
      <c r="B42" s="25">
        <f>LARGE(Data!$J$2:$J$2379,A42)</f>
        <v>1950</v>
      </c>
      <c r="C42" s="25">
        <f t="shared" si="0"/>
        <v>91430</v>
      </c>
      <c r="D42" s="28">
        <f>C42/SUM(Data!$J$2:$J$2379)</f>
        <v>7.4979744070014995E-2</v>
      </c>
    </row>
    <row r="43" spans="1:4" x14ac:dyDescent="0.3">
      <c r="A43" s="25">
        <v>42</v>
      </c>
      <c r="B43" s="25">
        <f>LARGE(Data!$J$2:$J$2379,A43)</f>
        <v>1950</v>
      </c>
      <c r="C43" s="25">
        <f t="shared" si="0"/>
        <v>93380</v>
      </c>
      <c r="D43" s="28">
        <f>C43/SUM(Data!$J$2:$J$2379)</f>
        <v>7.6578896437252547E-2</v>
      </c>
    </row>
    <row r="44" spans="1:4" x14ac:dyDescent="0.3">
      <c r="A44" s="25">
        <v>43</v>
      </c>
      <c r="B44" s="25">
        <f>LARGE(Data!$J$2:$J$2379,A44)</f>
        <v>1950</v>
      </c>
      <c r="C44" s="25">
        <f t="shared" si="0"/>
        <v>95330</v>
      </c>
      <c r="D44" s="28">
        <f>C44/SUM(Data!$J$2:$J$2379)</f>
        <v>7.8178048804490086E-2</v>
      </c>
    </row>
    <row r="45" spans="1:4" x14ac:dyDescent="0.3">
      <c r="A45" s="25">
        <v>44</v>
      </c>
      <c r="B45" s="25">
        <f>LARGE(Data!$J$2:$J$2379,A45)</f>
        <v>1950</v>
      </c>
      <c r="C45" s="25">
        <f t="shared" si="0"/>
        <v>97280</v>
      </c>
      <c r="D45" s="28">
        <f>C45/SUM(Data!$J$2:$J$2379)</f>
        <v>7.9777201171727638E-2</v>
      </c>
    </row>
    <row r="46" spans="1:4" x14ac:dyDescent="0.3">
      <c r="A46" s="25">
        <v>45</v>
      </c>
      <c r="B46" s="25">
        <f>LARGE(Data!$J$2:$J$2379,A46)</f>
        <v>1950</v>
      </c>
      <c r="C46" s="25">
        <f t="shared" si="0"/>
        <v>99230</v>
      </c>
      <c r="D46" s="28">
        <f>C46/SUM(Data!$J$2:$J$2379)</f>
        <v>8.137635353896519E-2</v>
      </c>
    </row>
    <row r="47" spans="1:4" x14ac:dyDescent="0.3">
      <c r="A47" s="25">
        <v>46</v>
      </c>
      <c r="B47" s="25">
        <f>LARGE(Data!$J$2:$J$2379,A47)</f>
        <v>1950</v>
      </c>
      <c r="C47" s="25">
        <f t="shared" si="0"/>
        <v>101180</v>
      </c>
      <c r="D47" s="28">
        <f>C47/SUM(Data!$J$2:$J$2379)</f>
        <v>8.2975505906202743E-2</v>
      </c>
    </row>
    <row r="48" spans="1:4" x14ac:dyDescent="0.3">
      <c r="A48" s="25">
        <v>47</v>
      </c>
      <c r="B48" s="25">
        <f>LARGE(Data!$J$2:$J$2379,A48)</f>
        <v>1950</v>
      </c>
      <c r="C48" s="25">
        <f t="shared" si="0"/>
        <v>103130</v>
      </c>
      <c r="D48" s="28">
        <f>C48/SUM(Data!$J$2:$J$2379)</f>
        <v>8.4574658273440295E-2</v>
      </c>
    </row>
    <row r="49" spans="1:4" x14ac:dyDescent="0.3">
      <c r="A49" s="25">
        <v>48</v>
      </c>
      <c r="B49" s="25">
        <f>LARGE(Data!$J$2:$J$2379,A49)</f>
        <v>1950</v>
      </c>
      <c r="C49" s="25">
        <f t="shared" si="0"/>
        <v>105080</v>
      </c>
      <c r="D49" s="28">
        <f>C49/SUM(Data!$J$2:$J$2379)</f>
        <v>8.6173810640677848E-2</v>
      </c>
    </row>
    <row r="50" spans="1:4" x14ac:dyDescent="0.3">
      <c r="A50" s="25">
        <v>49</v>
      </c>
      <c r="B50" s="25">
        <f>LARGE(Data!$J$2:$J$2379,A50)</f>
        <v>1950</v>
      </c>
      <c r="C50" s="25">
        <f t="shared" si="0"/>
        <v>107030</v>
      </c>
      <c r="D50" s="28">
        <f>C50/SUM(Data!$J$2:$J$2379)</f>
        <v>8.77729630079154E-2</v>
      </c>
    </row>
    <row r="51" spans="1:4" x14ac:dyDescent="0.3">
      <c r="A51" s="25">
        <v>50</v>
      </c>
      <c r="B51" s="25">
        <f>LARGE(Data!$J$2:$J$2379,A51)</f>
        <v>1950</v>
      </c>
      <c r="C51" s="25">
        <f t="shared" si="0"/>
        <v>108980</v>
      </c>
      <c r="D51" s="28">
        <f>C51/SUM(Data!$J$2:$J$2379)</f>
        <v>8.9372115375152938E-2</v>
      </c>
    </row>
    <row r="52" spans="1:4" x14ac:dyDescent="0.3">
      <c r="A52" s="25">
        <v>51</v>
      </c>
      <c r="B52" s="25">
        <f>LARGE(Data!$J$2:$J$2379,A52)</f>
        <v>1950</v>
      </c>
      <c r="C52" s="25">
        <f t="shared" si="0"/>
        <v>110930</v>
      </c>
      <c r="D52" s="28">
        <f>C52/SUM(Data!$J$2:$J$2379)</f>
        <v>9.0971267742390491E-2</v>
      </c>
    </row>
    <row r="53" spans="1:4" x14ac:dyDescent="0.3">
      <c r="A53" s="25">
        <v>52</v>
      </c>
      <c r="B53" s="25">
        <f>LARGE(Data!$J$2:$J$2379,A53)</f>
        <v>1950</v>
      </c>
      <c r="C53" s="25">
        <f t="shared" si="0"/>
        <v>112880</v>
      </c>
      <c r="D53" s="28">
        <f>C53/SUM(Data!$J$2:$J$2379)</f>
        <v>9.2570420109628043E-2</v>
      </c>
    </row>
    <row r="54" spans="1:4" x14ac:dyDescent="0.3">
      <c r="A54" s="25">
        <v>53</v>
      </c>
      <c r="B54" s="25">
        <f>LARGE(Data!$J$2:$J$2379,A54)</f>
        <v>1950</v>
      </c>
      <c r="C54" s="25">
        <f t="shared" si="0"/>
        <v>114830</v>
      </c>
      <c r="D54" s="28">
        <f>C54/SUM(Data!$J$2:$J$2379)</f>
        <v>9.4169572476865596E-2</v>
      </c>
    </row>
    <row r="55" spans="1:4" x14ac:dyDescent="0.3">
      <c r="A55" s="25">
        <v>54</v>
      </c>
      <c r="B55" s="25">
        <f>LARGE(Data!$J$2:$J$2379,A55)</f>
        <v>1950</v>
      </c>
      <c r="C55" s="25">
        <f t="shared" si="0"/>
        <v>116780</v>
      </c>
      <c r="D55" s="28">
        <f>C55/SUM(Data!$J$2:$J$2379)</f>
        <v>9.5768724844103148E-2</v>
      </c>
    </row>
    <row r="56" spans="1:4" x14ac:dyDescent="0.3">
      <c r="A56" s="25">
        <v>55</v>
      </c>
      <c r="B56" s="25">
        <f>LARGE(Data!$J$2:$J$2379,A56)</f>
        <v>1950</v>
      </c>
      <c r="C56" s="25">
        <f t="shared" si="0"/>
        <v>118730</v>
      </c>
      <c r="D56" s="28">
        <f>C56/SUM(Data!$J$2:$J$2379)</f>
        <v>9.73678772113407E-2</v>
      </c>
    </row>
    <row r="57" spans="1:4" x14ac:dyDescent="0.3">
      <c r="A57" s="25">
        <v>56</v>
      </c>
      <c r="B57" s="25">
        <f>LARGE(Data!$J$2:$J$2379,A57)</f>
        <v>1950</v>
      </c>
      <c r="C57" s="25">
        <f t="shared" si="0"/>
        <v>120680</v>
      </c>
      <c r="D57" s="28">
        <f>C57/SUM(Data!$J$2:$J$2379)</f>
        <v>9.8967029578578253E-2</v>
      </c>
    </row>
    <row r="58" spans="1:4" x14ac:dyDescent="0.3">
      <c r="A58" s="25">
        <v>57</v>
      </c>
      <c r="B58" s="25">
        <f>LARGE(Data!$J$2:$J$2379,A58)</f>
        <v>1950</v>
      </c>
      <c r="C58" s="25">
        <f t="shared" si="0"/>
        <v>122630</v>
      </c>
      <c r="D58" s="28">
        <f>C58/SUM(Data!$J$2:$J$2379)</f>
        <v>0.10056618194581579</v>
      </c>
    </row>
    <row r="59" spans="1:4" x14ac:dyDescent="0.3">
      <c r="A59" s="25">
        <v>58</v>
      </c>
      <c r="B59" s="25">
        <f>LARGE(Data!$J$2:$J$2379,A59)</f>
        <v>1820</v>
      </c>
      <c r="C59" s="25">
        <f t="shared" si="0"/>
        <v>124450</v>
      </c>
      <c r="D59" s="28">
        <f>C59/SUM(Data!$J$2:$J$2379)</f>
        <v>0.10205872415523751</v>
      </c>
    </row>
    <row r="60" spans="1:4" x14ac:dyDescent="0.3">
      <c r="A60" s="25">
        <v>59</v>
      </c>
      <c r="B60" s="25">
        <f>LARGE(Data!$J$2:$J$2379,A60)</f>
        <v>1820</v>
      </c>
      <c r="C60" s="25">
        <f t="shared" si="0"/>
        <v>126270</v>
      </c>
      <c r="D60" s="28">
        <f>C60/SUM(Data!$J$2:$J$2379)</f>
        <v>0.10355126636465922</v>
      </c>
    </row>
    <row r="61" spans="1:4" x14ac:dyDescent="0.3">
      <c r="A61" s="25">
        <v>60</v>
      </c>
      <c r="B61" s="25">
        <f>LARGE(Data!$J$2:$J$2379,A61)</f>
        <v>1820</v>
      </c>
      <c r="C61" s="25">
        <f t="shared" si="0"/>
        <v>128090</v>
      </c>
      <c r="D61" s="28">
        <f>C61/SUM(Data!$J$2:$J$2379)</f>
        <v>0.10504380857408094</v>
      </c>
    </row>
    <row r="62" spans="1:4" x14ac:dyDescent="0.3">
      <c r="A62" s="25">
        <v>61</v>
      </c>
      <c r="B62" s="25">
        <f>LARGE(Data!$J$2:$J$2379,A62)</f>
        <v>1820</v>
      </c>
      <c r="C62" s="25">
        <f t="shared" si="0"/>
        <v>129910</v>
      </c>
      <c r="D62" s="28">
        <f>C62/SUM(Data!$J$2:$J$2379)</f>
        <v>0.10653635078350265</v>
      </c>
    </row>
    <row r="63" spans="1:4" x14ac:dyDescent="0.3">
      <c r="A63" s="25">
        <v>62</v>
      </c>
      <c r="B63" s="25">
        <f>LARGE(Data!$J$2:$J$2379,A63)</f>
        <v>1820</v>
      </c>
      <c r="C63" s="25">
        <f t="shared" si="0"/>
        <v>131730</v>
      </c>
      <c r="D63" s="28">
        <f>C63/SUM(Data!$J$2:$J$2379)</f>
        <v>0.10802889299292437</v>
      </c>
    </row>
    <row r="64" spans="1:4" x14ac:dyDescent="0.3">
      <c r="A64" s="25">
        <v>63</v>
      </c>
      <c r="B64" s="25">
        <f>LARGE(Data!$J$2:$J$2379,A64)</f>
        <v>1820</v>
      </c>
      <c r="C64" s="25">
        <f t="shared" si="0"/>
        <v>133550</v>
      </c>
      <c r="D64" s="28">
        <f>C64/SUM(Data!$J$2:$J$2379)</f>
        <v>0.10952143520234608</v>
      </c>
    </row>
    <row r="65" spans="1:4" x14ac:dyDescent="0.3">
      <c r="A65" s="25">
        <v>64</v>
      </c>
      <c r="B65" s="25">
        <f>LARGE(Data!$J$2:$J$2379,A65)</f>
        <v>1820</v>
      </c>
      <c r="C65" s="25">
        <f t="shared" si="0"/>
        <v>135370</v>
      </c>
      <c r="D65" s="28">
        <f>C65/SUM(Data!$J$2:$J$2379)</f>
        <v>0.11101397741176779</v>
      </c>
    </row>
    <row r="66" spans="1:4" x14ac:dyDescent="0.3">
      <c r="A66" s="25">
        <v>65</v>
      </c>
      <c r="B66" s="25">
        <f>LARGE(Data!$J$2:$J$2379,A66)</f>
        <v>1820</v>
      </c>
      <c r="C66" s="25">
        <f t="shared" si="0"/>
        <v>137190</v>
      </c>
      <c r="D66" s="28">
        <f>C66/SUM(Data!$J$2:$J$2379)</f>
        <v>0.1125065196211895</v>
      </c>
    </row>
    <row r="67" spans="1:4" x14ac:dyDescent="0.3">
      <c r="A67" s="25">
        <v>66</v>
      </c>
      <c r="B67" s="25">
        <f>LARGE(Data!$J$2:$J$2379,A67)</f>
        <v>1820</v>
      </c>
      <c r="C67" s="25">
        <f t="shared" ref="C67:C130" si="1">C66+B67</f>
        <v>139010</v>
      </c>
      <c r="D67" s="28">
        <f>C67/SUM(Data!$J$2:$J$2379)</f>
        <v>0.11399906183061122</v>
      </c>
    </row>
    <row r="68" spans="1:4" x14ac:dyDescent="0.3">
      <c r="A68" s="25">
        <v>67</v>
      </c>
      <c r="B68" s="25">
        <f>LARGE(Data!$J$2:$J$2379,A68)</f>
        <v>1820</v>
      </c>
      <c r="C68" s="25">
        <f t="shared" si="1"/>
        <v>140830</v>
      </c>
      <c r="D68" s="28">
        <f>C68/SUM(Data!$J$2:$J$2379)</f>
        <v>0.11549160404003293</v>
      </c>
    </row>
    <row r="69" spans="1:4" x14ac:dyDescent="0.3">
      <c r="A69" s="25">
        <v>68</v>
      </c>
      <c r="B69" s="25">
        <f>LARGE(Data!$J$2:$J$2379,A69)</f>
        <v>1820</v>
      </c>
      <c r="C69" s="25">
        <f t="shared" si="1"/>
        <v>142650</v>
      </c>
      <c r="D69" s="28">
        <f>C69/SUM(Data!$J$2:$J$2379)</f>
        <v>0.11698414624945465</v>
      </c>
    </row>
    <row r="70" spans="1:4" x14ac:dyDescent="0.3">
      <c r="A70" s="25">
        <v>69</v>
      </c>
      <c r="B70" s="25">
        <f>LARGE(Data!$J$2:$J$2379,A70)</f>
        <v>1820</v>
      </c>
      <c r="C70" s="25">
        <f t="shared" si="1"/>
        <v>144470</v>
      </c>
      <c r="D70" s="28">
        <f>C70/SUM(Data!$J$2:$J$2379)</f>
        <v>0.11847668845887636</v>
      </c>
    </row>
    <row r="71" spans="1:4" x14ac:dyDescent="0.3">
      <c r="A71" s="25">
        <v>70</v>
      </c>
      <c r="B71" s="25">
        <f>LARGE(Data!$J$2:$J$2379,A71)</f>
        <v>1820</v>
      </c>
      <c r="C71" s="25">
        <f t="shared" si="1"/>
        <v>146290</v>
      </c>
      <c r="D71" s="28">
        <f>C71/SUM(Data!$J$2:$J$2379)</f>
        <v>0.11996923066829808</v>
      </c>
    </row>
    <row r="72" spans="1:4" x14ac:dyDescent="0.3">
      <c r="A72" s="25">
        <v>71</v>
      </c>
      <c r="B72" s="25">
        <f>LARGE(Data!$J$2:$J$2379,A72)</f>
        <v>1820</v>
      </c>
      <c r="C72" s="25">
        <f t="shared" si="1"/>
        <v>148110</v>
      </c>
      <c r="D72" s="28">
        <f>C72/SUM(Data!$J$2:$J$2379)</f>
        <v>0.1214617728777198</v>
      </c>
    </row>
    <row r="73" spans="1:4" x14ac:dyDescent="0.3">
      <c r="A73" s="25">
        <v>72</v>
      </c>
      <c r="B73" s="25">
        <f>LARGE(Data!$J$2:$J$2379,A73)</f>
        <v>1820</v>
      </c>
      <c r="C73" s="25">
        <f t="shared" si="1"/>
        <v>149930</v>
      </c>
      <c r="D73" s="28">
        <f>C73/SUM(Data!$J$2:$J$2379)</f>
        <v>0.1229543150871415</v>
      </c>
    </row>
    <row r="74" spans="1:4" x14ac:dyDescent="0.3">
      <c r="A74" s="25">
        <v>73</v>
      </c>
      <c r="B74" s="25">
        <f>LARGE(Data!$J$2:$J$2379,A74)</f>
        <v>1820</v>
      </c>
      <c r="C74" s="25">
        <f t="shared" si="1"/>
        <v>151750</v>
      </c>
      <c r="D74" s="28">
        <f>C74/SUM(Data!$J$2:$J$2379)</f>
        <v>0.12444685729656321</v>
      </c>
    </row>
    <row r="75" spans="1:4" x14ac:dyDescent="0.3">
      <c r="A75" s="25">
        <v>74</v>
      </c>
      <c r="B75" s="25">
        <f>LARGE(Data!$J$2:$J$2379,A75)</f>
        <v>1820</v>
      </c>
      <c r="C75" s="25">
        <f t="shared" si="1"/>
        <v>153570</v>
      </c>
      <c r="D75" s="28">
        <f>C75/SUM(Data!$J$2:$J$2379)</f>
        <v>0.12593939950598493</v>
      </c>
    </row>
    <row r="76" spans="1:4" x14ac:dyDescent="0.3">
      <c r="A76" s="25">
        <v>75</v>
      </c>
      <c r="B76" s="25">
        <f>LARGE(Data!$J$2:$J$2379,A76)</f>
        <v>1820</v>
      </c>
      <c r="C76" s="25">
        <f t="shared" si="1"/>
        <v>155390</v>
      </c>
      <c r="D76" s="28">
        <f>C76/SUM(Data!$J$2:$J$2379)</f>
        <v>0.12743194171540664</v>
      </c>
    </row>
    <row r="77" spans="1:4" x14ac:dyDescent="0.3">
      <c r="A77" s="25">
        <v>76</v>
      </c>
      <c r="B77" s="25">
        <f>LARGE(Data!$J$2:$J$2379,A77)</f>
        <v>1750</v>
      </c>
      <c r="C77" s="25">
        <f t="shared" si="1"/>
        <v>157140</v>
      </c>
      <c r="D77" s="28">
        <f>C77/SUM(Data!$J$2:$J$2379)</f>
        <v>0.12886707845523521</v>
      </c>
    </row>
    <row r="78" spans="1:4" x14ac:dyDescent="0.3">
      <c r="A78" s="25">
        <v>77</v>
      </c>
      <c r="B78" s="25">
        <f>LARGE(Data!$J$2:$J$2379,A78)</f>
        <v>1750</v>
      </c>
      <c r="C78" s="25">
        <f t="shared" si="1"/>
        <v>158890</v>
      </c>
      <c r="D78" s="28">
        <f>C78/SUM(Data!$J$2:$J$2379)</f>
        <v>0.1303022151950638</v>
      </c>
    </row>
    <row r="79" spans="1:4" x14ac:dyDescent="0.3">
      <c r="A79" s="25">
        <v>78</v>
      </c>
      <c r="B79" s="25">
        <f>LARGE(Data!$J$2:$J$2379,A79)</f>
        <v>1690</v>
      </c>
      <c r="C79" s="25">
        <f t="shared" si="1"/>
        <v>160580</v>
      </c>
      <c r="D79" s="28">
        <f>C79/SUM(Data!$J$2:$J$2379)</f>
        <v>0.13168814724666966</v>
      </c>
    </row>
    <row r="80" spans="1:4" x14ac:dyDescent="0.3">
      <c r="A80" s="25">
        <v>79</v>
      </c>
      <c r="B80" s="25">
        <f>LARGE(Data!$J$2:$J$2379,A80)</f>
        <v>1690</v>
      </c>
      <c r="C80" s="25">
        <f t="shared" si="1"/>
        <v>162270</v>
      </c>
      <c r="D80" s="28">
        <f>C80/SUM(Data!$J$2:$J$2379)</f>
        <v>0.13307407929827553</v>
      </c>
    </row>
    <row r="81" spans="1:4" x14ac:dyDescent="0.3">
      <c r="A81" s="25">
        <v>80</v>
      </c>
      <c r="B81" s="25">
        <f>LARGE(Data!$J$2:$J$2379,A81)</f>
        <v>1690</v>
      </c>
      <c r="C81" s="25">
        <f t="shared" si="1"/>
        <v>163960</v>
      </c>
      <c r="D81" s="28">
        <f>C81/SUM(Data!$J$2:$J$2379)</f>
        <v>0.13446001134988142</v>
      </c>
    </row>
    <row r="82" spans="1:4" x14ac:dyDescent="0.3">
      <c r="A82" s="25">
        <v>81</v>
      </c>
      <c r="B82" s="25">
        <f>LARGE(Data!$J$2:$J$2379,A82)</f>
        <v>1690</v>
      </c>
      <c r="C82" s="25">
        <f t="shared" si="1"/>
        <v>165650</v>
      </c>
      <c r="D82" s="28">
        <f>C82/SUM(Data!$J$2:$J$2379)</f>
        <v>0.13584594340148728</v>
      </c>
    </row>
    <row r="83" spans="1:4" x14ac:dyDescent="0.3">
      <c r="A83" s="25">
        <v>82</v>
      </c>
      <c r="B83" s="25">
        <f>LARGE(Data!$J$2:$J$2379,A83)</f>
        <v>1690</v>
      </c>
      <c r="C83" s="25">
        <f t="shared" si="1"/>
        <v>167340</v>
      </c>
      <c r="D83" s="28">
        <f>C83/SUM(Data!$J$2:$J$2379)</f>
        <v>0.13723187545309318</v>
      </c>
    </row>
    <row r="84" spans="1:4" x14ac:dyDescent="0.3">
      <c r="A84" s="25">
        <v>83</v>
      </c>
      <c r="B84" s="25">
        <f>LARGE(Data!$J$2:$J$2379,A84)</f>
        <v>1690</v>
      </c>
      <c r="C84" s="25">
        <f t="shared" si="1"/>
        <v>169030</v>
      </c>
      <c r="D84" s="28">
        <f>C84/SUM(Data!$J$2:$J$2379)</f>
        <v>0.13861780750469904</v>
      </c>
    </row>
    <row r="85" spans="1:4" x14ac:dyDescent="0.3">
      <c r="A85" s="25">
        <v>84</v>
      </c>
      <c r="B85" s="25">
        <f>LARGE(Data!$J$2:$J$2379,A85)</f>
        <v>1650</v>
      </c>
      <c r="C85" s="25">
        <f t="shared" si="1"/>
        <v>170680</v>
      </c>
      <c r="D85" s="28">
        <f>C85/SUM(Data!$J$2:$J$2379)</f>
        <v>0.13997093643082312</v>
      </c>
    </row>
    <row r="86" spans="1:4" x14ac:dyDescent="0.3">
      <c r="A86" s="25">
        <v>85</v>
      </c>
      <c r="B86" s="25">
        <f>LARGE(Data!$J$2:$J$2379,A86)</f>
        <v>1560</v>
      </c>
      <c r="C86" s="25">
        <f t="shared" si="1"/>
        <v>172240</v>
      </c>
      <c r="D86" s="28">
        <f>C86/SUM(Data!$J$2:$J$2379)</f>
        <v>0.14125025832461316</v>
      </c>
    </row>
    <row r="87" spans="1:4" x14ac:dyDescent="0.3">
      <c r="A87" s="25">
        <v>86</v>
      </c>
      <c r="B87" s="25">
        <f>LARGE(Data!$J$2:$J$2379,A87)</f>
        <v>1560</v>
      </c>
      <c r="C87" s="25">
        <f t="shared" si="1"/>
        <v>173800</v>
      </c>
      <c r="D87" s="28">
        <f>C87/SUM(Data!$J$2:$J$2379)</f>
        <v>0.1425295802184032</v>
      </c>
    </row>
    <row r="88" spans="1:4" x14ac:dyDescent="0.3">
      <c r="A88" s="25">
        <v>87</v>
      </c>
      <c r="B88" s="25">
        <f>LARGE(Data!$J$2:$J$2379,A88)</f>
        <v>1560</v>
      </c>
      <c r="C88" s="25">
        <f t="shared" si="1"/>
        <v>175360</v>
      </c>
      <c r="D88" s="28">
        <f>C88/SUM(Data!$J$2:$J$2379)</f>
        <v>0.14380890211219324</v>
      </c>
    </row>
    <row r="89" spans="1:4" x14ac:dyDescent="0.3">
      <c r="A89" s="25">
        <v>88</v>
      </c>
      <c r="B89" s="25">
        <f>LARGE(Data!$J$2:$J$2379,A89)</f>
        <v>1560</v>
      </c>
      <c r="C89" s="25">
        <f t="shared" si="1"/>
        <v>176920</v>
      </c>
      <c r="D89" s="28">
        <f>C89/SUM(Data!$J$2:$J$2379)</f>
        <v>0.14508822400598329</v>
      </c>
    </row>
    <row r="90" spans="1:4" x14ac:dyDescent="0.3">
      <c r="A90" s="25">
        <v>89</v>
      </c>
      <c r="B90" s="25">
        <f>LARGE(Data!$J$2:$J$2379,A90)</f>
        <v>1560</v>
      </c>
      <c r="C90" s="25">
        <f t="shared" si="1"/>
        <v>178480</v>
      </c>
      <c r="D90" s="28">
        <f>C90/SUM(Data!$J$2:$J$2379)</f>
        <v>0.14636754589977333</v>
      </c>
    </row>
    <row r="91" spans="1:4" x14ac:dyDescent="0.3">
      <c r="A91" s="25">
        <v>90</v>
      </c>
      <c r="B91" s="25">
        <f>LARGE(Data!$J$2:$J$2379,A91)</f>
        <v>1560</v>
      </c>
      <c r="C91" s="25">
        <f t="shared" si="1"/>
        <v>180040</v>
      </c>
      <c r="D91" s="28">
        <f>C91/SUM(Data!$J$2:$J$2379)</f>
        <v>0.14764686779356337</v>
      </c>
    </row>
    <row r="92" spans="1:4" x14ac:dyDescent="0.3">
      <c r="A92" s="25">
        <v>91</v>
      </c>
      <c r="B92" s="25">
        <f>LARGE(Data!$J$2:$J$2379,A92)</f>
        <v>1560</v>
      </c>
      <c r="C92" s="25">
        <f t="shared" si="1"/>
        <v>181600</v>
      </c>
      <c r="D92" s="28">
        <f>C92/SUM(Data!$J$2:$J$2379)</f>
        <v>0.14892618968735341</v>
      </c>
    </row>
    <row r="93" spans="1:4" x14ac:dyDescent="0.3">
      <c r="A93" s="25">
        <v>92</v>
      </c>
      <c r="B93" s="25">
        <f>LARGE(Data!$J$2:$J$2379,A93)</f>
        <v>1560</v>
      </c>
      <c r="C93" s="25">
        <f t="shared" si="1"/>
        <v>183160</v>
      </c>
      <c r="D93" s="28">
        <f>C93/SUM(Data!$J$2:$J$2379)</f>
        <v>0.15020551158114345</v>
      </c>
    </row>
    <row r="94" spans="1:4" x14ac:dyDescent="0.3">
      <c r="A94" s="25">
        <v>93</v>
      </c>
      <c r="B94" s="25">
        <f>LARGE(Data!$J$2:$J$2379,A94)</f>
        <v>1560</v>
      </c>
      <c r="C94" s="25">
        <f t="shared" si="1"/>
        <v>184720</v>
      </c>
      <c r="D94" s="28">
        <f>C94/SUM(Data!$J$2:$J$2379)</f>
        <v>0.15148483347493349</v>
      </c>
    </row>
    <row r="95" spans="1:4" x14ac:dyDescent="0.3">
      <c r="A95" s="25">
        <v>94</v>
      </c>
      <c r="B95" s="25">
        <f>LARGE(Data!$J$2:$J$2379,A95)</f>
        <v>1560</v>
      </c>
      <c r="C95" s="25">
        <f t="shared" si="1"/>
        <v>186280</v>
      </c>
      <c r="D95" s="28">
        <f>C95/SUM(Data!$J$2:$J$2379)</f>
        <v>0.15276415536872354</v>
      </c>
    </row>
    <row r="96" spans="1:4" x14ac:dyDescent="0.3">
      <c r="A96" s="25">
        <v>95</v>
      </c>
      <c r="B96" s="25">
        <f>LARGE(Data!$J$2:$J$2379,A96)</f>
        <v>1560</v>
      </c>
      <c r="C96" s="25">
        <f t="shared" si="1"/>
        <v>187840</v>
      </c>
      <c r="D96" s="28">
        <f>C96/SUM(Data!$J$2:$J$2379)</f>
        <v>0.15404347726251358</v>
      </c>
    </row>
    <row r="97" spans="1:4" x14ac:dyDescent="0.3">
      <c r="A97" s="25">
        <v>96</v>
      </c>
      <c r="B97" s="25">
        <f>LARGE(Data!$J$2:$J$2379,A97)</f>
        <v>1500</v>
      </c>
      <c r="C97" s="25">
        <f t="shared" si="1"/>
        <v>189340</v>
      </c>
      <c r="D97" s="28">
        <f>C97/SUM(Data!$J$2:$J$2379)</f>
        <v>0.15527359446808092</v>
      </c>
    </row>
    <row r="98" spans="1:4" x14ac:dyDescent="0.3">
      <c r="A98" s="25">
        <v>97</v>
      </c>
      <c r="B98" s="25">
        <f>LARGE(Data!$J$2:$J$2379,A98)</f>
        <v>1500</v>
      </c>
      <c r="C98" s="25">
        <f t="shared" si="1"/>
        <v>190840</v>
      </c>
      <c r="D98" s="28">
        <f>C98/SUM(Data!$J$2:$J$2379)</f>
        <v>0.15650371167364827</v>
      </c>
    </row>
    <row r="99" spans="1:4" x14ac:dyDescent="0.3">
      <c r="A99" s="25">
        <v>98</v>
      </c>
      <c r="B99" s="25">
        <f>LARGE(Data!$J$2:$J$2379,A99)</f>
        <v>1500</v>
      </c>
      <c r="C99" s="25">
        <f t="shared" si="1"/>
        <v>192340</v>
      </c>
      <c r="D99" s="28">
        <f>C99/SUM(Data!$J$2:$J$2379)</f>
        <v>0.15773382887921561</v>
      </c>
    </row>
    <row r="100" spans="1:4" x14ac:dyDescent="0.3">
      <c r="A100" s="25">
        <v>99</v>
      </c>
      <c r="B100" s="25">
        <f>LARGE(Data!$J$2:$J$2379,A100)</f>
        <v>1500</v>
      </c>
      <c r="C100" s="25">
        <f t="shared" si="1"/>
        <v>193840</v>
      </c>
      <c r="D100" s="28">
        <f>C100/SUM(Data!$J$2:$J$2379)</f>
        <v>0.15896394608478295</v>
      </c>
    </row>
    <row r="101" spans="1:4" x14ac:dyDescent="0.3">
      <c r="A101" s="25">
        <v>100</v>
      </c>
      <c r="B101" s="25">
        <f>LARGE(Data!$J$2:$J$2379,A101)</f>
        <v>1430</v>
      </c>
      <c r="C101" s="25">
        <f t="shared" si="1"/>
        <v>195270</v>
      </c>
      <c r="D101" s="28">
        <f>C101/SUM(Data!$J$2:$J$2379)</f>
        <v>0.16013665782075717</v>
      </c>
    </row>
    <row r="102" spans="1:4" x14ac:dyDescent="0.3">
      <c r="A102" s="25">
        <v>101</v>
      </c>
      <c r="B102" s="25">
        <f>LARGE(Data!$J$2:$J$2379,A102)</f>
        <v>1430</v>
      </c>
      <c r="C102" s="25">
        <f t="shared" si="1"/>
        <v>196700</v>
      </c>
      <c r="D102" s="28">
        <f>C102/SUM(Data!$J$2:$J$2379)</f>
        <v>0.16130936955673136</v>
      </c>
    </row>
    <row r="103" spans="1:4" x14ac:dyDescent="0.3">
      <c r="A103" s="25">
        <v>102</v>
      </c>
      <c r="B103" s="25">
        <f>LARGE(Data!$J$2:$J$2379,A103)</f>
        <v>1430</v>
      </c>
      <c r="C103" s="25">
        <f t="shared" si="1"/>
        <v>198130</v>
      </c>
      <c r="D103" s="28">
        <f>C103/SUM(Data!$J$2:$J$2379)</f>
        <v>0.16248208129270558</v>
      </c>
    </row>
    <row r="104" spans="1:4" x14ac:dyDescent="0.3">
      <c r="A104" s="25">
        <v>103</v>
      </c>
      <c r="B104" s="25">
        <f>LARGE(Data!$J$2:$J$2379,A104)</f>
        <v>1430</v>
      </c>
      <c r="C104" s="25">
        <f t="shared" si="1"/>
        <v>199560</v>
      </c>
      <c r="D104" s="28">
        <f>C104/SUM(Data!$J$2:$J$2379)</f>
        <v>0.16365479302867977</v>
      </c>
    </row>
    <row r="105" spans="1:4" x14ac:dyDescent="0.3">
      <c r="A105" s="25">
        <v>104</v>
      </c>
      <c r="B105" s="25">
        <f>LARGE(Data!$J$2:$J$2379,A105)</f>
        <v>1350</v>
      </c>
      <c r="C105" s="25">
        <f t="shared" si="1"/>
        <v>200910</v>
      </c>
      <c r="D105" s="28">
        <f>C105/SUM(Data!$J$2:$J$2379)</f>
        <v>0.16476189851369039</v>
      </c>
    </row>
    <row r="106" spans="1:4" x14ac:dyDescent="0.3">
      <c r="A106" s="25">
        <v>105</v>
      </c>
      <c r="B106" s="25">
        <f>LARGE(Data!$J$2:$J$2379,A106)</f>
        <v>1300</v>
      </c>
      <c r="C106" s="25">
        <f t="shared" si="1"/>
        <v>202210</v>
      </c>
      <c r="D106" s="28">
        <f>C106/SUM(Data!$J$2:$J$2379)</f>
        <v>0.16582800009184875</v>
      </c>
    </row>
    <row r="107" spans="1:4" x14ac:dyDescent="0.3">
      <c r="A107" s="25">
        <v>106</v>
      </c>
      <c r="B107" s="25">
        <f>LARGE(Data!$J$2:$J$2379,A107)</f>
        <v>1300</v>
      </c>
      <c r="C107" s="25">
        <f t="shared" si="1"/>
        <v>203510</v>
      </c>
      <c r="D107" s="28">
        <f>C107/SUM(Data!$J$2:$J$2379)</f>
        <v>0.16689410167000712</v>
      </c>
    </row>
    <row r="108" spans="1:4" x14ac:dyDescent="0.3">
      <c r="A108" s="25">
        <v>107</v>
      </c>
      <c r="B108" s="25">
        <f>LARGE(Data!$J$2:$J$2379,A108)</f>
        <v>1300</v>
      </c>
      <c r="C108" s="25">
        <f t="shared" si="1"/>
        <v>204810</v>
      </c>
      <c r="D108" s="28">
        <f>C108/SUM(Data!$J$2:$J$2379)</f>
        <v>0.16796020324816549</v>
      </c>
    </row>
    <row r="109" spans="1:4" x14ac:dyDescent="0.3">
      <c r="A109" s="25">
        <v>108</v>
      </c>
      <c r="B109" s="25">
        <f>LARGE(Data!$J$2:$J$2379,A109)</f>
        <v>1300</v>
      </c>
      <c r="C109" s="25">
        <f t="shared" si="1"/>
        <v>206110</v>
      </c>
      <c r="D109" s="28">
        <f>C109/SUM(Data!$J$2:$J$2379)</f>
        <v>0.16902630482632386</v>
      </c>
    </row>
    <row r="110" spans="1:4" x14ac:dyDescent="0.3">
      <c r="A110" s="25">
        <v>109</v>
      </c>
      <c r="B110" s="25">
        <f>LARGE(Data!$J$2:$J$2379,A110)</f>
        <v>1300</v>
      </c>
      <c r="C110" s="25">
        <f t="shared" si="1"/>
        <v>207410</v>
      </c>
      <c r="D110" s="28">
        <f>C110/SUM(Data!$J$2:$J$2379)</f>
        <v>0.17009240640448223</v>
      </c>
    </row>
    <row r="111" spans="1:4" x14ac:dyDescent="0.3">
      <c r="A111" s="25">
        <v>110</v>
      </c>
      <c r="B111" s="25">
        <f>LARGE(Data!$J$2:$J$2379,A111)</f>
        <v>1300</v>
      </c>
      <c r="C111" s="25">
        <f t="shared" si="1"/>
        <v>208710</v>
      </c>
      <c r="D111" s="28">
        <f>C111/SUM(Data!$J$2:$J$2379)</f>
        <v>0.1711585079826406</v>
      </c>
    </row>
    <row r="112" spans="1:4" x14ac:dyDescent="0.3">
      <c r="A112" s="25">
        <v>111</v>
      </c>
      <c r="B112" s="25">
        <f>LARGE(Data!$J$2:$J$2379,A112)</f>
        <v>1300</v>
      </c>
      <c r="C112" s="25">
        <f t="shared" si="1"/>
        <v>210010</v>
      </c>
      <c r="D112" s="28">
        <f>C112/SUM(Data!$J$2:$J$2379)</f>
        <v>0.17222460956079896</v>
      </c>
    </row>
    <row r="113" spans="1:4" x14ac:dyDescent="0.3">
      <c r="A113" s="25">
        <v>112</v>
      </c>
      <c r="B113" s="25">
        <f>LARGE(Data!$J$2:$J$2379,A113)</f>
        <v>1300</v>
      </c>
      <c r="C113" s="25">
        <f t="shared" si="1"/>
        <v>211310</v>
      </c>
      <c r="D113" s="28">
        <f>C113/SUM(Data!$J$2:$J$2379)</f>
        <v>0.17329071113895733</v>
      </c>
    </row>
    <row r="114" spans="1:4" x14ac:dyDescent="0.3">
      <c r="A114" s="25">
        <v>113</v>
      </c>
      <c r="B114" s="25">
        <f>LARGE(Data!$J$2:$J$2379,A114)</f>
        <v>1300</v>
      </c>
      <c r="C114" s="25">
        <f t="shared" si="1"/>
        <v>212610</v>
      </c>
      <c r="D114" s="28">
        <f>C114/SUM(Data!$J$2:$J$2379)</f>
        <v>0.1743568127171157</v>
      </c>
    </row>
    <row r="115" spans="1:4" x14ac:dyDescent="0.3">
      <c r="A115" s="25">
        <v>114</v>
      </c>
      <c r="B115" s="25">
        <f>LARGE(Data!$J$2:$J$2379,A115)</f>
        <v>1300</v>
      </c>
      <c r="C115" s="25">
        <f t="shared" si="1"/>
        <v>213910</v>
      </c>
      <c r="D115" s="28">
        <f>C115/SUM(Data!$J$2:$J$2379)</f>
        <v>0.17542291429527404</v>
      </c>
    </row>
    <row r="116" spans="1:4" x14ac:dyDescent="0.3">
      <c r="A116" s="25">
        <v>115</v>
      </c>
      <c r="B116" s="25">
        <f>LARGE(Data!$J$2:$J$2379,A116)</f>
        <v>1300</v>
      </c>
      <c r="C116" s="25">
        <f t="shared" si="1"/>
        <v>215210</v>
      </c>
      <c r="D116" s="28">
        <f>C116/SUM(Data!$J$2:$J$2379)</f>
        <v>0.17648901587343241</v>
      </c>
    </row>
    <row r="117" spans="1:4" x14ac:dyDescent="0.3">
      <c r="A117" s="25">
        <v>116</v>
      </c>
      <c r="B117" s="25">
        <f>LARGE(Data!$J$2:$J$2379,A117)</f>
        <v>1300</v>
      </c>
      <c r="C117" s="25">
        <f t="shared" si="1"/>
        <v>216510</v>
      </c>
      <c r="D117" s="28">
        <f>C117/SUM(Data!$J$2:$J$2379)</f>
        <v>0.17755511745159078</v>
      </c>
    </row>
    <row r="118" spans="1:4" x14ac:dyDescent="0.3">
      <c r="A118" s="25">
        <v>117</v>
      </c>
      <c r="B118" s="25">
        <f>LARGE(Data!$J$2:$J$2379,A118)</f>
        <v>1300</v>
      </c>
      <c r="C118" s="25">
        <f t="shared" si="1"/>
        <v>217810</v>
      </c>
      <c r="D118" s="28">
        <f>C118/SUM(Data!$J$2:$J$2379)</f>
        <v>0.17862121902974915</v>
      </c>
    </row>
    <row r="119" spans="1:4" x14ac:dyDescent="0.3">
      <c r="A119" s="25">
        <v>118</v>
      </c>
      <c r="B119" s="25">
        <f>LARGE(Data!$J$2:$J$2379,A119)</f>
        <v>1300</v>
      </c>
      <c r="C119" s="25">
        <f t="shared" si="1"/>
        <v>219110</v>
      </c>
      <c r="D119" s="28">
        <f>C119/SUM(Data!$J$2:$J$2379)</f>
        <v>0.17968732060790751</v>
      </c>
    </row>
    <row r="120" spans="1:4" x14ac:dyDescent="0.3">
      <c r="A120" s="25">
        <v>119</v>
      </c>
      <c r="B120" s="25">
        <f>LARGE(Data!$J$2:$J$2379,A120)</f>
        <v>1300</v>
      </c>
      <c r="C120" s="25">
        <f t="shared" si="1"/>
        <v>220410</v>
      </c>
      <c r="D120" s="28">
        <f>C120/SUM(Data!$J$2:$J$2379)</f>
        <v>0.18075342218606588</v>
      </c>
    </row>
    <row r="121" spans="1:4" x14ac:dyDescent="0.3">
      <c r="A121" s="25">
        <v>120</v>
      </c>
      <c r="B121" s="25">
        <f>LARGE(Data!$J$2:$J$2379,A121)</f>
        <v>1300</v>
      </c>
      <c r="C121" s="25">
        <f t="shared" si="1"/>
        <v>221710</v>
      </c>
      <c r="D121" s="28">
        <f>C121/SUM(Data!$J$2:$J$2379)</f>
        <v>0.18181952376422425</v>
      </c>
    </row>
    <row r="122" spans="1:4" x14ac:dyDescent="0.3">
      <c r="A122" s="25">
        <v>121</v>
      </c>
      <c r="B122" s="25">
        <f>LARGE(Data!$J$2:$J$2379,A122)</f>
        <v>1300</v>
      </c>
      <c r="C122" s="25">
        <f t="shared" si="1"/>
        <v>223010</v>
      </c>
      <c r="D122" s="28">
        <f>C122/SUM(Data!$J$2:$J$2379)</f>
        <v>0.18288562534238262</v>
      </c>
    </row>
    <row r="123" spans="1:4" x14ac:dyDescent="0.3">
      <c r="A123" s="25">
        <v>122</v>
      </c>
      <c r="B123" s="25">
        <f>LARGE(Data!$J$2:$J$2379,A123)</f>
        <v>1300</v>
      </c>
      <c r="C123" s="25">
        <f t="shared" si="1"/>
        <v>224310</v>
      </c>
      <c r="D123" s="28">
        <f>C123/SUM(Data!$J$2:$J$2379)</f>
        <v>0.18395172692054099</v>
      </c>
    </row>
    <row r="124" spans="1:4" x14ac:dyDescent="0.3">
      <c r="A124" s="25">
        <v>123</v>
      </c>
      <c r="B124" s="25">
        <f>LARGE(Data!$J$2:$J$2379,A124)</f>
        <v>1300</v>
      </c>
      <c r="C124" s="25">
        <f t="shared" si="1"/>
        <v>225610</v>
      </c>
      <c r="D124" s="28">
        <f>C124/SUM(Data!$J$2:$J$2379)</f>
        <v>0.18501782849869935</v>
      </c>
    </row>
    <row r="125" spans="1:4" x14ac:dyDescent="0.3">
      <c r="A125" s="25">
        <v>124</v>
      </c>
      <c r="B125" s="25">
        <f>LARGE(Data!$J$2:$J$2379,A125)</f>
        <v>1300</v>
      </c>
      <c r="C125" s="25">
        <f t="shared" si="1"/>
        <v>226910</v>
      </c>
      <c r="D125" s="28">
        <f>C125/SUM(Data!$J$2:$J$2379)</f>
        <v>0.18608393007685772</v>
      </c>
    </row>
    <row r="126" spans="1:4" x14ac:dyDescent="0.3">
      <c r="A126" s="25">
        <v>125</v>
      </c>
      <c r="B126" s="25">
        <f>LARGE(Data!$J$2:$J$2379,A126)</f>
        <v>1300</v>
      </c>
      <c r="C126" s="25">
        <f t="shared" si="1"/>
        <v>228210</v>
      </c>
      <c r="D126" s="28">
        <f>C126/SUM(Data!$J$2:$J$2379)</f>
        <v>0.18715003165501609</v>
      </c>
    </row>
    <row r="127" spans="1:4" x14ac:dyDescent="0.3">
      <c r="A127" s="25">
        <v>126</v>
      </c>
      <c r="B127" s="25">
        <f>LARGE(Data!$J$2:$J$2379,A127)</f>
        <v>1300</v>
      </c>
      <c r="C127" s="25">
        <f t="shared" si="1"/>
        <v>229510</v>
      </c>
      <c r="D127" s="28">
        <f>C127/SUM(Data!$J$2:$J$2379)</f>
        <v>0.18821613323317446</v>
      </c>
    </row>
    <row r="128" spans="1:4" x14ac:dyDescent="0.3">
      <c r="A128" s="25">
        <v>127</v>
      </c>
      <c r="B128" s="25">
        <f>LARGE(Data!$J$2:$J$2379,A128)</f>
        <v>1300</v>
      </c>
      <c r="C128" s="25">
        <f t="shared" si="1"/>
        <v>230810</v>
      </c>
      <c r="D128" s="28">
        <f>C128/SUM(Data!$J$2:$J$2379)</f>
        <v>0.18928223481133283</v>
      </c>
    </row>
    <row r="129" spans="1:4" x14ac:dyDescent="0.3">
      <c r="A129" s="25">
        <v>128</v>
      </c>
      <c r="B129" s="25">
        <f>LARGE(Data!$J$2:$J$2379,A129)</f>
        <v>1300</v>
      </c>
      <c r="C129" s="25">
        <f t="shared" si="1"/>
        <v>232110</v>
      </c>
      <c r="D129" s="28">
        <f>C129/SUM(Data!$J$2:$J$2379)</f>
        <v>0.1903483363894912</v>
      </c>
    </row>
    <row r="130" spans="1:4" x14ac:dyDescent="0.3">
      <c r="A130" s="25">
        <v>129</v>
      </c>
      <c r="B130" s="25">
        <f>LARGE(Data!$J$2:$J$2379,A130)</f>
        <v>1300</v>
      </c>
      <c r="C130" s="25">
        <f t="shared" si="1"/>
        <v>233410</v>
      </c>
      <c r="D130" s="28">
        <f>C130/SUM(Data!$J$2:$J$2379)</f>
        <v>0.19141443796764956</v>
      </c>
    </row>
    <row r="131" spans="1:4" x14ac:dyDescent="0.3">
      <c r="A131" s="25">
        <v>130</v>
      </c>
      <c r="B131" s="25">
        <f>LARGE(Data!$J$2:$J$2379,A131)</f>
        <v>1300</v>
      </c>
      <c r="C131" s="25">
        <f t="shared" ref="C131:C194" si="2">C130+B131</f>
        <v>234710</v>
      </c>
      <c r="D131" s="28">
        <f>C131/SUM(Data!$J$2:$J$2379)</f>
        <v>0.19248053954580793</v>
      </c>
    </row>
    <row r="132" spans="1:4" x14ac:dyDescent="0.3">
      <c r="A132" s="25">
        <v>131</v>
      </c>
      <c r="B132" s="25">
        <f>LARGE(Data!$J$2:$J$2379,A132)</f>
        <v>1300</v>
      </c>
      <c r="C132" s="25">
        <f t="shared" si="2"/>
        <v>236010</v>
      </c>
      <c r="D132" s="28">
        <f>C132/SUM(Data!$J$2:$J$2379)</f>
        <v>0.1935466411239663</v>
      </c>
    </row>
    <row r="133" spans="1:4" x14ac:dyDescent="0.3">
      <c r="A133" s="25">
        <v>132</v>
      </c>
      <c r="B133" s="25">
        <f>LARGE(Data!$J$2:$J$2379,A133)</f>
        <v>1300</v>
      </c>
      <c r="C133" s="25">
        <f t="shared" si="2"/>
        <v>237310</v>
      </c>
      <c r="D133" s="28">
        <f>C133/SUM(Data!$J$2:$J$2379)</f>
        <v>0.19461274270212467</v>
      </c>
    </row>
    <row r="134" spans="1:4" x14ac:dyDescent="0.3">
      <c r="A134" s="25">
        <v>133</v>
      </c>
      <c r="B134" s="25">
        <f>LARGE(Data!$J$2:$J$2379,A134)</f>
        <v>1300</v>
      </c>
      <c r="C134" s="25">
        <f t="shared" si="2"/>
        <v>238610</v>
      </c>
      <c r="D134" s="28">
        <f>C134/SUM(Data!$J$2:$J$2379)</f>
        <v>0.19567884428028304</v>
      </c>
    </row>
    <row r="135" spans="1:4" x14ac:dyDescent="0.3">
      <c r="A135" s="25">
        <v>134</v>
      </c>
      <c r="B135" s="25">
        <f>LARGE(Data!$J$2:$J$2379,A135)</f>
        <v>1250</v>
      </c>
      <c r="C135" s="25">
        <f t="shared" si="2"/>
        <v>239860</v>
      </c>
      <c r="D135" s="28">
        <f>C135/SUM(Data!$J$2:$J$2379)</f>
        <v>0.19670394195158913</v>
      </c>
    </row>
    <row r="136" spans="1:4" x14ac:dyDescent="0.3">
      <c r="A136" s="25">
        <v>135</v>
      </c>
      <c r="B136" s="25">
        <f>LARGE(Data!$J$2:$J$2379,A136)</f>
        <v>1250</v>
      </c>
      <c r="C136" s="25">
        <f t="shared" si="2"/>
        <v>241110</v>
      </c>
      <c r="D136" s="28">
        <f>C136/SUM(Data!$J$2:$J$2379)</f>
        <v>0.19772903962289526</v>
      </c>
    </row>
    <row r="137" spans="1:4" x14ac:dyDescent="0.3">
      <c r="A137" s="25">
        <v>136</v>
      </c>
      <c r="B137" s="25">
        <f>LARGE(Data!$J$2:$J$2379,A137)</f>
        <v>1250</v>
      </c>
      <c r="C137" s="25">
        <f t="shared" si="2"/>
        <v>242360</v>
      </c>
      <c r="D137" s="28">
        <f>C137/SUM(Data!$J$2:$J$2379)</f>
        <v>0.19875413729420138</v>
      </c>
    </row>
    <row r="138" spans="1:4" x14ac:dyDescent="0.3">
      <c r="A138" s="25">
        <v>137</v>
      </c>
      <c r="B138" s="25">
        <f>LARGE(Data!$J$2:$J$2379,A138)</f>
        <v>1250</v>
      </c>
      <c r="C138" s="25">
        <f t="shared" si="2"/>
        <v>243610</v>
      </c>
      <c r="D138" s="28">
        <f>C138/SUM(Data!$J$2:$J$2379)</f>
        <v>0.19977923496550751</v>
      </c>
    </row>
    <row r="139" spans="1:4" x14ac:dyDescent="0.3">
      <c r="A139" s="25">
        <v>138</v>
      </c>
      <c r="B139" s="25">
        <f>LARGE(Data!$J$2:$J$2379,A139)</f>
        <v>1250</v>
      </c>
      <c r="C139" s="25">
        <f t="shared" si="2"/>
        <v>244860</v>
      </c>
      <c r="D139" s="28">
        <f>C139/SUM(Data!$J$2:$J$2379)</f>
        <v>0.20080433263681363</v>
      </c>
    </row>
    <row r="140" spans="1:4" x14ac:dyDescent="0.3">
      <c r="A140" s="25">
        <v>139</v>
      </c>
      <c r="B140" s="25">
        <f>LARGE(Data!$J$2:$J$2379,A140)</f>
        <v>1250</v>
      </c>
      <c r="C140" s="25">
        <f t="shared" si="2"/>
        <v>246110</v>
      </c>
      <c r="D140" s="28">
        <f>C140/SUM(Data!$J$2:$J$2379)</f>
        <v>0.20182943030811976</v>
      </c>
    </row>
    <row r="141" spans="1:4" x14ac:dyDescent="0.3">
      <c r="A141" s="25">
        <v>140</v>
      </c>
      <c r="B141" s="25">
        <f>LARGE(Data!$J$2:$J$2379,A141)</f>
        <v>1250</v>
      </c>
      <c r="C141" s="25">
        <f t="shared" si="2"/>
        <v>247360</v>
      </c>
      <c r="D141" s="28">
        <f>C141/SUM(Data!$J$2:$J$2379)</f>
        <v>0.20285452797942588</v>
      </c>
    </row>
    <row r="142" spans="1:4" x14ac:dyDescent="0.3">
      <c r="A142" s="25">
        <v>141</v>
      </c>
      <c r="B142" s="25">
        <f>LARGE(Data!$J$2:$J$2379,A142)</f>
        <v>1250</v>
      </c>
      <c r="C142" s="25">
        <f t="shared" si="2"/>
        <v>248610</v>
      </c>
      <c r="D142" s="28">
        <f>C142/SUM(Data!$J$2:$J$2379)</f>
        <v>0.203879625650732</v>
      </c>
    </row>
    <row r="143" spans="1:4" x14ac:dyDescent="0.3">
      <c r="A143" s="25">
        <v>142</v>
      </c>
      <c r="B143" s="25">
        <f>LARGE(Data!$J$2:$J$2379,A143)</f>
        <v>1250</v>
      </c>
      <c r="C143" s="25">
        <f t="shared" si="2"/>
        <v>249860</v>
      </c>
      <c r="D143" s="28">
        <f>C143/SUM(Data!$J$2:$J$2379)</f>
        <v>0.20490472332203813</v>
      </c>
    </row>
    <row r="144" spans="1:4" x14ac:dyDescent="0.3">
      <c r="A144" s="25">
        <v>143</v>
      </c>
      <c r="B144" s="25">
        <f>LARGE(Data!$J$2:$J$2379,A144)</f>
        <v>1250</v>
      </c>
      <c r="C144" s="25">
        <f t="shared" si="2"/>
        <v>251110</v>
      </c>
      <c r="D144" s="28">
        <f>C144/SUM(Data!$J$2:$J$2379)</f>
        <v>0.20592982099334425</v>
      </c>
    </row>
    <row r="145" spans="1:4" x14ac:dyDescent="0.3">
      <c r="A145" s="25">
        <v>144</v>
      </c>
      <c r="B145" s="25">
        <f>LARGE(Data!$J$2:$J$2379,A145)</f>
        <v>1170</v>
      </c>
      <c r="C145" s="25">
        <f t="shared" si="2"/>
        <v>252280</v>
      </c>
      <c r="D145" s="28">
        <f>C145/SUM(Data!$J$2:$J$2379)</f>
        <v>0.20688931241368677</v>
      </c>
    </row>
    <row r="146" spans="1:4" x14ac:dyDescent="0.3">
      <c r="A146" s="25">
        <v>145</v>
      </c>
      <c r="B146" s="25">
        <f>LARGE(Data!$J$2:$J$2379,A146)</f>
        <v>1170</v>
      </c>
      <c r="C146" s="25">
        <f t="shared" si="2"/>
        <v>253450</v>
      </c>
      <c r="D146" s="28">
        <f>C146/SUM(Data!$J$2:$J$2379)</f>
        <v>0.20784880383402932</v>
      </c>
    </row>
    <row r="147" spans="1:4" x14ac:dyDescent="0.3">
      <c r="A147" s="25">
        <v>146</v>
      </c>
      <c r="B147" s="25">
        <f>LARGE(Data!$J$2:$J$2379,A147)</f>
        <v>1170</v>
      </c>
      <c r="C147" s="25">
        <f t="shared" si="2"/>
        <v>254620</v>
      </c>
      <c r="D147" s="28">
        <f>C147/SUM(Data!$J$2:$J$2379)</f>
        <v>0.20880829525437183</v>
      </c>
    </row>
    <row r="148" spans="1:4" x14ac:dyDescent="0.3">
      <c r="A148" s="25">
        <v>147</v>
      </c>
      <c r="B148" s="25">
        <f>LARGE(Data!$J$2:$J$2379,A148)</f>
        <v>1170</v>
      </c>
      <c r="C148" s="25">
        <f t="shared" si="2"/>
        <v>255790</v>
      </c>
      <c r="D148" s="28">
        <f>C148/SUM(Data!$J$2:$J$2379)</f>
        <v>0.20976778667471438</v>
      </c>
    </row>
    <row r="149" spans="1:4" x14ac:dyDescent="0.3">
      <c r="A149" s="25">
        <v>148</v>
      </c>
      <c r="B149" s="25">
        <f>LARGE(Data!$J$2:$J$2379,A149)</f>
        <v>1170</v>
      </c>
      <c r="C149" s="25">
        <f t="shared" si="2"/>
        <v>256960</v>
      </c>
      <c r="D149" s="28">
        <f>C149/SUM(Data!$J$2:$J$2379)</f>
        <v>0.2107272780950569</v>
      </c>
    </row>
    <row r="150" spans="1:4" x14ac:dyDescent="0.3">
      <c r="A150" s="25">
        <v>149</v>
      </c>
      <c r="B150" s="25">
        <f>LARGE(Data!$J$2:$J$2379,A150)</f>
        <v>1170</v>
      </c>
      <c r="C150" s="25">
        <f t="shared" si="2"/>
        <v>258130</v>
      </c>
      <c r="D150" s="28">
        <f>C150/SUM(Data!$J$2:$J$2379)</f>
        <v>0.21168676951539941</v>
      </c>
    </row>
    <row r="151" spans="1:4" x14ac:dyDescent="0.3">
      <c r="A151" s="25">
        <v>150</v>
      </c>
      <c r="B151" s="25">
        <f>LARGE(Data!$J$2:$J$2379,A151)</f>
        <v>1170</v>
      </c>
      <c r="C151" s="25">
        <f t="shared" si="2"/>
        <v>259300</v>
      </c>
      <c r="D151" s="28">
        <f>C151/SUM(Data!$J$2:$J$2379)</f>
        <v>0.21264626093574196</v>
      </c>
    </row>
    <row r="152" spans="1:4" x14ac:dyDescent="0.3">
      <c r="A152" s="25">
        <v>151</v>
      </c>
      <c r="B152" s="25">
        <f>LARGE(Data!$J$2:$J$2379,A152)</f>
        <v>1170</v>
      </c>
      <c r="C152" s="25">
        <f t="shared" si="2"/>
        <v>260470</v>
      </c>
      <c r="D152" s="28">
        <f>C152/SUM(Data!$J$2:$J$2379)</f>
        <v>0.21360575235608448</v>
      </c>
    </row>
    <row r="153" spans="1:4" x14ac:dyDescent="0.3">
      <c r="A153" s="25">
        <v>152</v>
      </c>
      <c r="B153" s="25">
        <f>LARGE(Data!$J$2:$J$2379,A153)</f>
        <v>1170</v>
      </c>
      <c r="C153" s="25">
        <f t="shared" si="2"/>
        <v>261640</v>
      </c>
      <c r="D153" s="28">
        <f>C153/SUM(Data!$J$2:$J$2379)</f>
        <v>0.21456524377642702</v>
      </c>
    </row>
    <row r="154" spans="1:4" x14ac:dyDescent="0.3">
      <c r="A154" s="25">
        <v>153</v>
      </c>
      <c r="B154" s="25">
        <f>LARGE(Data!$J$2:$J$2379,A154)</f>
        <v>1170</v>
      </c>
      <c r="C154" s="25">
        <f t="shared" si="2"/>
        <v>262810</v>
      </c>
      <c r="D154" s="28">
        <f>C154/SUM(Data!$J$2:$J$2379)</f>
        <v>0.21552473519676954</v>
      </c>
    </row>
    <row r="155" spans="1:4" x14ac:dyDescent="0.3">
      <c r="A155" s="25">
        <v>154</v>
      </c>
      <c r="B155" s="25">
        <f>LARGE(Data!$J$2:$J$2379,A155)</f>
        <v>1170</v>
      </c>
      <c r="C155" s="25">
        <f t="shared" si="2"/>
        <v>263980</v>
      </c>
      <c r="D155" s="28">
        <f>C155/SUM(Data!$J$2:$J$2379)</f>
        <v>0.21648422661711209</v>
      </c>
    </row>
    <row r="156" spans="1:4" x14ac:dyDescent="0.3">
      <c r="A156" s="25">
        <v>155</v>
      </c>
      <c r="B156" s="25">
        <f>LARGE(Data!$J$2:$J$2379,A156)</f>
        <v>1170</v>
      </c>
      <c r="C156" s="25">
        <f t="shared" si="2"/>
        <v>265150</v>
      </c>
      <c r="D156" s="28">
        <f>C156/SUM(Data!$J$2:$J$2379)</f>
        <v>0.2174437180374546</v>
      </c>
    </row>
    <row r="157" spans="1:4" x14ac:dyDescent="0.3">
      <c r="A157" s="25">
        <v>156</v>
      </c>
      <c r="B157" s="25">
        <f>LARGE(Data!$J$2:$J$2379,A157)</f>
        <v>1170</v>
      </c>
      <c r="C157" s="25">
        <f t="shared" si="2"/>
        <v>266320</v>
      </c>
      <c r="D157" s="28">
        <f>C157/SUM(Data!$J$2:$J$2379)</f>
        <v>0.21840320945779715</v>
      </c>
    </row>
    <row r="158" spans="1:4" x14ac:dyDescent="0.3">
      <c r="A158" s="25">
        <v>157</v>
      </c>
      <c r="B158" s="25">
        <f>LARGE(Data!$J$2:$J$2379,A158)</f>
        <v>1170</v>
      </c>
      <c r="C158" s="25">
        <f t="shared" si="2"/>
        <v>267490</v>
      </c>
      <c r="D158" s="28">
        <f>C158/SUM(Data!$J$2:$J$2379)</f>
        <v>0.21936270087813967</v>
      </c>
    </row>
    <row r="159" spans="1:4" x14ac:dyDescent="0.3">
      <c r="A159" s="25">
        <v>158</v>
      </c>
      <c r="B159" s="25">
        <f>LARGE(Data!$J$2:$J$2379,A159)</f>
        <v>1170</v>
      </c>
      <c r="C159" s="25">
        <f t="shared" si="2"/>
        <v>268660</v>
      </c>
      <c r="D159" s="28">
        <f>C159/SUM(Data!$J$2:$J$2379)</f>
        <v>0.22032219229848221</v>
      </c>
    </row>
    <row r="160" spans="1:4" x14ac:dyDescent="0.3">
      <c r="A160" s="25">
        <v>159</v>
      </c>
      <c r="B160" s="25">
        <f>LARGE(Data!$J$2:$J$2379,A160)</f>
        <v>1170</v>
      </c>
      <c r="C160" s="25">
        <f t="shared" si="2"/>
        <v>269830</v>
      </c>
      <c r="D160" s="28">
        <f>C160/SUM(Data!$J$2:$J$2379)</f>
        <v>0.22128168371882473</v>
      </c>
    </row>
    <row r="161" spans="1:4" x14ac:dyDescent="0.3">
      <c r="A161" s="25">
        <v>160</v>
      </c>
      <c r="B161" s="25">
        <f>LARGE(Data!$J$2:$J$2379,A161)</f>
        <v>1170</v>
      </c>
      <c r="C161" s="25">
        <f t="shared" si="2"/>
        <v>271000</v>
      </c>
      <c r="D161" s="28">
        <f>C161/SUM(Data!$J$2:$J$2379)</f>
        <v>0.22224117513916725</v>
      </c>
    </row>
    <row r="162" spans="1:4" x14ac:dyDescent="0.3">
      <c r="A162" s="25">
        <v>161</v>
      </c>
      <c r="B162" s="25">
        <f>LARGE(Data!$J$2:$J$2379,A162)</f>
        <v>1170</v>
      </c>
      <c r="C162" s="25">
        <f t="shared" si="2"/>
        <v>272170</v>
      </c>
      <c r="D162" s="28">
        <f>C162/SUM(Data!$J$2:$J$2379)</f>
        <v>0.22320066655950979</v>
      </c>
    </row>
    <row r="163" spans="1:4" x14ac:dyDescent="0.3">
      <c r="A163" s="25">
        <v>162</v>
      </c>
      <c r="B163" s="25">
        <f>LARGE(Data!$J$2:$J$2379,A163)</f>
        <v>1170</v>
      </c>
      <c r="C163" s="25">
        <f t="shared" si="2"/>
        <v>273340</v>
      </c>
      <c r="D163" s="28">
        <f>C163/SUM(Data!$J$2:$J$2379)</f>
        <v>0.22416015797985231</v>
      </c>
    </row>
    <row r="164" spans="1:4" x14ac:dyDescent="0.3">
      <c r="A164" s="25">
        <v>163</v>
      </c>
      <c r="B164" s="25">
        <f>LARGE(Data!$J$2:$J$2379,A164)</f>
        <v>1120</v>
      </c>
      <c r="C164" s="25">
        <f t="shared" si="2"/>
        <v>274460</v>
      </c>
      <c r="D164" s="28">
        <f>C164/SUM(Data!$J$2:$J$2379)</f>
        <v>0.22507864549334261</v>
      </c>
    </row>
    <row r="165" spans="1:4" x14ac:dyDescent="0.3">
      <c r="A165" s="25">
        <v>164</v>
      </c>
      <c r="B165" s="25">
        <f>LARGE(Data!$J$2:$J$2379,A165)</f>
        <v>1120</v>
      </c>
      <c r="C165" s="25">
        <f t="shared" si="2"/>
        <v>275580</v>
      </c>
      <c r="D165" s="28">
        <f>C165/SUM(Data!$J$2:$J$2379)</f>
        <v>0.22599713300683288</v>
      </c>
    </row>
    <row r="166" spans="1:4" x14ac:dyDescent="0.3">
      <c r="A166" s="25">
        <v>165</v>
      </c>
      <c r="B166" s="25">
        <f>LARGE(Data!$J$2:$J$2379,A166)</f>
        <v>1120</v>
      </c>
      <c r="C166" s="25">
        <f t="shared" si="2"/>
        <v>276700</v>
      </c>
      <c r="D166" s="28">
        <f>C166/SUM(Data!$J$2:$J$2379)</f>
        <v>0.22691562052032319</v>
      </c>
    </row>
    <row r="167" spans="1:4" x14ac:dyDescent="0.3">
      <c r="A167" s="25">
        <v>166</v>
      </c>
      <c r="B167" s="25">
        <f>LARGE(Data!$J$2:$J$2379,A167)</f>
        <v>1120</v>
      </c>
      <c r="C167" s="25">
        <f t="shared" si="2"/>
        <v>277820</v>
      </c>
      <c r="D167" s="28">
        <f>C167/SUM(Data!$J$2:$J$2379)</f>
        <v>0.22783410803381346</v>
      </c>
    </row>
    <row r="168" spans="1:4" x14ac:dyDescent="0.3">
      <c r="A168" s="25">
        <v>167</v>
      </c>
      <c r="B168" s="25">
        <f>LARGE(Data!$J$2:$J$2379,A168)</f>
        <v>1120</v>
      </c>
      <c r="C168" s="25">
        <f t="shared" si="2"/>
        <v>278940</v>
      </c>
      <c r="D168" s="28">
        <f>C168/SUM(Data!$J$2:$J$2379)</f>
        <v>0.22875259554730376</v>
      </c>
    </row>
    <row r="169" spans="1:4" x14ac:dyDescent="0.3">
      <c r="A169" s="25">
        <v>168</v>
      </c>
      <c r="B169" s="25">
        <f>LARGE(Data!$J$2:$J$2379,A169)</f>
        <v>1050</v>
      </c>
      <c r="C169" s="25">
        <f t="shared" si="2"/>
        <v>279990</v>
      </c>
      <c r="D169" s="28">
        <f>C169/SUM(Data!$J$2:$J$2379)</f>
        <v>0.22961367759120088</v>
      </c>
    </row>
    <row r="170" spans="1:4" x14ac:dyDescent="0.3">
      <c r="A170" s="25">
        <v>169</v>
      </c>
      <c r="B170" s="25">
        <f>LARGE(Data!$J$2:$J$2379,A170)</f>
        <v>1050</v>
      </c>
      <c r="C170" s="25">
        <f t="shared" si="2"/>
        <v>281040</v>
      </c>
      <c r="D170" s="28">
        <f>C170/SUM(Data!$J$2:$J$2379)</f>
        <v>0.23047475963509803</v>
      </c>
    </row>
    <row r="171" spans="1:4" x14ac:dyDescent="0.3">
      <c r="A171" s="25">
        <v>170</v>
      </c>
      <c r="B171" s="25">
        <f>LARGE(Data!$J$2:$J$2379,A171)</f>
        <v>1050</v>
      </c>
      <c r="C171" s="25">
        <f t="shared" si="2"/>
        <v>282090</v>
      </c>
      <c r="D171" s="28">
        <f>C171/SUM(Data!$J$2:$J$2379)</f>
        <v>0.23133584167899518</v>
      </c>
    </row>
    <row r="172" spans="1:4" x14ac:dyDescent="0.3">
      <c r="A172" s="25">
        <v>171</v>
      </c>
      <c r="B172" s="25">
        <f>LARGE(Data!$J$2:$J$2379,A172)</f>
        <v>1050</v>
      </c>
      <c r="C172" s="25">
        <f t="shared" si="2"/>
        <v>283140</v>
      </c>
      <c r="D172" s="28">
        <f>C172/SUM(Data!$J$2:$J$2379)</f>
        <v>0.23219692372289233</v>
      </c>
    </row>
    <row r="173" spans="1:4" x14ac:dyDescent="0.3">
      <c r="A173" s="25">
        <v>172</v>
      </c>
      <c r="B173" s="25">
        <f>LARGE(Data!$J$2:$J$2379,A173)</f>
        <v>1050</v>
      </c>
      <c r="C173" s="25">
        <f t="shared" si="2"/>
        <v>284190</v>
      </c>
      <c r="D173" s="28">
        <f>C173/SUM(Data!$J$2:$J$2379)</f>
        <v>0.23305800576678945</v>
      </c>
    </row>
    <row r="174" spans="1:4" x14ac:dyDescent="0.3">
      <c r="A174" s="25">
        <v>173</v>
      </c>
      <c r="B174" s="25">
        <f>LARGE(Data!$J$2:$J$2379,A174)</f>
        <v>1040</v>
      </c>
      <c r="C174" s="25">
        <f t="shared" si="2"/>
        <v>285230</v>
      </c>
      <c r="D174" s="28">
        <f>C174/SUM(Data!$J$2:$J$2379)</f>
        <v>0.23391088702931614</v>
      </c>
    </row>
    <row r="175" spans="1:4" x14ac:dyDescent="0.3">
      <c r="A175" s="25">
        <v>174</v>
      </c>
      <c r="B175" s="25">
        <f>LARGE(Data!$J$2:$J$2379,A175)</f>
        <v>1040</v>
      </c>
      <c r="C175" s="25">
        <f t="shared" si="2"/>
        <v>286270</v>
      </c>
      <c r="D175" s="28">
        <f>C175/SUM(Data!$J$2:$J$2379)</f>
        <v>0.23476376829184284</v>
      </c>
    </row>
    <row r="176" spans="1:4" x14ac:dyDescent="0.3">
      <c r="A176" s="25">
        <v>175</v>
      </c>
      <c r="B176" s="25">
        <f>LARGE(Data!$J$2:$J$2379,A176)</f>
        <v>1040</v>
      </c>
      <c r="C176" s="25">
        <f t="shared" si="2"/>
        <v>287310</v>
      </c>
      <c r="D176" s="28">
        <f>C176/SUM(Data!$J$2:$J$2379)</f>
        <v>0.23561664955436953</v>
      </c>
    </row>
    <row r="177" spans="1:4" x14ac:dyDescent="0.3">
      <c r="A177" s="25">
        <v>176</v>
      </c>
      <c r="B177" s="25">
        <f>LARGE(Data!$J$2:$J$2379,A177)</f>
        <v>1040</v>
      </c>
      <c r="C177" s="25">
        <f t="shared" si="2"/>
        <v>288350</v>
      </c>
      <c r="D177" s="28">
        <f>C177/SUM(Data!$J$2:$J$2379)</f>
        <v>0.23646953081689623</v>
      </c>
    </row>
    <row r="178" spans="1:4" x14ac:dyDescent="0.3">
      <c r="A178" s="25">
        <v>177</v>
      </c>
      <c r="B178" s="25">
        <f>LARGE(Data!$J$2:$J$2379,A178)</f>
        <v>1040</v>
      </c>
      <c r="C178" s="25">
        <f t="shared" si="2"/>
        <v>289390</v>
      </c>
      <c r="D178" s="28">
        <f>C178/SUM(Data!$J$2:$J$2379)</f>
        <v>0.23732241207942292</v>
      </c>
    </row>
    <row r="179" spans="1:4" x14ac:dyDescent="0.3">
      <c r="A179" s="25">
        <v>178</v>
      </c>
      <c r="B179" s="25">
        <f>LARGE(Data!$J$2:$J$2379,A179)</f>
        <v>1040</v>
      </c>
      <c r="C179" s="25">
        <f t="shared" si="2"/>
        <v>290430</v>
      </c>
      <c r="D179" s="28">
        <f>C179/SUM(Data!$J$2:$J$2379)</f>
        <v>0.23817529334194962</v>
      </c>
    </row>
    <row r="180" spans="1:4" x14ac:dyDescent="0.3">
      <c r="A180" s="25">
        <v>179</v>
      </c>
      <c r="B180" s="25">
        <f>LARGE(Data!$J$2:$J$2379,A180)</f>
        <v>1040</v>
      </c>
      <c r="C180" s="25">
        <f t="shared" si="2"/>
        <v>291470</v>
      </c>
      <c r="D180" s="28">
        <f>C180/SUM(Data!$J$2:$J$2379)</f>
        <v>0.23902817460447631</v>
      </c>
    </row>
    <row r="181" spans="1:4" x14ac:dyDescent="0.3">
      <c r="A181" s="25">
        <v>180</v>
      </c>
      <c r="B181" s="25">
        <f>LARGE(Data!$J$2:$J$2379,A181)</f>
        <v>1040</v>
      </c>
      <c r="C181" s="25">
        <f t="shared" si="2"/>
        <v>292510</v>
      </c>
      <c r="D181" s="28">
        <f>C181/SUM(Data!$J$2:$J$2379)</f>
        <v>0.23988105586700301</v>
      </c>
    </row>
    <row r="182" spans="1:4" x14ac:dyDescent="0.3">
      <c r="A182" s="25">
        <v>181</v>
      </c>
      <c r="B182" s="25">
        <f>LARGE(Data!$J$2:$J$2379,A182)</f>
        <v>1040</v>
      </c>
      <c r="C182" s="25">
        <f t="shared" si="2"/>
        <v>293550</v>
      </c>
      <c r="D182" s="28">
        <f>C182/SUM(Data!$J$2:$J$2379)</f>
        <v>0.2407339371295297</v>
      </c>
    </row>
    <row r="183" spans="1:4" x14ac:dyDescent="0.3">
      <c r="A183" s="25">
        <v>182</v>
      </c>
      <c r="B183" s="25">
        <f>LARGE(Data!$J$2:$J$2379,A183)</f>
        <v>1040</v>
      </c>
      <c r="C183" s="25">
        <f t="shared" si="2"/>
        <v>294590</v>
      </c>
      <c r="D183" s="28">
        <f>C183/SUM(Data!$J$2:$J$2379)</f>
        <v>0.2415868183920564</v>
      </c>
    </row>
    <row r="184" spans="1:4" x14ac:dyDescent="0.3">
      <c r="A184" s="25">
        <v>183</v>
      </c>
      <c r="B184" s="25">
        <f>LARGE(Data!$J$2:$J$2379,A184)</f>
        <v>1040</v>
      </c>
      <c r="C184" s="25">
        <f t="shared" si="2"/>
        <v>295630</v>
      </c>
      <c r="D184" s="28">
        <f>C184/SUM(Data!$J$2:$J$2379)</f>
        <v>0.24243969965458309</v>
      </c>
    </row>
    <row r="185" spans="1:4" x14ac:dyDescent="0.3">
      <c r="A185" s="25">
        <v>184</v>
      </c>
      <c r="B185" s="25">
        <f>LARGE(Data!$J$2:$J$2379,A185)</f>
        <v>1040</v>
      </c>
      <c r="C185" s="25">
        <f t="shared" si="2"/>
        <v>296670</v>
      </c>
      <c r="D185" s="28">
        <f>C185/SUM(Data!$J$2:$J$2379)</f>
        <v>0.24329258091710979</v>
      </c>
    </row>
    <row r="186" spans="1:4" x14ac:dyDescent="0.3">
      <c r="A186" s="25">
        <v>185</v>
      </c>
      <c r="B186" s="25">
        <f>LARGE(Data!$J$2:$J$2379,A186)</f>
        <v>1040</v>
      </c>
      <c r="C186" s="25">
        <f t="shared" si="2"/>
        <v>297710</v>
      </c>
      <c r="D186" s="28">
        <f>C186/SUM(Data!$J$2:$J$2379)</f>
        <v>0.24414546217963648</v>
      </c>
    </row>
    <row r="187" spans="1:4" x14ac:dyDescent="0.3">
      <c r="A187" s="25">
        <v>186</v>
      </c>
      <c r="B187" s="25">
        <f>LARGE(Data!$J$2:$J$2379,A187)</f>
        <v>1040</v>
      </c>
      <c r="C187" s="25">
        <f t="shared" si="2"/>
        <v>298750</v>
      </c>
      <c r="D187" s="28">
        <f>C187/SUM(Data!$J$2:$J$2379)</f>
        <v>0.24499834344216317</v>
      </c>
    </row>
    <row r="188" spans="1:4" x14ac:dyDescent="0.3">
      <c r="A188" s="25">
        <v>187</v>
      </c>
      <c r="B188" s="25">
        <f>LARGE(Data!$J$2:$J$2379,A188)</f>
        <v>1040</v>
      </c>
      <c r="C188" s="25">
        <f t="shared" si="2"/>
        <v>299790</v>
      </c>
      <c r="D188" s="28">
        <f>C188/SUM(Data!$J$2:$J$2379)</f>
        <v>0.24585122470468987</v>
      </c>
    </row>
    <row r="189" spans="1:4" x14ac:dyDescent="0.3">
      <c r="A189" s="25">
        <v>188</v>
      </c>
      <c r="B189" s="25">
        <f>LARGE(Data!$J$2:$J$2379,A189)</f>
        <v>1040</v>
      </c>
      <c r="C189" s="25">
        <f t="shared" si="2"/>
        <v>300830</v>
      </c>
      <c r="D189" s="28">
        <f>C189/SUM(Data!$J$2:$J$2379)</f>
        <v>0.24670410596721656</v>
      </c>
    </row>
    <row r="190" spans="1:4" x14ac:dyDescent="0.3">
      <c r="A190" s="25">
        <v>189</v>
      </c>
      <c r="B190" s="25">
        <f>LARGE(Data!$J$2:$J$2379,A190)</f>
        <v>1040</v>
      </c>
      <c r="C190" s="25">
        <f t="shared" si="2"/>
        <v>301870</v>
      </c>
      <c r="D190" s="28">
        <f>C190/SUM(Data!$J$2:$J$2379)</f>
        <v>0.24755698722974326</v>
      </c>
    </row>
    <row r="191" spans="1:4" x14ac:dyDescent="0.3">
      <c r="A191" s="25">
        <v>190</v>
      </c>
      <c r="B191" s="25">
        <f>LARGE(Data!$J$2:$J$2379,A191)</f>
        <v>1040</v>
      </c>
      <c r="C191" s="25">
        <f t="shared" si="2"/>
        <v>302910</v>
      </c>
      <c r="D191" s="28">
        <f>C191/SUM(Data!$J$2:$J$2379)</f>
        <v>0.24840986849226995</v>
      </c>
    </row>
    <row r="192" spans="1:4" x14ac:dyDescent="0.3">
      <c r="A192" s="25">
        <v>191</v>
      </c>
      <c r="B192" s="25">
        <f>LARGE(Data!$J$2:$J$2379,A192)</f>
        <v>1040</v>
      </c>
      <c r="C192" s="25">
        <f t="shared" si="2"/>
        <v>303950</v>
      </c>
      <c r="D192" s="28">
        <f>C192/SUM(Data!$J$2:$J$2379)</f>
        <v>0.24926274975479665</v>
      </c>
    </row>
    <row r="193" spans="1:4" x14ac:dyDescent="0.3">
      <c r="A193" s="25">
        <v>192</v>
      </c>
      <c r="B193" s="25">
        <f>LARGE(Data!$J$2:$J$2379,A193)</f>
        <v>1040</v>
      </c>
      <c r="C193" s="25">
        <f t="shared" si="2"/>
        <v>304990</v>
      </c>
      <c r="D193" s="28">
        <f>C193/SUM(Data!$J$2:$J$2379)</f>
        <v>0.25011563101732331</v>
      </c>
    </row>
    <row r="194" spans="1:4" x14ac:dyDescent="0.3">
      <c r="A194" s="25">
        <v>193</v>
      </c>
      <c r="B194" s="25">
        <f>LARGE(Data!$J$2:$J$2379,A194)</f>
        <v>1040</v>
      </c>
      <c r="C194" s="25">
        <f t="shared" si="2"/>
        <v>306030</v>
      </c>
      <c r="D194" s="28">
        <f>C194/SUM(Data!$J$2:$J$2379)</f>
        <v>0.25096851227985001</v>
      </c>
    </row>
    <row r="195" spans="1:4" x14ac:dyDescent="0.3">
      <c r="A195" s="25">
        <v>194</v>
      </c>
      <c r="B195" s="25">
        <f>LARGE(Data!$J$2:$J$2379,A195)</f>
        <v>1040</v>
      </c>
      <c r="C195" s="25">
        <f t="shared" ref="C195:C258" si="3">C194+B195</f>
        <v>307070</v>
      </c>
      <c r="D195" s="28">
        <f>C195/SUM(Data!$J$2:$J$2379)</f>
        <v>0.2518213935423767</v>
      </c>
    </row>
    <row r="196" spans="1:4" x14ac:dyDescent="0.3">
      <c r="A196" s="25">
        <v>195</v>
      </c>
      <c r="B196" s="25">
        <f>LARGE(Data!$J$2:$J$2379,A196)</f>
        <v>1040</v>
      </c>
      <c r="C196" s="25">
        <f t="shared" si="3"/>
        <v>308110</v>
      </c>
      <c r="D196" s="28">
        <f>C196/SUM(Data!$J$2:$J$2379)</f>
        <v>0.2526742748049034</v>
      </c>
    </row>
    <row r="197" spans="1:4" x14ac:dyDescent="0.3">
      <c r="A197" s="25">
        <v>196</v>
      </c>
      <c r="B197" s="25">
        <f>LARGE(Data!$J$2:$J$2379,A197)</f>
        <v>1040</v>
      </c>
      <c r="C197" s="25">
        <f t="shared" si="3"/>
        <v>309150</v>
      </c>
      <c r="D197" s="28">
        <f>C197/SUM(Data!$J$2:$J$2379)</f>
        <v>0.25352715606743009</v>
      </c>
    </row>
    <row r="198" spans="1:4" x14ac:dyDescent="0.3">
      <c r="A198" s="25">
        <v>197</v>
      </c>
      <c r="B198" s="25">
        <f>LARGE(Data!$J$2:$J$2379,A198)</f>
        <v>1040</v>
      </c>
      <c r="C198" s="25">
        <f t="shared" si="3"/>
        <v>310190</v>
      </c>
      <c r="D198" s="28">
        <f>C198/SUM(Data!$J$2:$J$2379)</f>
        <v>0.25438003732995679</v>
      </c>
    </row>
    <row r="199" spans="1:4" x14ac:dyDescent="0.3">
      <c r="A199" s="25">
        <v>198</v>
      </c>
      <c r="B199" s="25">
        <f>LARGE(Data!$J$2:$J$2379,A199)</f>
        <v>1040</v>
      </c>
      <c r="C199" s="25">
        <f t="shared" si="3"/>
        <v>311230</v>
      </c>
      <c r="D199" s="28">
        <f>C199/SUM(Data!$J$2:$J$2379)</f>
        <v>0.25523291859248348</v>
      </c>
    </row>
    <row r="200" spans="1:4" x14ac:dyDescent="0.3">
      <c r="A200" s="25">
        <v>199</v>
      </c>
      <c r="B200" s="25">
        <f>LARGE(Data!$J$2:$J$2379,A200)</f>
        <v>1040</v>
      </c>
      <c r="C200" s="25">
        <f t="shared" si="3"/>
        <v>312270</v>
      </c>
      <c r="D200" s="28">
        <f>C200/SUM(Data!$J$2:$J$2379)</f>
        <v>0.25608579985501018</v>
      </c>
    </row>
    <row r="201" spans="1:4" x14ac:dyDescent="0.3">
      <c r="A201" s="25">
        <v>200</v>
      </c>
      <c r="B201" s="25">
        <f>LARGE(Data!$J$2:$J$2379,A201)</f>
        <v>1040</v>
      </c>
      <c r="C201" s="25">
        <f t="shared" si="3"/>
        <v>313310</v>
      </c>
      <c r="D201" s="28">
        <f>C201/SUM(Data!$J$2:$J$2379)</f>
        <v>0.25693868111753687</v>
      </c>
    </row>
    <row r="202" spans="1:4" x14ac:dyDescent="0.3">
      <c r="A202" s="25">
        <v>201</v>
      </c>
      <c r="B202" s="25">
        <f>LARGE(Data!$J$2:$J$2379,A202)</f>
        <v>1040</v>
      </c>
      <c r="C202" s="25">
        <f t="shared" si="3"/>
        <v>314350</v>
      </c>
      <c r="D202" s="28">
        <f>C202/SUM(Data!$J$2:$J$2379)</f>
        <v>0.25779156238006357</v>
      </c>
    </row>
    <row r="203" spans="1:4" x14ac:dyDescent="0.3">
      <c r="A203" s="25">
        <v>202</v>
      </c>
      <c r="B203" s="25">
        <f>LARGE(Data!$J$2:$J$2379,A203)</f>
        <v>1040</v>
      </c>
      <c r="C203" s="25">
        <f t="shared" si="3"/>
        <v>315390</v>
      </c>
      <c r="D203" s="28">
        <f>C203/SUM(Data!$J$2:$J$2379)</f>
        <v>0.25864444364259026</v>
      </c>
    </row>
    <row r="204" spans="1:4" x14ac:dyDescent="0.3">
      <c r="A204" s="25">
        <v>203</v>
      </c>
      <c r="B204" s="25">
        <f>LARGE(Data!$J$2:$J$2379,A204)</f>
        <v>1040</v>
      </c>
      <c r="C204" s="25">
        <f t="shared" si="3"/>
        <v>316430</v>
      </c>
      <c r="D204" s="28">
        <f>C204/SUM(Data!$J$2:$J$2379)</f>
        <v>0.25949732490511696</v>
      </c>
    </row>
    <row r="205" spans="1:4" x14ac:dyDescent="0.3">
      <c r="A205" s="25">
        <v>204</v>
      </c>
      <c r="B205" s="25">
        <f>LARGE(Data!$J$2:$J$2379,A205)</f>
        <v>1040</v>
      </c>
      <c r="C205" s="25">
        <f t="shared" si="3"/>
        <v>317470</v>
      </c>
      <c r="D205" s="28">
        <f>C205/SUM(Data!$J$2:$J$2379)</f>
        <v>0.26035020616764365</v>
      </c>
    </row>
    <row r="206" spans="1:4" x14ac:dyDescent="0.3">
      <c r="A206" s="25">
        <v>205</v>
      </c>
      <c r="B206" s="25">
        <f>LARGE(Data!$J$2:$J$2379,A206)</f>
        <v>1040</v>
      </c>
      <c r="C206" s="25">
        <f t="shared" si="3"/>
        <v>318510</v>
      </c>
      <c r="D206" s="28">
        <f>C206/SUM(Data!$J$2:$J$2379)</f>
        <v>0.26120308743017034</v>
      </c>
    </row>
    <row r="207" spans="1:4" x14ac:dyDescent="0.3">
      <c r="A207" s="25">
        <v>206</v>
      </c>
      <c r="B207" s="25">
        <f>LARGE(Data!$J$2:$J$2379,A207)</f>
        <v>1040</v>
      </c>
      <c r="C207" s="25">
        <f t="shared" si="3"/>
        <v>319550</v>
      </c>
      <c r="D207" s="28">
        <f>C207/SUM(Data!$J$2:$J$2379)</f>
        <v>0.26205596869269704</v>
      </c>
    </row>
    <row r="208" spans="1:4" x14ac:dyDescent="0.3">
      <c r="A208" s="25">
        <v>207</v>
      </c>
      <c r="B208" s="25">
        <f>LARGE(Data!$J$2:$J$2379,A208)</f>
        <v>1040</v>
      </c>
      <c r="C208" s="25">
        <f t="shared" si="3"/>
        <v>320590</v>
      </c>
      <c r="D208" s="28">
        <f>C208/SUM(Data!$J$2:$J$2379)</f>
        <v>0.26290884995522373</v>
      </c>
    </row>
    <row r="209" spans="1:4" x14ac:dyDescent="0.3">
      <c r="A209" s="25">
        <v>208</v>
      </c>
      <c r="B209" s="25">
        <f>LARGE(Data!$J$2:$J$2379,A209)</f>
        <v>1040</v>
      </c>
      <c r="C209" s="25">
        <f t="shared" si="3"/>
        <v>321630</v>
      </c>
      <c r="D209" s="28">
        <f>C209/SUM(Data!$J$2:$J$2379)</f>
        <v>0.26376173121775043</v>
      </c>
    </row>
    <row r="210" spans="1:4" x14ac:dyDescent="0.3">
      <c r="A210" s="25">
        <v>209</v>
      </c>
      <c r="B210" s="25">
        <f>LARGE(Data!$J$2:$J$2379,A210)</f>
        <v>1040</v>
      </c>
      <c r="C210" s="25">
        <f t="shared" si="3"/>
        <v>322670</v>
      </c>
      <c r="D210" s="28">
        <f>C210/SUM(Data!$J$2:$J$2379)</f>
        <v>0.26461461248027712</v>
      </c>
    </row>
    <row r="211" spans="1:4" x14ac:dyDescent="0.3">
      <c r="A211" s="25">
        <v>210</v>
      </c>
      <c r="B211" s="25">
        <f>LARGE(Data!$J$2:$J$2379,A211)</f>
        <v>1000</v>
      </c>
      <c r="C211" s="25">
        <f t="shared" si="3"/>
        <v>323670</v>
      </c>
      <c r="D211" s="28">
        <f>C211/SUM(Data!$J$2:$J$2379)</f>
        <v>0.265434690617322</v>
      </c>
    </row>
    <row r="212" spans="1:4" x14ac:dyDescent="0.3">
      <c r="A212" s="25">
        <v>211</v>
      </c>
      <c r="B212" s="25">
        <f>LARGE(Data!$J$2:$J$2379,A212)</f>
        <v>1000</v>
      </c>
      <c r="C212" s="25">
        <f t="shared" si="3"/>
        <v>324670</v>
      </c>
      <c r="D212" s="28">
        <f>C212/SUM(Data!$J$2:$J$2379)</f>
        <v>0.26625476875436693</v>
      </c>
    </row>
    <row r="213" spans="1:4" x14ac:dyDescent="0.3">
      <c r="A213" s="25">
        <v>212</v>
      </c>
      <c r="B213" s="25">
        <f>LARGE(Data!$J$2:$J$2379,A213)</f>
        <v>1000</v>
      </c>
      <c r="C213" s="25">
        <f t="shared" si="3"/>
        <v>325670</v>
      </c>
      <c r="D213" s="28">
        <f>C213/SUM(Data!$J$2:$J$2379)</f>
        <v>0.26707484689141181</v>
      </c>
    </row>
    <row r="214" spans="1:4" x14ac:dyDescent="0.3">
      <c r="A214" s="25">
        <v>213</v>
      </c>
      <c r="B214" s="25">
        <f>LARGE(Data!$J$2:$J$2379,A214)</f>
        <v>1000</v>
      </c>
      <c r="C214" s="25">
        <f t="shared" si="3"/>
        <v>326670</v>
      </c>
      <c r="D214" s="28">
        <f>C214/SUM(Data!$J$2:$J$2379)</f>
        <v>0.26789492502845669</v>
      </c>
    </row>
    <row r="215" spans="1:4" x14ac:dyDescent="0.3">
      <c r="A215" s="25">
        <v>214</v>
      </c>
      <c r="B215" s="25">
        <f>LARGE(Data!$J$2:$J$2379,A215)</f>
        <v>1000</v>
      </c>
      <c r="C215" s="25">
        <f t="shared" si="3"/>
        <v>327670</v>
      </c>
      <c r="D215" s="28">
        <f>C215/SUM(Data!$J$2:$J$2379)</f>
        <v>0.26871500316550162</v>
      </c>
    </row>
    <row r="216" spans="1:4" x14ac:dyDescent="0.3">
      <c r="A216" s="25">
        <v>215</v>
      </c>
      <c r="B216" s="25">
        <f>LARGE(Data!$J$2:$J$2379,A216)</f>
        <v>1000</v>
      </c>
      <c r="C216" s="25">
        <f t="shared" si="3"/>
        <v>328670</v>
      </c>
      <c r="D216" s="28">
        <f>C216/SUM(Data!$J$2:$J$2379)</f>
        <v>0.2695350813025465</v>
      </c>
    </row>
    <row r="217" spans="1:4" x14ac:dyDescent="0.3">
      <c r="A217" s="25">
        <v>216</v>
      </c>
      <c r="B217" s="25">
        <f>LARGE(Data!$J$2:$J$2379,A217)</f>
        <v>1000</v>
      </c>
      <c r="C217" s="25">
        <f t="shared" si="3"/>
        <v>329670</v>
      </c>
      <c r="D217" s="28">
        <f>C217/SUM(Data!$J$2:$J$2379)</f>
        <v>0.27035515943959143</v>
      </c>
    </row>
    <row r="218" spans="1:4" x14ac:dyDescent="0.3">
      <c r="A218" s="25">
        <v>217</v>
      </c>
      <c r="B218" s="25">
        <f>LARGE(Data!$J$2:$J$2379,A218)</f>
        <v>1000</v>
      </c>
      <c r="C218" s="25">
        <f t="shared" si="3"/>
        <v>330670</v>
      </c>
      <c r="D218" s="28">
        <f>C218/SUM(Data!$J$2:$J$2379)</f>
        <v>0.27117523757663631</v>
      </c>
    </row>
    <row r="219" spans="1:4" x14ac:dyDescent="0.3">
      <c r="A219" s="25">
        <v>218</v>
      </c>
      <c r="B219" s="25">
        <f>LARGE(Data!$J$2:$J$2379,A219)</f>
        <v>1000</v>
      </c>
      <c r="C219" s="25">
        <f t="shared" si="3"/>
        <v>331670</v>
      </c>
      <c r="D219" s="28">
        <f>C219/SUM(Data!$J$2:$J$2379)</f>
        <v>0.27199531571368118</v>
      </c>
    </row>
    <row r="220" spans="1:4" x14ac:dyDescent="0.3">
      <c r="A220" s="25">
        <v>219</v>
      </c>
      <c r="B220" s="25">
        <f>LARGE(Data!$J$2:$J$2379,A220)</f>
        <v>1000</v>
      </c>
      <c r="C220" s="25">
        <f t="shared" si="3"/>
        <v>332670</v>
      </c>
      <c r="D220" s="28">
        <f>C220/SUM(Data!$J$2:$J$2379)</f>
        <v>0.27281539385072612</v>
      </c>
    </row>
    <row r="221" spans="1:4" x14ac:dyDescent="0.3">
      <c r="A221" s="25">
        <v>220</v>
      </c>
      <c r="B221" s="25">
        <f>LARGE(Data!$J$2:$J$2379,A221)</f>
        <v>1000</v>
      </c>
      <c r="C221" s="25">
        <f t="shared" si="3"/>
        <v>333670</v>
      </c>
      <c r="D221" s="28">
        <f>C221/SUM(Data!$J$2:$J$2379)</f>
        <v>0.273635471987771</v>
      </c>
    </row>
    <row r="222" spans="1:4" x14ac:dyDescent="0.3">
      <c r="A222" s="25">
        <v>221</v>
      </c>
      <c r="B222" s="25">
        <f>LARGE(Data!$J$2:$J$2379,A222)</f>
        <v>1000</v>
      </c>
      <c r="C222" s="25">
        <f t="shared" si="3"/>
        <v>334670</v>
      </c>
      <c r="D222" s="28">
        <f>C222/SUM(Data!$J$2:$J$2379)</f>
        <v>0.27445555012481587</v>
      </c>
    </row>
    <row r="223" spans="1:4" x14ac:dyDescent="0.3">
      <c r="A223" s="25">
        <v>222</v>
      </c>
      <c r="B223" s="25">
        <f>LARGE(Data!$J$2:$J$2379,A223)</f>
        <v>1000</v>
      </c>
      <c r="C223" s="25">
        <f t="shared" si="3"/>
        <v>335670</v>
      </c>
      <c r="D223" s="28">
        <f>C223/SUM(Data!$J$2:$J$2379)</f>
        <v>0.27527562826186081</v>
      </c>
    </row>
    <row r="224" spans="1:4" x14ac:dyDescent="0.3">
      <c r="A224" s="25">
        <v>223</v>
      </c>
      <c r="B224" s="25">
        <f>LARGE(Data!$J$2:$J$2379,A224)</f>
        <v>1000</v>
      </c>
      <c r="C224" s="25">
        <f t="shared" si="3"/>
        <v>336670</v>
      </c>
      <c r="D224" s="28">
        <f>C224/SUM(Data!$J$2:$J$2379)</f>
        <v>0.27609570639890568</v>
      </c>
    </row>
    <row r="225" spans="1:4" x14ac:dyDescent="0.3">
      <c r="A225" s="25">
        <v>224</v>
      </c>
      <c r="B225" s="25">
        <f>LARGE(Data!$J$2:$J$2379,A225)</f>
        <v>1000</v>
      </c>
      <c r="C225" s="25">
        <f t="shared" si="3"/>
        <v>337670</v>
      </c>
      <c r="D225" s="28">
        <f>C225/SUM(Data!$J$2:$J$2379)</f>
        <v>0.27691578453595056</v>
      </c>
    </row>
    <row r="226" spans="1:4" x14ac:dyDescent="0.3">
      <c r="A226" s="25">
        <v>225</v>
      </c>
      <c r="B226" s="25">
        <f>LARGE(Data!$J$2:$J$2379,A226)</f>
        <v>980</v>
      </c>
      <c r="C226" s="25">
        <f t="shared" si="3"/>
        <v>338650</v>
      </c>
      <c r="D226" s="28">
        <f>C226/SUM(Data!$J$2:$J$2379)</f>
        <v>0.27771946111025458</v>
      </c>
    </row>
    <row r="227" spans="1:4" x14ac:dyDescent="0.3">
      <c r="A227" s="25">
        <v>226</v>
      </c>
      <c r="B227" s="25">
        <f>LARGE(Data!$J$2:$J$2379,A227)</f>
        <v>980</v>
      </c>
      <c r="C227" s="25">
        <f t="shared" si="3"/>
        <v>339630</v>
      </c>
      <c r="D227" s="28">
        <f>C227/SUM(Data!$J$2:$J$2379)</f>
        <v>0.27852313768455861</v>
      </c>
    </row>
    <row r="228" spans="1:4" x14ac:dyDescent="0.3">
      <c r="A228" s="25">
        <v>227</v>
      </c>
      <c r="B228" s="25">
        <f>LARGE(Data!$J$2:$J$2379,A228)</f>
        <v>980</v>
      </c>
      <c r="C228" s="25">
        <f t="shared" si="3"/>
        <v>340610</v>
      </c>
      <c r="D228" s="28">
        <f>C228/SUM(Data!$J$2:$J$2379)</f>
        <v>0.27932681425886258</v>
      </c>
    </row>
    <row r="229" spans="1:4" x14ac:dyDescent="0.3">
      <c r="A229" s="25">
        <v>228</v>
      </c>
      <c r="B229" s="25">
        <f>LARGE(Data!$J$2:$J$2379,A229)</f>
        <v>980</v>
      </c>
      <c r="C229" s="25">
        <f t="shared" si="3"/>
        <v>341590</v>
      </c>
      <c r="D229" s="28">
        <f>C229/SUM(Data!$J$2:$J$2379)</f>
        <v>0.2801304908331666</v>
      </c>
    </row>
    <row r="230" spans="1:4" x14ac:dyDescent="0.3">
      <c r="A230" s="25">
        <v>229</v>
      </c>
      <c r="B230" s="25">
        <f>LARGE(Data!$J$2:$J$2379,A230)</f>
        <v>980</v>
      </c>
      <c r="C230" s="25">
        <f t="shared" si="3"/>
        <v>342570</v>
      </c>
      <c r="D230" s="28">
        <f>C230/SUM(Data!$J$2:$J$2379)</f>
        <v>0.28093416740747057</v>
      </c>
    </row>
    <row r="231" spans="1:4" x14ac:dyDescent="0.3">
      <c r="A231" s="25">
        <v>230</v>
      </c>
      <c r="B231" s="25">
        <f>LARGE(Data!$J$2:$J$2379,A231)</f>
        <v>980</v>
      </c>
      <c r="C231" s="25">
        <f t="shared" si="3"/>
        <v>343550</v>
      </c>
      <c r="D231" s="28">
        <f>C231/SUM(Data!$J$2:$J$2379)</f>
        <v>0.28173784398177459</v>
      </c>
    </row>
    <row r="232" spans="1:4" x14ac:dyDescent="0.3">
      <c r="A232" s="25">
        <v>231</v>
      </c>
      <c r="B232" s="25">
        <f>LARGE(Data!$J$2:$J$2379,A232)</f>
        <v>980</v>
      </c>
      <c r="C232" s="25">
        <f t="shared" si="3"/>
        <v>344530</v>
      </c>
      <c r="D232" s="28">
        <f>C232/SUM(Data!$J$2:$J$2379)</f>
        <v>0.28254152055607856</v>
      </c>
    </row>
    <row r="233" spans="1:4" x14ac:dyDescent="0.3">
      <c r="A233" s="25">
        <v>232</v>
      </c>
      <c r="B233" s="25">
        <f>LARGE(Data!$J$2:$J$2379,A233)</f>
        <v>980</v>
      </c>
      <c r="C233" s="25">
        <f t="shared" si="3"/>
        <v>345510</v>
      </c>
      <c r="D233" s="28">
        <f>C233/SUM(Data!$J$2:$J$2379)</f>
        <v>0.28334519713038259</v>
      </c>
    </row>
    <row r="234" spans="1:4" x14ac:dyDescent="0.3">
      <c r="A234" s="25">
        <v>233</v>
      </c>
      <c r="B234" s="25">
        <f>LARGE(Data!$J$2:$J$2379,A234)</f>
        <v>980</v>
      </c>
      <c r="C234" s="25">
        <f t="shared" si="3"/>
        <v>346490</v>
      </c>
      <c r="D234" s="28">
        <f>C234/SUM(Data!$J$2:$J$2379)</f>
        <v>0.28414887370468656</v>
      </c>
    </row>
    <row r="235" spans="1:4" x14ac:dyDescent="0.3">
      <c r="A235" s="25">
        <v>234</v>
      </c>
      <c r="B235" s="25">
        <f>LARGE(Data!$J$2:$J$2379,A235)</f>
        <v>910</v>
      </c>
      <c r="C235" s="25">
        <f t="shared" si="3"/>
        <v>347400</v>
      </c>
      <c r="D235" s="28">
        <f>C235/SUM(Data!$J$2:$J$2379)</f>
        <v>0.28489514480939743</v>
      </c>
    </row>
    <row r="236" spans="1:4" x14ac:dyDescent="0.3">
      <c r="A236" s="25">
        <v>235</v>
      </c>
      <c r="B236" s="25">
        <f>LARGE(Data!$J$2:$J$2379,A236)</f>
        <v>910</v>
      </c>
      <c r="C236" s="25">
        <f t="shared" si="3"/>
        <v>348310</v>
      </c>
      <c r="D236" s="28">
        <f>C236/SUM(Data!$J$2:$J$2379)</f>
        <v>0.2856414159141083</v>
      </c>
    </row>
    <row r="237" spans="1:4" x14ac:dyDescent="0.3">
      <c r="A237" s="25">
        <v>236</v>
      </c>
      <c r="B237" s="25">
        <f>LARGE(Data!$J$2:$J$2379,A237)</f>
        <v>910</v>
      </c>
      <c r="C237" s="25">
        <f t="shared" si="3"/>
        <v>349220</v>
      </c>
      <c r="D237" s="28">
        <f>C237/SUM(Data!$J$2:$J$2379)</f>
        <v>0.28638768701881917</v>
      </c>
    </row>
    <row r="238" spans="1:4" x14ac:dyDescent="0.3">
      <c r="A238" s="25">
        <v>237</v>
      </c>
      <c r="B238" s="25">
        <f>LARGE(Data!$J$2:$J$2379,A238)</f>
        <v>910</v>
      </c>
      <c r="C238" s="25">
        <f t="shared" si="3"/>
        <v>350130</v>
      </c>
      <c r="D238" s="28">
        <f>C238/SUM(Data!$J$2:$J$2379)</f>
        <v>0.28713395812352999</v>
      </c>
    </row>
    <row r="239" spans="1:4" x14ac:dyDescent="0.3">
      <c r="A239" s="25">
        <v>238</v>
      </c>
      <c r="B239" s="25">
        <f>LARGE(Data!$J$2:$J$2379,A239)</f>
        <v>910</v>
      </c>
      <c r="C239" s="25">
        <f t="shared" si="3"/>
        <v>351040</v>
      </c>
      <c r="D239" s="28">
        <f>C239/SUM(Data!$J$2:$J$2379)</f>
        <v>0.28788022922824086</v>
      </c>
    </row>
    <row r="240" spans="1:4" x14ac:dyDescent="0.3">
      <c r="A240" s="25">
        <v>239</v>
      </c>
      <c r="B240" s="25">
        <f>LARGE(Data!$J$2:$J$2379,A240)</f>
        <v>910</v>
      </c>
      <c r="C240" s="25">
        <f t="shared" si="3"/>
        <v>351950</v>
      </c>
      <c r="D240" s="28">
        <f>C240/SUM(Data!$J$2:$J$2379)</f>
        <v>0.28862650033295173</v>
      </c>
    </row>
    <row r="241" spans="1:4" x14ac:dyDescent="0.3">
      <c r="A241" s="25">
        <v>240</v>
      </c>
      <c r="B241" s="25">
        <f>LARGE(Data!$J$2:$J$2379,A241)</f>
        <v>910</v>
      </c>
      <c r="C241" s="25">
        <f t="shared" si="3"/>
        <v>352860</v>
      </c>
      <c r="D241" s="28">
        <f>C241/SUM(Data!$J$2:$J$2379)</f>
        <v>0.2893727714376626</v>
      </c>
    </row>
    <row r="242" spans="1:4" x14ac:dyDescent="0.3">
      <c r="A242" s="25">
        <v>241</v>
      </c>
      <c r="B242" s="25">
        <f>LARGE(Data!$J$2:$J$2379,A242)</f>
        <v>910</v>
      </c>
      <c r="C242" s="25">
        <f t="shared" si="3"/>
        <v>353770</v>
      </c>
      <c r="D242" s="28">
        <f>C242/SUM(Data!$J$2:$J$2379)</f>
        <v>0.29011904254237342</v>
      </c>
    </row>
    <row r="243" spans="1:4" x14ac:dyDescent="0.3">
      <c r="A243" s="25">
        <v>242</v>
      </c>
      <c r="B243" s="25">
        <f>LARGE(Data!$J$2:$J$2379,A243)</f>
        <v>910</v>
      </c>
      <c r="C243" s="25">
        <f t="shared" si="3"/>
        <v>354680</v>
      </c>
      <c r="D243" s="28">
        <f>C243/SUM(Data!$J$2:$J$2379)</f>
        <v>0.29086531364708429</v>
      </c>
    </row>
    <row r="244" spans="1:4" x14ac:dyDescent="0.3">
      <c r="A244" s="25">
        <v>243</v>
      </c>
      <c r="B244" s="25">
        <f>LARGE(Data!$J$2:$J$2379,A244)</f>
        <v>910</v>
      </c>
      <c r="C244" s="25">
        <f t="shared" si="3"/>
        <v>355590</v>
      </c>
      <c r="D244" s="28">
        <f>C244/SUM(Data!$J$2:$J$2379)</f>
        <v>0.29161158475179516</v>
      </c>
    </row>
    <row r="245" spans="1:4" x14ac:dyDescent="0.3">
      <c r="A245" s="25">
        <v>244</v>
      </c>
      <c r="B245" s="25">
        <f>LARGE(Data!$J$2:$J$2379,A245)</f>
        <v>910</v>
      </c>
      <c r="C245" s="25">
        <f t="shared" si="3"/>
        <v>356500</v>
      </c>
      <c r="D245" s="28">
        <f>C245/SUM(Data!$J$2:$J$2379)</f>
        <v>0.29235785585650603</v>
      </c>
    </row>
    <row r="246" spans="1:4" x14ac:dyDescent="0.3">
      <c r="A246" s="25">
        <v>245</v>
      </c>
      <c r="B246" s="25">
        <f>LARGE(Data!$J$2:$J$2379,A246)</f>
        <v>910</v>
      </c>
      <c r="C246" s="25">
        <f t="shared" si="3"/>
        <v>357410</v>
      </c>
      <c r="D246" s="28">
        <f>C246/SUM(Data!$J$2:$J$2379)</f>
        <v>0.29310412696121685</v>
      </c>
    </row>
    <row r="247" spans="1:4" x14ac:dyDescent="0.3">
      <c r="A247" s="25">
        <v>246</v>
      </c>
      <c r="B247" s="25">
        <f>LARGE(Data!$J$2:$J$2379,A247)</f>
        <v>910</v>
      </c>
      <c r="C247" s="25">
        <f t="shared" si="3"/>
        <v>358320</v>
      </c>
      <c r="D247" s="28">
        <f>C247/SUM(Data!$J$2:$J$2379)</f>
        <v>0.29385039806592772</v>
      </c>
    </row>
    <row r="248" spans="1:4" x14ac:dyDescent="0.3">
      <c r="A248" s="25">
        <v>247</v>
      </c>
      <c r="B248" s="25">
        <f>LARGE(Data!$J$2:$J$2379,A248)</f>
        <v>910</v>
      </c>
      <c r="C248" s="25">
        <f t="shared" si="3"/>
        <v>359230</v>
      </c>
      <c r="D248" s="28">
        <f>C248/SUM(Data!$J$2:$J$2379)</f>
        <v>0.29459666917063859</v>
      </c>
    </row>
    <row r="249" spans="1:4" x14ac:dyDescent="0.3">
      <c r="A249" s="25">
        <v>248</v>
      </c>
      <c r="B249" s="25">
        <f>LARGE(Data!$J$2:$J$2379,A249)</f>
        <v>910</v>
      </c>
      <c r="C249" s="25">
        <f t="shared" si="3"/>
        <v>360140</v>
      </c>
      <c r="D249" s="28">
        <f>C249/SUM(Data!$J$2:$J$2379)</f>
        <v>0.29534294027534941</v>
      </c>
    </row>
    <row r="250" spans="1:4" x14ac:dyDescent="0.3">
      <c r="A250" s="25">
        <v>249</v>
      </c>
      <c r="B250" s="25">
        <f>LARGE(Data!$J$2:$J$2379,A250)</f>
        <v>910</v>
      </c>
      <c r="C250" s="25">
        <f t="shared" si="3"/>
        <v>361050</v>
      </c>
      <c r="D250" s="28">
        <f>C250/SUM(Data!$J$2:$J$2379)</f>
        <v>0.29608921138006028</v>
      </c>
    </row>
    <row r="251" spans="1:4" x14ac:dyDescent="0.3">
      <c r="A251" s="25">
        <v>250</v>
      </c>
      <c r="B251" s="25">
        <f>LARGE(Data!$J$2:$J$2379,A251)</f>
        <v>910</v>
      </c>
      <c r="C251" s="25">
        <f t="shared" si="3"/>
        <v>361960</v>
      </c>
      <c r="D251" s="28">
        <f>C251/SUM(Data!$J$2:$J$2379)</f>
        <v>0.29683548248477115</v>
      </c>
    </row>
    <row r="252" spans="1:4" x14ac:dyDescent="0.3">
      <c r="A252" s="25">
        <v>251</v>
      </c>
      <c r="B252" s="25">
        <f>LARGE(Data!$J$2:$J$2379,A252)</f>
        <v>910</v>
      </c>
      <c r="C252" s="25">
        <f t="shared" si="3"/>
        <v>362870</v>
      </c>
      <c r="D252" s="28">
        <f>C252/SUM(Data!$J$2:$J$2379)</f>
        <v>0.29758175358948202</v>
      </c>
    </row>
    <row r="253" spans="1:4" x14ac:dyDescent="0.3">
      <c r="A253" s="25">
        <v>252</v>
      </c>
      <c r="B253" s="25">
        <f>LARGE(Data!$J$2:$J$2379,A253)</f>
        <v>910</v>
      </c>
      <c r="C253" s="25">
        <f t="shared" si="3"/>
        <v>363780</v>
      </c>
      <c r="D253" s="28">
        <f>C253/SUM(Data!$J$2:$J$2379)</f>
        <v>0.29832802469419284</v>
      </c>
    </row>
    <row r="254" spans="1:4" x14ac:dyDescent="0.3">
      <c r="A254" s="25">
        <v>253</v>
      </c>
      <c r="B254" s="25">
        <f>LARGE(Data!$J$2:$J$2379,A254)</f>
        <v>910</v>
      </c>
      <c r="C254" s="25">
        <f t="shared" si="3"/>
        <v>364690</v>
      </c>
      <c r="D254" s="28">
        <f>C254/SUM(Data!$J$2:$J$2379)</f>
        <v>0.29907429579890371</v>
      </c>
    </row>
    <row r="255" spans="1:4" x14ac:dyDescent="0.3">
      <c r="A255" s="25">
        <v>254</v>
      </c>
      <c r="B255" s="25">
        <f>LARGE(Data!$J$2:$J$2379,A255)</f>
        <v>910</v>
      </c>
      <c r="C255" s="25">
        <f t="shared" si="3"/>
        <v>365600</v>
      </c>
      <c r="D255" s="28">
        <f>C255/SUM(Data!$J$2:$J$2379)</f>
        <v>0.29982056690361458</v>
      </c>
    </row>
    <row r="256" spans="1:4" x14ac:dyDescent="0.3">
      <c r="A256" s="25">
        <v>255</v>
      </c>
      <c r="B256" s="25">
        <f>LARGE(Data!$J$2:$J$2379,A256)</f>
        <v>910</v>
      </c>
      <c r="C256" s="25">
        <f t="shared" si="3"/>
        <v>366510</v>
      </c>
      <c r="D256" s="28">
        <f>C256/SUM(Data!$J$2:$J$2379)</f>
        <v>0.30056683800832545</v>
      </c>
    </row>
    <row r="257" spans="1:4" x14ac:dyDescent="0.3">
      <c r="A257" s="25">
        <v>256</v>
      </c>
      <c r="B257" s="25">
        <f>LARGE(Data!$J$2:$J$2379,A257)</f>
        <v>910</v>
      </c>
      <c r="C257" s="25">
        <f t="shared" si="3"/>
        <v>367420</v>
      </c>
      <c r="D257" s="28">
        <f>C257/SUM(Data!$J$2:$J$2379)</f>
        <v>0.30131310911303627</v>
      </c>
    </row>
    <row r="258" spans="1:4" x14ac:dyDescent="0.3">
      <c r="A258" s="25">
        <v>257</v>
      </c>
      <c r="B258" s="25">
        <f>LARGE(Data!$J$2:$J$2379,A258)</f>
        <v>910</v>
      </c>
      <c r="C258" s="25">
        <f t="shared" si="3"/>
        <v>368330</v>
      </c>
      <c r="D258" s="28">
        <f>C258/SUM(Data!$J$2:$J$2379)</f>
        <v>0.30205938021774714</v>
      </c>
    </row>
    <row r="259" spans="1:4" x14ac:dyDescent="0.3">
      <c r="A259" s="25">
        <v>258</v>
      </c>
      <c r="B259" s="25">
        <f>LARGE(Data!$J$2:$J$2379,A259)</f>
        <v>910</v>
      </c>
      <c r="C259" s="25">
        <f t="shared" ref="C259:C322" si="4">C258+B259</f>
        <v>369240</v>
      </c>
      <c r="D259" s="28">
        <f>C259/SUM(Data!$J$2:$J$2379)</f>
        <v>0.30280565132245801</v>
      </c>
    </row>
    <row r="260" spans="1:4" x14ac:dyDescent="0.3">
      <c r="A260" s="25">
        <v>259</v>
      </c>
      <c r="B260" s="25">
        <f>LARGE(Data!$J$2:$J$2379,A260)</f>
        <v>910</v>
      </c>
      <c r="C260" s="25">
        <f t="shared" si="4"/>
        <v>370150</v>
      </c>
      <c r="D260" s="28">
        <f>C260/SUM(Data!$J$2:$J$2379)</f>
        <v>0.30355192242716889</v>
      </c>
    </row>
    <row r="261" spans="1:4" x14ac:dyDescent="0.3">
      <c r="A261" s="25">
        <v>260</v>
      </c>
      <c r="B261" s="25">
        <f>LARGE(Data!$J$2:$J$2379,A261)</f>
        <v>910</v>
      </c>
      <c r="C261" s="25">
        <f t="shared" si="4"/>
        <v>371060</v>
      </c>
      <c r="D261" s="28">
        <f>C261/SUM(Data!$J$2:$J$2379)</f>
        <v>0.3042981935318797</v>
      </c>
    </row>
    <row r="262" spans="1:4" x14ac:dyDescent="0.3">
      <c r="A262" s="25">
        <v>261</v>
      </c>
      <c r="B262" s="25">
        <f>LARGE(Data!$J$2:$J$2379,A262)</f>
        <v>910</v>
      </c>
      <c r="C262" s="25">
        <f t="shared" si="4"/>
        <v>371970</v>
      </c>
      <c r="D262" s="28">
        <f>C262/SUM(Data!$J$2:$J$2379)</f>
        <v>0.30504446463659057</v>
      </c>
    </row>
    <row r="263" spans="1:4" x14ac:dyDescent="0.3">
      <c r="A263" s="25">
        <v>262</v>
      </c>
      <c r="B263" s="25">
        <f>LARGE(Data!$J$2:$J$2379,A263)</f>
        <v>910</v>
      </c>
      <c r="C263" s="25">
        <f t="shared" si="4"/>
        <v>372880</v>
      </c>
      <c r="D263" s="28">
        <f>C263/SUM(Data!$J$2:$J$2379)</f>
        <v>0.30579073574130144</v>
      </c>
    </row>
    <row r="264" spans="1:4" x14ac:dyDescent="0.3">
      <c r="A264" s="25">
        <v>263</v>
      </c>
      <c r="B264" s="25">
        <f>LARGE(Data!$J$2:$J$2379,A264)</f>
        <v>910</v>
      </c>
      <c r="C264" s="25">
        <f t="shared" si="4"/>
        <v>373790</v>
      </c>
      <c r="D264" s="28">
        <f>C264/SUM(Data!$J$2:$J$2379)</f>
        <v>0.30653700684601226</v>
      </c>
    </row>
    <row r="265" spans="1:4" x14ac:dyDescent="0.3">
      <c r="A265" s="25">
        <v>264</v>
      </c>
      <c r="B265" s="25">
        <f>LARGE(Data!$J$2:$J$2379,A265)</f>
        <v>910</v>
      </c>
      <c r="C265" s="25">
        <f t="shared" si="4"/>
        <v>374700</v>
      </c>
      <c r="D265" s="28">
        <f>C265/SUM(Data!$J$2:$J$2379)</f>
        <v>0.30728327795072313</v>
      </c>
    </row>
    <row r="266" spans="1:4" x14ac:dyDescent="0.3">
      <c r="A266" s="25">
        <v>265</v>
      </c>
      <c r="B266" s="25">
        <f>LARGE(Data!$J$2:$J$2379,A266)</f>
        <v>910</v>
      </c>
      <c r="C266" s="25">
        <f t="shared" si="4"/>
        <v>375610</v>
      </c>
      <c r="D266" s="28">
        <f>C266/SUM(Data!$J$2:$J$2379)</f>
        <v>0.308029549055434</v>
      </c>
    </row>
    <row r="267" spans="1:4" x14ac:dyDescent="0.3">
      <c r="A267" s="25">
        <v>266</v>
      </c>
      <c r="B267" s="25">
        <f>LARGE(Data!$J$2:$J$2379,A267)</f>
        <v>910</v>
      </c>
      <c r="C267" s="25">
        <f t="shared" si="4"/>
        <v>376520</v>
      </c>
      <c r="D267" s="28">
        <f>C267/SUM(Data!$J$2:$J$2379)</f>
        <v>0.30877582016014488</v>
      </c>
    </row>
    <row r="268" spans="1:4" x14ac:dyDescent="0.3">
      <c r="A268" s="25">
        <v>267</v>
      </c>
      <c r="B268" s="25">
        <f>LARGE(Data!$J$2:$J$2379,A268)</f>
        <v>910</v>
      </c>
      <c r="C268" s="25">
        <f t="shared" si="4"/>
        <v>377430</v>
      </c>
      <c r="D268" s="28">
        <f>C268/SUM(Data!$J$2:$J$2379)</f>
        <v>0.30952209126485569</v>
      </c>
    </row>
    <row r="269" spans="1:4" x14ac:dyDescent="0.3">
      <c r="A269" s="25">
        <v>268</v>
      </c>
      <c r="B269" s="25">
        <f>LARGE(Data!$J$2:$J$2379,A269)</f>
        <v>910</v>
      </c>
      <c r="C269" s="25">
        <f t="shared" si="4"/>
        <v>378340</v>
      </c>
      <c r="D269" s="28">
        <f>C269/SUM(Data!$J$2:$J$2379)</f>
        <v>0.31026836236956656</v>
      </c>
    </row>
    <row r="270" spans="1:4" x14ac:dyDescent="0.3">
      <c r="A270" s="25">
        <v>269</v>
      </c>
      <c r="B270" s="25">
        <f>LARGE(Data!$J$2:$J$2379,A270)</f>
        <v>910</v>
      </c>
      <c r="C270" s="25">
        <f t="shared" si="4"/>
        <v>379250</v>
      </c>
      <c r="D270" s="28">
        <f>C270/SUM(Data!$J$2:$J$2379)</f>
        <v>0.31101463347427744</v>
      </c>
    </row>
    <row r="271" spans="1:4" x14ac:dyDescent="0.3">
      <c r="A271" s="25">
        <v>270</v>
      </c>
      <c r="B271" s="25">
        <f>LARGE(Data!$J$2:$J$2379,A271)</f>
        <v>910</v>
      </c>
      <c r="C271" s="25">
        <f t="shared" si="4"/>
        <v>380160</v>
      </c>
      <c r="D271" s="28">
        <f>C271/SUM(Data!$J$2:$J$2379)</f>
        <v>0.31176090457898831</v>
      </c>
    </row>
    <row r="272" spans="1:4" x14ac:dyDescent="0.3">
      <c r="A272" s="25">
        <v>271</v>
      </c>
      <c r="B272" s="25">
        <f>LARGE(Data!$J$2:$J$2379,A272)</f>
        <v>910</v>
      </c>
      <c r="C272" s="25">
        <f t="shared" si="4"/>
        <v>381070</v>
      </c>
      <c r="D272" s="28">
        <f>C272/SUM(Data!$J$2:$J$2379)</f>
        <v>0.31250717568369912</v>
      </c>
    </row>
    <row r="273" spans="1:4" x14ac:dyDescent="0.3">
      <c r="A273" s="25">
        <v>272</v>
      </c>
      <c r="B273" s="25">
        <f>LARGE(Data!$J$2:$J$2379,A273)</f>
        <v>910</v>
      </c>
      <c r="C273" s="25">
        <f t="shared" si="4"/>
        <v>381980</v>
      </c>
      <c r="D273" s="28">
        <f>C273/SUM(Data!$J$2:$J$2379)</f>
        <v>0.31325344678840999</v>
      </c>
    </row>
    <row r="274" spans="1:4" x14ac:dyDescent="0.3">
      <c r="A274" s="25">
        <v>273</v>
      </c>
      <c r="B274" s="25">
        <f>LARGE(Data!$J$2:$J$2379,A274)</f>
        <v>910</v>
      </c>
      <c r="C274" s="25">
        <f t="shared" si="4"/>
        <v>382890</v>
      </c>
      <c r="D274" s="28">
        <f>C274/SUM(Data!$J$2:$J$2379)</f>
        <v>0.31399971789312087</v>
      </c>
    </row>
    <row r="275" spans="1:4" x14ac:dyDescent="0.3">
      <c r="A275" s="25">
        <v>274</v>
      </c>
      <c r="B275" s="25">
        <f>LARGE(Data!$J$2:$J$2379,A275)</f>
        <v>910</v>
      </c>
      <c r="C275" s="25">
        <f t="shared" si="4"/>
        <v>383800</v>
      </c>
      <c r="D275" s="28">
        <f>C275/SUM(Data!$J$2:$J$2379)</f>
        <v>0.31474598899783174</v>
      </c>
    </row>
    <row r="276" spans="1:4" x14ac:dyDescent="0.3">
      <c r="A276" s="25">
        <v>275</v>
      </c>
      <c r="B276" s="25">
        <f>LARGE(Data!$J$2:$J$2379,A276)</f>
        <v>910</v>
      </c>
      <c r="C276" s="25">
        <f t="shared" si="4"/>
        <v>384710</v>
      </c>
      <c r="D276" s="28">
        <f>C276/SUM(Data!$J$2:$J$2379)</f>
        <v>0.31549226010254255</v>
      </c>
    </row>
    <row r="277" spans="1:4" x14ac:dyDescent="0.3">
      <c r="A277" s="25">
        <v>276</v>
      </c>
      <c r="B277" s="25">
        <f>LARGE(Data!$J$2:$J$2379,A277)</f>
        <v>910</v>
      </c>
      <c r="C277" s="25">
        <f t="shared" si="4"/>
        <v>385620</v>
      </c>
      <c r="D277" s="28">
        <f>C277/SUM(Data!$J$2:$J$2379)</f>
        <v>0.31623853120725343</v>
      </c>
    </row>
    <row r="278" spans="1:4" x14ac:dyDescent="0.3">
      <c r="A278" s="25">
        <v>277</v>
      </c>
      <c r="B278" s="25">
        <f>LARGE(Data!$J$2:$J$2379,A278)</f>
        <v>910</v>
      </c>
      <c r="C278" s="25">
        <f t="shared" si="4"/>
        <v>386530</v>
      </c>
      <c r="D278" s="28">
        <f>C278/SUM(Data!$J$2:$J$2379)</f>
        <v>0.3169848023119643</v>
      </c>
    </row>
    <row r="279" spans="1:4" x14ac:dyDescent="0.3">
      <c r="A279" s="25">
        <v>278</v>
      </c>
      <c r="B279" s="25">
        <f>LARGE(Data!$J$2:$J$2379,A279)</f>
        <v>910</v>
      </c>
      <c r="C279" s="25">
        <f t="shared" si="4"/>
        <v>387440</v>
      </c>
      <c r="D279" s="28">
        <f>C279/SUM(Data!$J$2:$J$2379)</f>
        <v>0.31773107341667511</v>
      </c>
    </row>
    <row r="280" spans="1:4" x14ac:dyDescent="0.3">
      <c r="A280" s="25">
        <v>279</v>
      </c>
      <c r="B280" s="25">
        <f>LARGE(Data!$J$2:$J$2379,A280)</f>
        <v>910</v>
      </c>
      <c r="C280" s="25">
        <f t="shared" si="4"/>
        <v>388350</v>
      </c>
      <c r="D280" s="28">
        <f>C280/SUM(Data!$J$2:$J$2379)</f>
        <v>0.31847734452138599</v>
      </c>
    </row>
    <row r="281" spans="1:4" x14ac:dyDescent="0.3">
      <c r="A281" s="25">
        <v>280</v>
      </c>
      <c r="B281" s="25">
        <f>LARGE(Data!$J$2:$J$2379,A281)</f>
        <v>910</v>
      </c>
      <c r="C281" s="25">
        <f t="shared" si="4"/>
        <v>389260</v>
      </c>
      <c r="D281" s="28">
        <f>C281/SUM(Data!$J$2:$J$2379)</f>
        <v>0.31922361562609686</v>
      </c>
    </row>
    <row r="282" spans="1:4" x14ac:dyDescent="0.3">
      <c r="A282" s="25">
        <v>281</v>
      </c>
      <c r="B282" s="25">
        <f>LARGE(Data!$J$2:$J$2379,A282)</f>
        <v>910</v>
      </c>
      <c r="C282" s="25">
        <f t="shared" si="4"/>
        <v>390170</v>
      </c>
      <c r="D282" s="28">
        <f>C282/SUM(Data!$J$2:$J$2379)</f>
        <v>0.31996988673080773</v>
      </c>
    </row>
    <row r="283" spans="1:4" x14ac:dyDescent="0.3">
      <c r="A283" s="25">
        <v>282</v>
      </c>
      <c r="B283" s="25">
        <f>LARGE(Data!$J$2:$J$2379,A283)</f>
        <v>910</v>
      </c>
      <c r="C283" s="25">
        <f t="shared" si="4"/>
        <v>391080</v>
      </c>
      <c r="D283" s="28">
        <f>C283/SUM(Data!$J$2:$J$2379)</f>
        <v>0.32071615783551854</v>
      </c>
    </row>
    <row r="284" spans="1:4" x14ac:dyDescent="0.3">
      <c r="A284" s="25">
        <v>283</v>
      </c>
      <c r="B284" s="25">
        <f>LARGE(Data!$J$2:$J$2379,A284)</f>
        <v>910</v>
      </c>
      <c r="C284" s="25">
        <f t="shared" si="4"/>
        <v>391990</v>
      </c>
      <c r="D284" s="28">
        <f>C284/SUM(Data!$J$2:$J$2379)</f>
        <v>0.32146242894022942</v>
      </c>
    </row>
    <row r="285" spans="1:4" x14ac:dyDescent="0.3">
      <c r="A285" s="25">
        <v>284</v>
      </c>
      <c r="B285" s="25">
        <f>LARGE(Data!$J$2:$J$2379,A285)</f>
        <v>910</v>
      </c>
      <c r="C285" s="25">
        <f t="shared" si="4"/>
        <v>392900</v>
      </c>
      <c r="D285" s="28">
        <f>C285/SUM(Data!$J$2:$J$2379)</f>
        <v>0.32220870004494029</v>
      </c>
    </row>
    <row r="286" spans="1:4" x14ac:dyDescent="0.3">
      <c r="A286" s="25">
        <v>285</v>
      </c>
      <c r="B286" s="25">
        <f>LARGE(Data!$J$2:$J$2379,A286)</f>
        <v>910</v>
      </c>
      <c r="C286" s="25">
        <f t="shared" si="4"/>
        <v>393810</v>
      </c>
      <c r="D286" s="28">
        <f>C286/SUM(Data!$J$2:$J$2379)</f>
        <v>0.32295497114965116</v>
      </c>
    </row>
    <row r="287" spans="1:4" x14ac:dyDescent="0.3">
      <c r="A287" s="25">
        <v>286</v>
      </c>
      <c r="B287" s="25">
        <f>LARGE(Data!$J$2:$J$2379,A287)</f>
        <v>910</v>
      </c>
      <c r="C287" s="25">
        <f t="shared" si="4"/>
        <v>394720</v>
      </c>
      <c r="D287" s="28">
        <f>C287/SUM(Data!$J$2:$J$2379)</f>
        <v>0.32370124225436198</v>
      </c>
    </row>
    <row r="288" spans="1:4" x14ac:dyDescent="0.3">
      <c r="A288" s="25">
        <v>287</v>
      </c>
      <c r="B288" s="25">
        <f>LARGE(Data!$J$2:$J$2379,A288)</f>
        <v>900</v>
      </c>
      <c r="C288" s="25">
        <f t="shared" si="4"/>
        <v>395620</v>
      </c>
      <c r="D288" s="28">
        <f>C288/SUM(Data!$J$2:$J$2379)</f>
        <v>0.32443931257770242</v>
      </c>
    </row>
    <row r="289" spans="1:4" x14ac:dyDescent="0.3">
      <c r="A289" s="25">
        <v>288</v>
      </c>
      <c r="B289" s="25">
        <f>LARGE(Data!$J$2:$J$2379,A289)</f>
        <v>900</v>
      </c>
      <c r="C289" s="25">
        <f t="shared" si="4"/>
        <v>396520</v>
      </c>
      <c r="D289" s="28">
        <f>C289/SUM(Data!$J$2:$J$2379)</f>
        <v>0.32517738290104281</v>
      </c>
    </row>
    <row r="290" spans="1:4" x14ac:dyDescent="0.3">
      <c r="A290" s="25">
        <v>289</v>
      </c>
      <c r="B290" s="25">
        <f>LARGE(Data!$J$2:$J$2379,A290)</f>
        <v>900</v>
      </c>
      <c r="C290" s="25">
        <f t="shared" si="4"/>
        <v>397420</v>
      </c>
      <c r="D290" s="28">
        <f>C290/SUM(Data!$J$2:$J$2379)</f>
        <v>0.3259154532243832</v>
      </c>
    </row>
    <row r="291" spans="1:4" x14ac:dyDescent="0.3">
      <c r="A291" s="25">
        <v>290</v>
      </c>
      <c r="B291" s="25">
        <f>LARGE(Data!$J$2:$J$2379,A291)</f>
        <v>900</v>
      </c>
      <c r="C291" s="25">
        <f t="shared" si="4"/>
        <v>398320</v>
      </c>
      <c r="D291" s="28">
        <f>C291/SUM(Data!$J$2:$J$2379)</f>
        <v>0.32665352354772365</v>
      </c>
    </row>
    <row r="292" spans="1:4" x14ac:dyDescent="0.3">
      <c r="A292" s="25">
        <v>291</v>
      </c>
      <c r="B292" s="25">
        <f>LARGE(Data!$J$2:$J$2379,A292)</f>
        <v>900</v>
      </c>
      <c r="C292" s="25">
        <f t="shared" si="4"/>
        <v>399220</v>
      </c>
      <c r="D292" s="28">
        <f>C292/SUM(Data!$J$2:$J$2379)</f>
        <v>0.32739159387106403</v>
      </c>
    </row>
    <row r="293" spans="1:4" x14ac:dyDescent="0.3">
      <c r="A293" s="25">
        <v>292</v>
      </c>
      <c r="B293" s="25">
        <f>LARGE(Data!$J$2:$J$2379,A293)</f>
        <v>900</v>
      </c>
      <c r="C293" s="25">
        <f t="shared" si="4"/>
        <v>400120</v>
      </c>
      <c r="D293" s="28">
        <f>C293/SUM(Data!$J$2:$J$2379)</f>
        <v>0.32812966419440442</v>
      </c>
    </row>
    <row r="294" spans="1:4" x14ac:dyDescent="0.3">
      <c r="A294" s="25">
        <v>293</v>
      </c>
      <c r="B294" s="25">
        <f>LARGE(Data!$J$2:$J$2379,A294)</f>
        <v>900</v>
      </c>
      <c r="C294" s="25">
        <f t="shared" si="4"/>
        <v>401020</v>
      </c>
      <c r="D294" s="28">
        <f>C294/SUM(Data!$J$2:$J$2379)</f>
        <v>0.32886773451774487</v>
      </c>
    </row>
    <row r="295" spans="1:4" x14ac:dyDescent="0.3">
      <c r="A295" s="25">
        <v>294</v>
      </c>
      <c r="B295" s="25">
        <f>LARGE(Data!$J$2:$J$2379,A295)</f>
        <v>900</v>
      </c>
      <c r="C295" s="25">
        <f t="shared" si="4"/>
        <v>401920</v>
      </c>
      <c r="D295" s="28">
        <f>C295/SUM(Data!$J$2:$J$2379)</f>
        <v>0.32960580484108526</v>
      </c>
    </row>
    <row r="296" spans="1:4" x14ac:dyDescent="0.3">
      <c r="A296" s="25">
        <v>295</v>
      </c>
      <c r="B296" s="25">
        <f>LARGE(Data!$J$2:$J$2379,A296)</f>
        <v>900</v>
      </c>
      <c r="C296" s="25">
        <f t="shared" si="4"/>
        <v>402820</v>
      </c>
      <c r="D296" s="28">
        <f>C296/SUM(Data!$J$2:$J$2379)</f>
        <v>0.33034387516442565</v>
      </c>
    </row>
    <row r="297" spans="1:4" x14ac:dyDescent="0.3">
      <c r="A297" s="25">
        <v>296</v>
      </c>
      <c r="B297" s="25">
        <f>LARGE(Data!$J$2:$J$2379,A297)</f>
        <v>840</v>
      </c>
      <c r="C297" s="25">
        <f t="shared" si="4"/>
        <v>403660</v>
      </c>
      <c r="D297" s="28">
        <f>C297/SUM(Data!$J$2:$J$2379)</f>
        <v>0.33103274079954337</v>
      </c>
    </row>
    <row r="298" spans="1:4" x14ac:dyDescent="0.3">
      <c r="A298" s="25">
        <v>297</v>
      </c>
      <c r="B298" s="25">
        <f>LARGE(Data!$J$2:$J$2379,A298)</f>
        <v>840</v>
      </c>
      <c r="C298" s="25">
        <f t="shared" si="4"/>
        <v>404500</v>
      </c>
      <c r="D298" s="28">
        <f>C298/SUM(Data!$J$2:$J$2379)</f>
        <v>0.33172160643466109</v>
      </c>
    </row>
    <row r="299" spans="1:4" x14ac:dyDescent="0.3">
      <c r="A299" s="25">
        <v>298</v>
      </c>
      <c r="B299" s="25">
        <f>LARGE(Data!$J$2:$J$2379,A299)</f>
        <v>840</v>
      </c>
      <c r="C299" s="25">
        <f t="shared" si="4"/>
        <v>405340</v>
      </c>
      <c r="D299" s="28">
        <f>C299/SUM(Data!$J$2:$J$2379)</f>
        <v>0.33241047206977881</v>
      </c>
    </row>
    <row r="300" spans="1:4" x14ac:dyDescent="0.3">
      <c r="A300" s="25">
        <v>299</v>
      </c>
      <c r="B300" s="25">
        <f>LARGE(Data!$J$2:$J$2379,A300)</f>
        <v>840</v>
      </c>
      <c r="C300" s="25">
        <f t="shared" si="4"/>
        <v>406180</v>
      </c>
      <c r="D300" s="28">
        <f>C300/SUM(Data!$J$2:$J$2379)</f>
        <v>0.33309933770489653</v>
      </c>
    </row>
    <row r="301" spans="1:4" x14ac:dyDescent="0.3">
      <c r="A301" s="25">
        <v>300</v>
      </c>
      <c r="B301" s="25">
        <f>LARGE(Data!$J$2:$J$2379,A301)</f>
        <v>840</v>
      </c>
      <c r="C301" s="25">
        <f t="shared" si="4"/>
        <v>407020</v>
      </c>
      <c r="D301" s="28">
        <f>C301/SUM(Data!$J$2:$J$2379)</f>
        <v>0.33378820334001424</v>
      </c>
    </row>
    <row r="302" spans="1:4" x14ac:dyDescent="0.3">
      <c r="A302" s="25">
        <v>301</v>
      </c>
      <c r="B302" s="25">
        <f>LARGE(Data!$J$2:$J$2379,A302)</f>
        <v>840</v>
      </c>
      <c r="C302" s="25">
        <f t="shared" si="4"/>
        <v>407860</v>
      </c>
      <c r="D302" s="28">
        <f>C302/SUM(Data!$J$2:$J$2379)</f>
        <v>0.33447706897513196</v>
      </c>
    </row>
    <row r="303" spans="1:4" x14ac:dyDescent="0.3">
      <c r="A303" s="25">
        <v>302</v>
      </c>
      <c r="B303" s="25">
        <f>LARGE(Data!$J$2:$J$2379,A303)</f>
        <v>840</v>
      </c>
      <c r="C303" s="25">
        <f t="shared" si="4"/>
        <v>408700</v>
      </c>
      <c r="D303" s="28">
        <f>C303/SUM(Data!$J$2:$J$2379)</f>
        <v>0.33516593461024968</v>
      </c>
    </row>
    <row r="304" spans="1:4" x14ac:dyDescent="0.3">
      <c r="A304" s="25">
        <v>303</v>
      </c>
      <c r="B304" s="25">
        <f>LARGE(Data!$J$2:$J$2379,A304)</f>
        <v>840</v>
      </c>
      <c r="C304" s="25">
        <f t="shared" si="4"/>
        <v>409540</v>
      </c>
      <c r="D304" s="28">
        <f>C304/SUM(Data!$J$2:$J$2379)</f>
        <v>0.3358548002453674</v>
      </c>
    </row>
    <row r="305" spans="1:4" x14ac:dyDescent="0.3">
      <c r="A305" s="25">
        <v>304</v>
      </c>
      <c r="B305" s="25">
        <f>LARGE(Data!$J$2:$J$2379,A305)</f>
        <v>840</v>
      </c>
      <c r="C305" s="25">
        <f t="shared" si="4"/>
        <v>410380</v>
      </c>
      <c r="D305" s="28">
        <f>C305/SUM(Data!$J$2:$J$2379)</f>
        <v>0.33654366588048507</v>
      </c>
    </row>
    <row r="306" spans="1:4" x14ac:dyDescent="0.3">
      <c r="A306" s="25">
        <v>305</v>
      </c>
      <c r="B306" s="25">
        <f>LARGE(Data!$J$2:$J$2379,A306)</f>
        <v>840</v>
      </c>
      <c r="C306" s="25">
        <f t="shared" si="4"/>
        <v>411220</v>
      </c>
      <c r="D306" s="28">
        <f>C306/SUM(Data!$J$2:$J$2379)</f>
        <v>0.33723253151560278</v>
      </c>
    </row>
    <row r="307" spans="1:4" x14ac:dyDescent="0.3">
      <c r="A307" s="25">
        <v>306</v>
      </c>
      <c r="B307" s="25">
        <f>LARGE(Data!$J$2:$J$2379,A307)</f>
        <v>840</v>
      </c>
      <c r="C307" s="25">
        <f t="shared" si="4"/>
        <v>412060</v>
      </c>
      <c r="D307" s="28">
        <f>C307/SUM(Data!$J$2:$J$2379)</f>
        <v>0.3379213971507205</v>
      </c>
    </row>
    <row r="308" spans="1:4" x14ac:dyDescent="0.3">
      <c r="A308" s="25">
        <v>307</v>
      </c>
      <c r="B308" s="25">
        <f>LARGE(Data!$J$2:$J$2379,A308)</f>
        <v>840</v>
      </c>
      <c r="C308" s="25">
        <f t="shared" si="4"/>
        <v>412900</v>
      </c>
      <c r="D308" s="28">
        <f>C308/SUM(Data!$J$2:$J$2379)</f>
        <v>0.33861026278583822</v>
      </c>
    </row>
    <row r="309" spans="1:4" x14ac:dyDescent="0.3">
      <c r="A309" s="25">
        <v>308</v>
      </c>
      <c r="B309" s="25">
        <f>LARGE(Data!$J$2:$J$2379,A309)</f>
        <v>840</v>
      </c>
      <c r="C309" s="25">
        <f t="shared" si="4"/>
        <v>413740</v>
      </c>
      <c r="D309" s="28">
        <f>C309/SUM(Data!$J$2:$J$2379)</f>
        <v>0.33929912842095594</v>
      </c>
    </row>
    <row r="310" spans="1:4" x14ac:dyDescent="0.3">
      <c r="A310" s="25">
        <v>309</v>
      </c>
      <c r="B310" s="25">
        <f>LARGE(Data!$J$2:$J$2379,A310)</f>
        <v>840</v>
      </c>
      <c r="C310" s="25">
        <f t="shared" si="4"/>
        <v>414580</v>
      </c>
      <c r="D310" s="28">
        <f>C310/SUM(Data!$J$2:$J$2379)</f>
        <v>0.33998799405607366</v>
      </c>
    </row>
    <row r="311" spans="1:4" x14ac:dyDescent="0.3">
      <c r="A311" s="25">
        <v>310</v>
      </c>
      <c r="B311" s="25">
        <f>LARGE(Data!$J$2:$J$2379,A311)</f>
        <v>840</v>
      </c>
      <c r="C311" s="25">
        <f t="shared" si="4"/>
        <v>415420</v>
      </c>
      <c r="D311" s="28">
        <f>C311/SUM(Data!$J$2:$J$2379)</f>
        <v>0.34067685969119138</v>
      </c>
    </row>
    <row r="312" spans="1:4" x14ac:dyDescent="0.3">
      <c r="A312" s="25">
        <v>311</v>
      </c>
      <c r="B312" s="25">
        <f>LARGE(Data!$J$2:$J$2379,A312)</f>
        <v>840</v>
      </c>
      <c r="C312" s="25">
        <f t="shared" si="4"/>
        <v>416260</v>
      </c>
      <c r="D312" s="28">
        <f>C312/SUM(Data!$J$2:$J$2379)</f>
        <v>0.3413657253263091</v>
      </c>
    </row>
    <row r="313" spans="1:4" x14ac:dyDescent="0.3">
      <c r="A313" s="25">
        <v>312</v>
      </c>
      <c r="B313" s="25">
        <f>LARGE(Data!$J$2:$J$2379,A313)</f>
        <v>840</v>
      </c>
      <c r="C313" s="25">
        <f t="shared" si="4"/>
        <v>417100</v>
      </c>
      <c r="D313" s="28">
        <f>C313/SUM(Data!$J$2:$J$2379)</f>
        <v>0.34205459096142682</v>
      </c>
    </row>
    <row r="314" spans="1:4" x14ac:dyDescent="0.3">
      <c r="A314" s="25">
        <v>313</v>
      </c>
      <c r="B314" s="25">
        <f>LARGE(Data!$J$2:$J$2379,A314)</f>
        <v>840</v>
      </c>
      <c r="C314" s="25">
        <f t="shared" si="4"/>
        <v>417940</v>
      </c>
      <c r="D314" s="28">
        <f>C314/SUM(Data!$J$2:$J$2379)</f>
        <v>0.34274345659654454</v>
      </c>
    </row>
    <row r="315" spans="1:4" x14ac:dyDescent="0.3">
      <c r="A315" s="25">
        <v>314</v>
      </c>
      <c r="B315" s="25">
        <f>LARGE(Data!$J$2:$J$2379,A315)</f>
        <v>840</v>
      </c>
      <c r="C315" s="25">
        <f t="shared" si="4"/>
        <v>418780</v>
      </c>
      <c r="D315" s="28">
        <f>C315/SUM(Data!$J$2:$J$2379)</f>
        <v>0.34343232223166226</v>
      </c>
    </row>
    <row r="316" spans="1:4" x14ac:dyDescent="0.3">
      <c r="A316" s="25">
        <v>315</v>
      </c>
      <c r="B316" s="25">
        <f>LARGE(Data!$J$2:$J$2379,A316)</f>
        <v>840</v>
      </c>
      <c r="C316" s="25">
        <f t="shared" si="4"/>
        <v>419620</v>
      </c>
      <c r="D316" s="28">
        <f>C316/SUM(Data!$J$2:$J$2379)</f>
        <v>0.34412118786677992</v>
      </c>
    </row>
    <row r="317" spans="1:4" x14ac:dyDescent="0.3">
      <c r="A317" s="25">
        <v>316</v>
      </c>
      <c r="B317" s="25">
        <f>LARGE(Data!$J$2:$J$2379,A317)</f>
        <v>840</v>
      </c>
      <c r="C317" s="25">
        <f t="shared" si="4"/>
        <v>420460</v>
      </c>
      <c r="D317" s="28">
        <f>C317/SUM(Data!$J$2:$J$2379)</f>
        <v>0.34481005350189764</v>
      </c>
    </row>
    <row r="318" spans="1:4" x14ac:dyDescent="0.3">
      <c r="A318" s="25">
        <v>317</v>
      </c>
      <c r="B318" s="25">
        <f>LARGE(Data!$J$2:$J$2379,A318)</f>
        <v>840</v>
      </c>
      <c r="C318" s="25">
        <f t="shared" si="4"/>
        <v>421300</v>
      </c>
      <c r="D318" s="28">
        <f>C318/SUM(Data!$J$2:$J$2379)</f>
        <v>0.34549891913701536</v>
      </c>
    </row>
    <row r="319" spans="1:4" x14ac:dyDescent="0.3">
      <c r="A319" s="25">
        <v>318</v>
      </c>
      <c r="B319" s="25">
        <f>LARGE(Data!$J$2:$J$2379,A319)</f>
        <v>780</v>
      </c>
      <c r="C319" s="25">
        <f t="shared" si="4"/>
        <v>422080</v>
      </c>
      <c r="D319" s="28">
        <f>C319/SUM(Data!$J$2:$J$2379)</f>
        <v>0.34613858008391041</v>
      </c>
    </row>
    <row r="320" spans="1:4" x14ac:dyDescent="0.3">
      <c r="A320" s="25">
        <v>319</v>
      </c>
      <c r="B320" s="25">
        <f>LARGE(Data!$J$2:$J$2379,A320)</f>
        <v>780</v>
      </c>
      <c r="C320" s="25">
        <f t="shared" si="4"/>
        <v>422860</v>
      </c>
      <c r="D320" s="28">
        <f>C320/SUM(Data!$J$2:$J$2379)</f>
        <v>0.3467782410308054</v>
      </c>
    </row>
    <row r="321" spans="1:4" x14ac:dyDescent="0.3">
      <c r="A321" s="25">
        <v>320</v>
      </c>
      <c r="B321" s="25">
        <f>LARGE(Data!$J$2:$J$2379,A321)</f>
        <v>780</v>
      </c>
      <c r="C321" s="25">
        <f t="shared" si="4"/>
        <v>423640</v>
      </c>
      <c r="D321" s="28">
        <f>C321/SUM(Data!$J$2:$J$2379)</f>
        <v>0.34741790197770045</v>
      </c>
    </row>
    <row r="322" spans="1:4" x14ac:dyDescent="0.3">
      <c r="A322" s="25">
        <v>321</v>
      </c>
      <c r="B322" s="25">
        <f>LARGE(Data!$J$2:$J$2379,A322)</f>
        <v>780</v>
      </c>
      <c r="C322" s="25">
        <f t="shared" si="4"/>
        <v>424420</v>
      </c>
      <c r="D322" s="28">
        <f>C322/SUM(Data!$J$2:$J$2379)</f>
        <v>0.34805756292459544</v>
      </c>
    </row>
    <row r="323" spans="1:4" x14ac:dyDescent="0.3">
      <c r="A323" s="25">
        <v>322</v>
      </c>
      <c r="B323" s="25">
        <f>LARGE(Data!$J$2:$J$2379,A323)</f>
        <v>780</v>
      </c>
      <c r="C323" s="25">
        <f t="shared" ref="C323:C386" si="5">C322+B323</f>
        <v>425200</v>
      </c>
      <c r="D323" s="28">
        <f>C323/SUM(Data!$J$2:$J$2379)</f>
        <v>0.34869722387149049</v>
      </c>
    </row>
    <row r="324" spans="1:4" x14ac:dyDescent="0.3">
      <c r="A324" s="25">
        <v>323</v>
      </c>
      <c r="B324" s="25">
        <f>LARGE(Data!$J$2:$J$2379,A324)</f>
        <v>780</v>
      </c>
      <c r="C324" s="25">
        <f t="shared" si="5"/>
        <v>425980</v>
      </c>
      <c r="D324" s="28">
        <f>C324/SUM(Data!$J$2:$J$2379)</f>
        <v>0.34933688481838548</v>
      </c>
    </row>
    <row r="325" spans="1:4" x14ac:dyDescent="0.3">
      <c r="A325" s="25">
        <v>324</v>
      </c>
      <c r="B325" s="25">
        <f>LARGE(Data!$J$2:$J$2379,A325)</f>
        <v>780</v>
      </c>
      <c r="C325" s="25">
        <f t="shared" si="5"/>
        <v>426760</v>
      </c>
      <c r="D325" s="28">
        <f>C325/SUM(Data!$J$2:$J$2379)</f>
        <v>0.34997654576528053</v>
      </c>
    </row>
    <row r="326" spans="1:4" x14ac:dyDescent="0.3">
      <c r="A326" s="25">
        <v>325</v>
      </c>
      <c r="B326" s="25">
        <f>LARGE(Data!$J$2:$J$2379,A326)</f>
        <v>780</v>
      </c>
      <c r="C326" s="25">
        <f t="shared" si="5"/>
        <v>427540</v>
      </c>
      <c r="D326" s="28">
        <f>C326/SUM(Data!$J$2:$J$2379)</f>
        <v>0.35061620671217553</v>
      </c>
    </row>
    <row r="327" spans="1:4" x14ac:dyDescent="0.3">
      <c r="A327" s="25">
        <v>326</v>
      </c>
      <c r="B327" s="25">
        <f>LARGE(Data!$J$2:$J$2379,A327)</f>
        <v>780</v>
      </c>
      <c r="C327" s="25">
        <f t="shared" si="5"/>
        <v>428320</v>
      </c>
      <c r="D327" s="28">
        <f>C327/SUM(Data!$J$2:$J$2379)</f>
        <v>0.35125586765907058</v>
      </c>
    </row>
    <row r="328" spans="1:4" x14ac:dyDescent="0.3">
      <c r="A328" s="25">
        <v>327</v>
      </c>
      <c r="B328" s="25">
        <f>LARGE(Data!$J$2:$J$2379,A328)</f>
        <v>780</v>
      </c>
      <c r="C328" s="25">
        <f t="shared" si="5"/>
        <v>429100</v>
      </c>
      <c r="D328" s="28">
        <f>C328/SUM(Data!$J$2:$J$2379)</f>
        <v>0.35189552860596557</v>
      </c>
    </row>
    <row r="329" spans="1:4" x14ac:dyDescent="0.3">
      <c r="A329" s="25">
        <v>328</v>
      </c>
      <c r="B329" s="25">
        <f>LARGE(Data!$J$2:$J$2379,A329)</f>
        <v>780</v>
      </c>
      <c r="C329" s="25">
        <f t="shared" si="5"/>
        <v>429880</v>
      </c>
      <c r="D329" s="28">
        <f>C329/SUM(Data!$J$2:$J$2379)</f>
        <v>0.35253518955286062</v>
      </c>
    </row>
    <row r="330" spans="1:4" x14ac:dyDescent="0.3">
      <c r="A330" s="25">
        <v>329</v>
      </c>
      <c r="B330" s="25">
        <f>LARGE(Data!$J$2:$J$2379,A330)</f>
        <v>780</v>
      </c>
      <c r="C330" s="25">
        <f t="shared" si="5"/>
        <v>430660</v>
      </c>
      <c r="D330" s="28">
        <f>C330/SUM(Data!$J$2:$J$2379)</f>
        <v>0.35317485049975561</v>
      </c>
    </row>
    <row r="331" spans="1:4" x14ac:dyDescent="0.3">
      <c r="A331" s="25">
        <v>330</v>
      </c>
      <c r="B331" s="25">
        <f>LARGE(Data!$J$2:$J$2379,A331)</f>
        <v>780</v>
      </c>
      <c r="C331" s="25">
        <f t="shared" si="5"/>
        <v>431440</v>
      </c>
      <c r="D331" s="28">
        <f>C331/SUM(Data!$J$2:$J$2379)</f>
        <v>0.35381451144665066</v>
      </c>
    </row>
    <row r="332" spans="1:4" x14ac:dyDescent="0.3">
      <c r="A332" s="25">
        <v>331</v>
      </c>
      <c r="B332" s="25">
        <f>LARGE(Data!$J$2:$J$2379,A332)</f>
        <v>780</v>
      </c>
      <c r="C332" s="25">
        <f t="shared" si="5"/>
        <v>432220</v>
      </c>
      <c r="D332" s="28">
        <f>C332/SUM(Data!$J$2:$J$2379)</f>
        <v>0.35445417239354565</v>
      </c>
    </row>
    <row r="333" spans="1:4" x14ac:dyDescent="0.3">
      <c r="A333" s="25">
        <v>332</v>
      </c>
      <c r="B333" s="25">
        <f>LARGE(Data!$J$2:$J$2379,A333)</f>
        <v>780</v>
      </c>
      <c r="C333" s="25">
        <f t="shared" si="5"/>
        <v>433000</v>
      </c>
      <c r="D333" s="28">
        <f>C333/SUM(Data!$J$2:$J$2379)</f>
        <v>0.3550938333404407</v>
      </c>
    </row>
    <row r="334" spans="1:4" x14ac:dyDescent="0.3">
      <c r="A334" s="25">
        <v>333</v>
      </c>
      <c r="B334" s="25">
        <f>LARGE(Data!$J$2:$J$2379,A334)</f>
        <v>780</v>
      </c>
      <c r="C334" s="25">
        <f t="shared" si="5"/>
        <v>433780</v>
      </c>
      <c r="D334" s="28">
        <f>C334/SUM(Data!$J$2:$J$2379)</f>
        <v>0.35573349428733569</v>
      </c>
    </row>
    <row r="335" spans="1:4" x14ac:dyDescent="0.3">
      <c r="A335" s="25">
        <v>334</v>
      </c>
      <c r="B335" s="25">
        <f>LARGE(Data!$J$2:$J$2379,A335)</f>
        <v>780</v>
      </c>
      <c r="C335" s="25">
        <f t="shared" si="5"/>
        <v>434560</v>
      </c>
      <c r="D335" s="28">
        <f>C335/SUM(Data!$J$2:$J$2379)</f>
        <v>0.35637315523423074</v>
      </c>
    </row>
    <row r="336" spans="1:4" x14ac:dyDescent="0.3">
      <c r="A336" s="25">
        <v>335</v>
      </c>
      <c r="B336" s="25">
        <f>LARGE(Data!$J$2:$J$2379,A336)</f>
        <v>780</v>
      </c>
      <c r="C336" s="25">
        <f t="shared" si="5"/>
        <v>435340</v>
      </c>
      <c r="D336" s="28">
        <f>C336/SUM(Data!$J$2:$J$2379)</f>
        <v>0.35701281618112574</v>
      </c>
    </row>
    <row r="337" spans="1:4" x14ac:dyDescent="0.3">
      <c r="A337" s="25">
        <v>336</v>
      </c>
      <c r="B337" s="25">
        <f>LARGE(Data!$J$2:$J$2379,A337)</f>
        <v>780</v>
      </c>
      <c r="C337" s="25">
        <f t="shared" si="5"/>
        <v>436120</v>
      </c>
      <c r="D337" s="28">
        <f>C337/SUM(Data!$J$2:$J$2379)</f>
        <v>0.35765247712802078</v>
      </c>
    </row>
    <row r="338" spans="1:4" x14ac:dyDescent="0.3">
      <c r="A338" s="25">
        <v>337</v>
      </c>
      <c r="B338" s="25">
        <f>LARGE(Data!$J$2:$J$2379,A338)</f>
        <v>780</v>
      </c>
      <c r="C338" s="25">
        <f t="shared" si="5"/>
        <v>436900</v>
      </c>
      <c r="D338" s="28">
        <f>C338/SUM(Data!$J$2:$J$2379)</f>
        <v>0.35829213807491578</v>
      </c>
    </row>
    <row r="339" spans="1:4" x14ac:dyDescent="0.3">
      <c r="A339" s="25">
        <v>338</v>
      </c>
      <c r="B339" s="25">
        <f>LARGE(Data!$J$2:$J$2379,A339)</f>
        <v>780</v>
      </c>
      <c r="C339" s="25">
        <f t="shared" si="5"/>
        <v>437680</v>
      </c>
      <c r="D339" s="28">
        <f>C339/SUM(Data!$J$2:$J$2379)</f>
        <v>0.35893179902181077</v>
      </c>
    </row>
    <row r="340" spans="1:4" x14ac:dyDescent="0.3">
      <c r="A340" s="25">
        <v>339</v>
      </c>
      <c r="B340" s="25">
        <f>LARGE(Data!$J$2:$J$2379,A340)</f>
        <v>780</v>
      </c>
      <c r="C340" s="25">
        <f t="shared" si="5"/>
        <v>438460</v>
      </c>
      <c r="D340" s="28">
        <f>C340/SUM(Data!$J$2:$J$2379)</f>
        <v>0.35957145996870582</v>
      </c>
    </row>
    <row r="341" spans="1:4" x14ac:dyDescent="0.3">
      <c r="A341" s="25">
        <v>340</v>
      </c>
      <c r="B341" s="25">
        <f>LARGE(Data!$J$2:$J$2379,A341)</f>
        <v>780</v>
      </c>
      <c r="C341" s="25">
        <f t="shared" si="5"/>
        <v>439240</v>
      </c>
      <c r="D341" s="28">
        <f>C341/SUM(Data!$J$2:$J$2379)</f>
        <v>0.36021112091560081</v>
      </c>
    </row>
    <row r="342" spans="1:4" x14ac:dyDescent="0.3">
      <c r="A342" s="25">
        <v>341</v>
      </c>
      <c r="B342" s="25">
        <f>LARGE(Data!$J$2:$J$2379,A342)</f>
        <v>780</v>
      </c>
      <c r="C342" s="25">
        <f t="shared" si="5"/>
        <v>440020</v>
      </c>
      <c r="D342" s="28">
        <f>C342/SUM(Data!$J$2:$J$2379)</f>
        <v>0.36085078186249586</v>
      </c>
    </row>
    <row r="343" spans="1:4" x14ac:dyDescent="0.3">
      <c r="A343" s="25">
        <v>342</v>
      </c>
      <c r="B343" s="25">
        <f>LARGE(Data!$J$2:$J$2379,A343)</f>
        <v>780</v>
      </c>
      <c r="C343" s="25">
        <f t="shared" si="5"/>
        <v>440800</v>
      </c>
      <c r="D343" s="28">
        <f>C343/SUM(Data!$J$2:$J$2379)</f>
        <v>0.36149044280939086</v>
      </c>
    </row>
    <row r="344" spans="1:4" x14ac:dyDescent="0.3">
      <c r="A344" s="25">
        <v>343</v>
      </c>
      <c r="B344" s="25">
        <f>LARGE(Data!$J$2:$J$2379,A344)</f>
        <v>780</v>
      </c>
      <c r="C344" s="25">
        <f t="shared" si="5"/>
        <v>441580</v>
      </c>
      <c r="D344" s="28">
        <f>C344/SUM(Data!$J$2:$J$2379)</f>
        <v>0.3621301037562859</v>
      </c>
    </row>
    <row r="345" spans="1:4" x14ac:dyDescent="0.3">
      <c r="A345" s="25">
        <v>344</v>
      </c>
      <c r="B345" s="25">
        <f>LARGE(Data!$J$2:$J$2379,A345)</f>
        <v>780</v>
      </c>
      <c r="C345" s="25">
        <f t="shared" si="5"/>
        <v>442360</v>
      </c>
      <c r="D345" s="28">
        <f>C345/SUM(Data!$J$2:$J$2379)</f>
        <v>0.3627697647031809</v>
      </c>
    </row>
    <row r="346" spans="1:4" x14ac:dyDescent="0.3">
      <c r="A346" s="25">
        <v>345</v>
      </c>
      <c r="B346" s="25">
        <f>LARGE(Data!$J$2:$J$2379,A346)</f>
        <v>780</v>
      </c>
      <c r="C346" s="25">
        <f t="shared" si="5"/>
        <v>443140</v>
      </c>
      <c r="D346" s="28">
        <f>C346/SUM(Data!$J$2:$J$2379)</f>
        <v>0.36340942565007595</v>
      </c>
    </row>
    <row r="347" spans="1:4" x14ac:dyDescent="0.3">
      <c r="A347" s="25">
        <v>346</v>
      </c>
      <c r="B347" s="25">
        <f>LARGE(Data!$J$2:$J$2379,A347)</f>
        <v>780</v>
      </c>
      <c r="C347" s="25">
        <f t="shared" si="5"/>
        <v>443920</v>
      </c>
      <c r="D347" s="28">
        <f>C347/SUM(Data!$J$2:$J$2379)</f>
        <v>0.36404908659697094</v>
      </c>
    </row>
    <row r="348" spans="1:4" x14ac:dyDescent="0.3">
      <c r="A348" s="25">
        <v>347</v>
      </c>
      <c r="B348" s="25">
        <f>LARGE(Data!$J$2:$J$2379,A348)</f>
        <v>780</v>
      </c>
      <c r="C348" s="25">
        <f t="shared" si="5"/>
        <v>444700</v>
      </c>
      <c r="D348" s="28">
        <f>C348/SUM(Data!$J$2:$J$2379)</f>
        <v>0.36468874754386599</v>
      </c>
    </row>
    <row r="349" spans="1:4" x14ac:dyDescent="0.3">
      <c r="A349" s="25">
        <v>348</v>
      </c>
      <c r="B349" s="25">
        <f>LARGE(Data!$J$2:$J$2379,A349)</f>
        <v>780</v>
      </c>
      <c r="C349" s="25">
        <f t="shared" si="5"/>
        <v>445480</v>
      </c>
      <c r="D349" s="28">
        <f>C349/SUM(Data!$J$2:$J$2379)</f>
        <v>0.36532840849076098</v>
      </c>
    </row>
    <row r="350" spans="1:4" x14ac:dyDescent="0.3">
      <c r="A350" s="25">
        <v>349</v>
      </c>
      <c r="B350" s="25">
        <f>LARGE(Data!$J$2:$J$2379,A350)</f>
        <v>780</v>
      </c>
      <c r="C350" s="25">
        <f t="shared" si="5"/>
        <v>446260</v>
      </c>
      <c r="D350" s="28">
        <f>C350/SUM(Data!$J$2:$J$2379)</f>
        <v>0.36596806943765603</v>
      </c>
    </row>
    <row r="351" spans="1:4" x14ac:dyDescent="0.3">
      <c r="A351" s="25">
        <v>350</v>
      </c>
      <c r="B351" s="25">
        <f>LARGE(Data!$J$2:$J$2379,A351)</f>
        <v>780</v>
      </c>
      <c r="C351" s="25">
        <f t="shared" si="5"/>
        <v>447040</v>
      </c>
      <c r="D351" s="28">
        <f>C351/SUM(Data!$J$2:$J$2379)</f>
        <v>0.36660773038455102</v>
      </c>
    </row>
    <row r="352" spans="1:4" x14ac:dyDescent="0.3">
      <c r="A352" s="25">
        <v>351</v>
      </c>
      <c r="B352" s="25">
        <f>LARGE(Data!$J$2:$J$2379,A352)</f>
        <v>780</v>
      </c>
      <c r="C352" s="25">
        <f t="shared" si="5"/>
        <v>447820</v>
      </c>
      <c r="D352" s="28">
        <f>C352/SUM(Data!$J$2:$J$2379)</f>
        <v>0.36724739133144607</v>
      </c>
    </row>
    <row r="353" spans="1:4" x14ac:dyDescent="0.3">
      <c r="A353" s="25">
        <v>352</v>
      </c>
      <c r="B353" s="25">
        <f>LARGE(Data!$J$2:$J$2379,A353)</f>
        <v>780</v>
      </c>
      <c r="C353" s="25">
        <f t="shared" si="5"/>
        <v>448600</v>
      </c>
      <c r="D353" s="28">
        <f>C353/SUM(Data!$J$2:$J$2379)</f>
        <v>0.36788705227834106</v>
      </c>
    </row>
    <row r="354" spans="1:4" x14ac:dyDescent="0.3">
      <c r="A354" s="25">
        <v>353</v>
      </c>
      <c r="B354" s="25">
        <f>LARGE(Data!$J$2:$J$2379,A354)</f>
        <v>780</v>
      </c>
      <c r="C354" s="25">
        <f t="shared" si="5"/>
        <v>449380</v>
      </c>
      <c r="D354" s="28">
        <f>C354/SUM(Data!$J$2:$J$2379)</f>
        <v>0.36852671322523611</v>
      </c>
    </row>
    <row r="355" spans="1:4" x14ac:dyDescent="0.3">
      <c r="A355" s="25">
        <v>354</v>
      </c>
      <c r="B355" s="25">
        <f>LARGE(Data!$J$2:$J$2379,A355)</f>
        <v>780</v>
      </c>
      <c r="C355" s="25">
        <f t="shared" si="5"/>
        <v>450160</v>
      </c>
      <c r="D355" s="28">
        <f>C355/SUM(Data!$J$2:$J$2379)</f>
        <v>0.36916637417213111</v>
      </c>
    </row>
    <row r="356" spans="1:4" x14ac:dyDescent="0.3">
      <c r="A356" s="25">
        <v>355</v>
      </c>
      <c r="B356" s="25">
        <f>LARGE(Data!$J$2:$J$2379,A356)</f>
        <v>780</v>
      </c>
      <c r="C356" s="25">
        <f t="shared" si="5"/>
        <v>450940</v>
      </c>
      <c r="D356" s="28">
        <f>C356/SUM(Data!$J$2:$J$2379)</f>
        <v>0.36980603511902616</v>
      </c>
    </row>
    <row r="357" spans="1:4" x14ac:dyDescent="0.3">
      <c r="A357" s="25">
        <v>356</v>
      </c>
      <c r="B357" s="25">
        <f>LARGE(Data!$J$2:$J$2379,A357)</f>
        <v>780</v>
      </c>
      <c r="C357" s="25">
        <f t="shared" si="5"/>
        <v>451720</v>
      </c>
      <c r="D357" s="28">
        <f>C357/SUM(Data!$J$2:$J$2379)</f>
        <v>0.37044569606592115</v>
      </c>
    </row>
    <row r="358" spans="1:4" x14ac:dyDescent="0.3">
      <c r="A358" s="25">
        <v>357</v>
      </c>
      <c r="B358" s="25">
        <f>LARGE(Data!$J$2:$J$2379,A358)</f>
        <v>780</v>
      </c>
      <c r="C358" s="25">
        <f t="shared" si="5"/>
        <v>452500</v>
      </c>
      <c r="D358" s="28">
        <f>C358/SUM(Data!$J$2:$J$2379)</f>
        <v>0.3710853570128162</v>
      </c>
    </row>
    <row r="359" spans="1:4" x14ac:dyDescent="0.3">
      <c r="A359" s="25">
        <v>358</v>
      </c>
      <c r="B359" s="25">
        <f>LARGE(Data!$J$2:$J$2379,A359)</f>
        <v>780</v>
      </c>
      <c r="C359" s="25">
        <f t="shared" si="5"/>
        <v>453280</v>
      </c>
      <c r="D359" s="28">
        <f>C359/SUM(Data!$J$2:$J$2379)</f>
        <v>0.37172501795971119</v>
      </c>
    </row>
    <row r="360" spans="1:4" x14ac:dyDescent="0.3">
      <c r="A360" s="25">
        <v>359</v>
      </c>
      <c r="B360" s="25">
        <f>LARGE(Data!$J$2:$J$2379,A360)</f>
        <v>780</v>
      </c>
      <c r="C360" s="25">
        <f t="shared" si="5"/>
        <v>454060</v>
      </c>
      <c r="D360" s="28">
        <f>C360/SUM(Data!$J$2:$J$2379)</f>
        <v>0.37236467890660624</v>
      </c>
    </row>
    <row r="361" spans="1:4" x14ac:dyDescent="0.3">
      <c r="A361" s="25">
        <v>360</v>
      </c>
      <c r="B361" s="25">
        <f>LARGE(Data!$J$2:$J$2379,A361)</f>
        <v>780</v>
      </c>
      <c r="C361" s="25">
        <f t="shared" si="5"/>
        <v>454840</v>
      </c>
      <c r="D361" s="28">
        <f>C361/SUM(Data!$J$2:$J$2379)</f>
        <v>0.37300433985350123</v>
      </c>
    </row>
    <row r="362" spans="1:4" x14ac:dyDescent="0.3">
      <c r="A362" s="25">
        <v>361</v>
      </c>
      <c r="B362" s="25">
        <f>LARGE(Data!$J$2:$J$2379,A362)</f>
        <v>780</v>
      </c>
      <c r="C362" s="25">
        <f t="shared" si="5"/>
        <v>455620</v>
      </c>
      <c r="D362" s="28">
        <f>C362/SUM(Data!$J$2:$J$2379)</f>
        <v>0.37364400080039628</v>
      </c>
    </row>
    <row r="363" spans="1:4" x14ac:dyDescent="0.3">
      <c r="A363" s="25">
        <v>362</v>
      </c>
      <c r="B363" s="25">
        <f>LARGE(Data!$J$2:$J$2379,A363)</f>
        <v>780</v>
      </c>
      <c r="C363" s="25">
        <f t="shared" si="5"/>
        <v>456400</v>
      </c>
      <c r="D363" s="28">
        <f>C363/SUM(Data!$J$2:$J$2379)</f>
        <v>0.37428366174729127</v>
      </c>
    </row>
    <row r="364" spans="1:4" x14ac:dyDescent="0.3">
      <c r="A364" s="25">
        <v>363</v>
      </c>
      <c r="B364" s="25">
        <f>LARGE(Data!$J$2:$J$2379,A364)</f>
        <v>780</v>
      </c>
      <c r="C364" s="25">
        <f t="shared" si="5"/>
        <v>457180</v>
      </c>
      <c r="D364" s="28">
        <f>C364/SUM(Data!$J$2:$J$2379)</f>
        <v>0.37492332269418632</v>
      </c>
    </row>
    <row r="365" spans="1:4" x14ac:dyDescent="0.3">
      <c r="A365" s="25">
        <v>364</v>
      </c>
      <c r="B365" s="25">
        <f>LARGE(Data!$J$2:$J$2379,A365)</f>
        <v>780</v>
      </c>
      <c r="C365" s="25">
        <f t="shared" si="5"/>
        <v>457960</v>
      </c>
      <c r="D365" s="28">
        <f>C365/SUM(Data!$J$2:$J$2379)</f>
        <v>0.37556298364108132</v>
      </c>
    </row>
    <row r="366" spans="1:4" x14ac:dyDescent="0.3">
      <c r="A366" s="25">
        <v>365</v>
      </c>
      <c r="B366" s="25">
        <f>LARGE(Data!$J$2:$J$2379,A366)</f>
        <v>780</v>
      </c>
      <c r="C366" s="25">
        <f t="shared" si="5"/>
        <v>458740</v>
      </c>
      <c r="D366" s="28">
        <f>C366/SUM(Data!$J$2:$J$2379)</f>
        <v>0.37620264458797636</v>
      </c>
    </row>
    <row r="367" spans="1:4" x14ac:dyDescent="0.3">
      <c r="A367" s="25">
        <v>366</v>
      </c>
      <c r="B367" s="25">
        <f>LARGE(Data!$J$2:$J$2379,A367)</f>
        <v>780</v>
      </c>
      <c r="C367" s="25">
        <f t="shared" si="5"/>
        <v>459520</v>
      </c>
      <c r="D367" s="28">
        <f>C367/SUM(Data!$J$2:$J$2379)</f>
        <v>0.37684230553487136</v>
      </c>
    </row>
    <row r="368" spans="1:4" x14ac:dyDescent="0.3">
      <c r="A368" s="25">
        <v>367</v>
      </c>
      <c r="B368" s="25">
        <f>LARGE(Data!$J$2:$J$2379,A368)</f>
        <v>780</v>
      </c>
      <c r="C368" s="25">
        <f t="shared" si="5"/>
        <v>460300</v>
      </c>
      <c r="D368" s="28">
        <f>C368/SUM(Data!$J$2:$J$2379)</f>
        <v>0.37748196648176641</v>
      </c>
    </row>
    <row r="369" spans="1:4" x14ac:dyDescent="0.3">
      <c r="A369" s="25">
        <v>368</v>
      </c>
      <c r="B369" s="25">
        <f>LARGE(Data!$J$2:$J$2379,A369)</f>
        <v>780</v>
      </c>
      <c r="C369" s="25">
        <f t="shared" si="5"/>
        <v>461080</v>
      </c>
      <c r="D369" s="28">
        <f>C369/SUM(Data!$J$2:$J$2379)</f>
        <v>0.3781216274286614</v>
      </c>
    </row>
    <row r="370" spans="1:4" x14ac:dyDescent="0.3">
      <c r="A370" s="25">
        <v>369</v>
      </c>
      <c r="B370" s="25">
        <f>LARGE(Data!$J$2:$J$2379,A370)</f>
        <v>780</v>
      </c>
      <c r="C370" s="25">
        <f t="shared" si="5"/>
        <v>461860</v>
      </c>
      <c r="D370" s="28">
        <f>C370/SUM(Data!$J$2:$J$2379)</f>
        <v>0.37876128837555645</v>
      </c>
    </row>
    <row r="371" spans="1:4" x14ac:dyDescent="0.3">
      <c r="A371" s="25">
        <v>370</v>
      </c>
      <c r="B371" s="25">
        <f>LARGE(Data!$J$2:$J$2379,A371)</f>
        <v>780</v>
      </c>
      <c r="C371" s="25">
        <f t="shared" si="5"/>
        <v>462640</v>
      </c>
      <c r="D371" s="28">
        <f>C371/SUM(Data!$J$2:$J$2379)</f>
        <v>0.37940094932245144</v>
      </c>
    </row>
    <row r="372" spans="1:4" x14ac:dyDescent="0.3">
      <c r="A372" s="25">
        <v>371</v>
      </c>
      <c r="B372" s="25">
        <f>LARGE(Data!$J$2:$J$2379,A372)</f>
        <v>780</v>
      </c>
      <c r="C372" s="25">
        <f t="shared" si="5"/>
        <v>463420</v>
      </c>
      <c r="D372" s="28">
        <f>C372/SUM(Data!$J$2:$J$2379)</f>
        <v>0.38004061026934649</v>
      </c>
    </row>
    <row r="373" spans="1:4" x14ac:dyDescent="0.3">
      <c r="A373" s="25">
        <v>372</v>
      </c>
      <c r="B373" s="25">
        <f>LARGE(Data!$J$2:$J$2379,A373)</f>
        <v>780</v>
      </c>
      <c r="C373" s="25">
        <f t="shared" si="5"/>
        <v>464200</v>
      </c>
      <c r="D373" s="28">
        <f>C373/SUM(Data!$J$2:$J$2379)</f>
        <v>0.38068027121624148</v>
      </c>
    </row>
    <row r="374" spans="1:4" x14ac:dyDescent="0.3">
      <c r="A374" s="25">
        <v>373</v>
      </c>
      <c r="B374" s="25">
        <f>LARGE(Data!$J$2:$J$2379,A374)</f>
        <v>780</v>
      </c>
      <c r="C374" s="25">
        <f t="shared" si="5"/>
        <v>464980</v>
      </c>
      <c r="D374" s="28">
        <f>C374/SUM(Data!$J$2:$J$2379)</f>
        <v>0.38131993216313648</v>
      </c>
    </row>
    <row r="375" spans="1:4" x14ac:dyDescent="0.3">
      <c r="A375" s="25">
        <v>374</v>
      </c>
      <c r="B375" s="25">
        <f>LARGE(Data!$J$2:$J$2379,A375)</f>
        <v>780</v>
      </c>
      <c r="C375" s="25">
        <f t="shared" si="5"/>
        <v>465760</v>
      </c>
      <c r="D375" s="28">
        <f>C375/SUM(Data!$J$2:$J$2379)</f>
        <v>0.38195959311003153</v>
      </c>
    </row>
    <row r="376" spans="1:4" x14ac:dyDescent="0.3">
      <c r="A376" s="25">
        <v>375</v>
      </c>
      <c r="B376" s="25">
        <f>LARGE(Data!$J$2:$J$2379,A376)</f>
        <v>780</v>
      </c>
      <c r="C376" s="25">
        <f t="shared" si="5"/>
        <v>466540</v>
      </c>
      <c r="D376" s="28">
        <f>C376/SUM(Data!$J$2:$J$2379)</f>
        <v>0.38259925405692652</v>
      </c>
    </row>
    <row r="377" spans="1:4" x14ac:dyDescent="0.3">
      <c r="A377" s="25">
        <v>376</v>
      </c>
      <c r="B377" s="25">
        <f>LARGE(Data!$J$2:$J$2379,A377)</f>
        <v>780</v>
      </c>
      <c r="C377" s="25">
        <f t="shared" si="5"/>
        <v>467320</v>
      </c>
      <c r="D377" s="28">
        <f>C377/SUM(Data!$J$2:$J$2379)</f>
        <v>0.38323891500382157</v>
      </c>
    </row>
    <row r="378" spans="1:4" x14ac:dyDescent="0.3">
      <c r="A378" s="25">
        <v>377</v>
      </c>
      <c r="B378" s="25">
        <f>LARGE(Data!$J$2:$J$2379,A378)</f>
        <v>780</v>
      </c>
      <c r="C378" s="25">
        <f t="shared" si="5"/>
        <v>468100</v>
      </c>
      <c r="D378" s="28">
        <f>C378/SUM(Data!$J$2:$J$2379)</f>
        <v>0.38387857595071656</v>
      </c>
    </row>
    <row r="379" spans="1:4" x14ac:dyDescent="0.3">
      <c r="A379" s="25">
        <v>378</v>
      </c>
      <c r="B379" s="25">
        <f>LARGE(Data!$J$2:$J$2379,A379)</f>
        <v>780</v>
      </c>
      <c r="C379" s="25">
        <f t="shared" si="5"/>
        <v>468880</v>
      </c>
      <c r="D379" s="28">
        <f>C379/SUM(Data!$J$2:$J$2379)</f>
        <v>0.38451823689761161</v>
      </c>
    </row>
    <row r="380" spans="1:4" x14ac:dyDescent="0.3">
      <c r="A380" s="25">
        <v>379</v>
      </c>
      <c r="B380" s="25">
        <f>LARGE(Data!$J$2:$J$2379,A380)</f>
        <v>780</v>
      </c>
      <c r="C380" s="25">
        <f t="shared" si="5"/>
        <v>469660</v>
      </c>
      <c r="D380" s="28">
        <f>C380/SUM(Data!$J$2:$J$2379)</f>
        <v>0.3851578978445066</v>
      </c>
    </row>
    <row r="381" spans="1:4" x14ac:dyDescent="0.3">
      <c r="A381" s="25">
        <v>380</v>
      </c>
      <c r="B381" s="25">
        <f>LARGE(Data!$J$2:$J$2379,A381)</f>
        <v>780</v>
      </c>
      <c r="C381" s="25">
        <f t="shared" si="5"/>
        <v>470440</v>
      </c>
      <c r="D381" s="28">
        <f>C381/SUM(Data!$J$2:$J$2379)</f>
        <v>0.38579755879140165</v>
      </c>
    </row>
    <row r="382" spans="1:4" x14ac:dyDescent="0.3">
      <c r="A382" s="25">
        <v>381</v>
      </c>
      <c r="B382" s="25">
        <f>LARGE(Data!$J$2:$J$2379,A382)</f>
        <v>780</v>
      </c>
      <c r="C382" s="25">
        <f t="shared" si="5"/>
        <v>471220</v>
      </c>
      <c r="D382" s="28">
        <f>C382/SUM(Data!$J$2:$J$2379)</f>
        <v>0.38643721973829664</v>
      </c>
    </row>
    <row r="383" spans="1:4" x14ac:dyDescent="0.3">
      <c r="A383" s="25">
        <v>382</v>
      </c>
      <c r="B383" s="25">
        <f>LARGE(Data!$J$2:$J$2379,A383)</f>
        <v>780</v>
      </c>
      <c r="C383" s="25">
        <f t="shared" si="5"/>
        <v>472000</v>
      </c>
      <c r="D383" s="28">
        <f>C383/SUM(Data!$J$2:$J$2379)</f>
        <v>0.38707688068519169</v>
      </c>
    </row>
    <row r="384" spans="1:4" x14ac:dyDescent="0.3">
      <c r="A384" s="25">
        <v>383</v>
      </c>
      <c r="B384" s="25">
        <f>LARGE(Data!$J$2:$J$2379,A384)</f>
        <v>780</v>
      </c>
      <c r="C384" s="25">
        <f t="shared" si="5"/>
        <v>472780</v>
      </c>
      <c r="D384" s="28">
        <f>C384/SUM(Data!$J$2:$J$2379)</f>
        <v>0.38771654163208669</v>
      </c>
    </row>
    <row r="385" spans="1:4" x14ac:dyDescent="0.3">
      <c r="A385" s="25">
        <v>384</v>
      </c>
      <c r="B385" s="25">
        <f>LARGE(Data!$J$2:$J$2379,A385)</f>
        <v>780</v>
      </c>
      <c r="C385" s="25">
        <f t="shared" si="5"/>
        <v>473560</v>
      </c>
      <c r="D385" s="28">
        <f>C385/SUM(Data!$J$2:$J$2379)</f>
        <v>0.38835620257898174</v>
      </c>
    </row>
    <row r="386" spans="1:4" x14ac:dyDescent="0.3">
      <c r="A386" s="25">
        <v>385</v>
      </c>
      <c r="B386" s="25">
        <f>LARGE(Data!$J$2:$J$2379,A386)</f>
        <v>780</v>
      </c>
      <c r="C386" s="25">
        <f t="shared" si="5"/>
        <v>474340</v>
      </c>
      <c r="D386" s="28">
        <f>C386/SUM(Data!$J$2:$J$2379)</f>
        <v>0.38899586352587673</v>
      </c>
    </row>
    <row r="387" spans="1:4" x14ac:dyDescent="0.3">
      <c r="A387" s="25">
        <v>386</v>
      </c>
      <c r="B387" s="25">
        <f>LARGE(Data!$J$2:$J$2379,A387)</f>
        <v>780</v>
      </c>
      <c r="C387" s="25">
        <f t="shared" ref="C387:C450" si="6">C386+B387</f>
        <v>475120</v>
      </c>
      <c r="D387" s="28">
        <f>C387/SUM(Data!$J$2:$J$2379)</f>
        <v>0.38963552447277178</v>
      </c>
    </row>
    <row r="388" spans="1:4" x14ac:dyDescent="0.3">
      <c r="A388" s="25">
        <v>387</v>
      </c>
      <c r="B388" s="25">
        <f>LARGE(Data!$J$2:$J$2379,A388)</f>
        <v>780</v>
      </c>
      <c r="C388" s="25">
        <f t="shared" si="6"/>
        <v>475900</v>
      </c>
      <c r="D388" s="28">
        <f>C388/SUM(Data!$J$2:$J$2379)</f>
        <v>0.39027518541966677</v>
      </c>
    </row>
    <row r="389" spans="1:4" x14ac:dyDescent="0.3">
      <c r="A389" s="25">
        <v>388</v>
      </c>
      <c r="B389" s="25">
        <f>LARGE(Data!$J$2:$J$2379,A389)</f>
        <v>780</v>
      </c>
      <c r="C389" s="25">
        <f t="shared" si="6"/>
        <v>476680</v>
      </c>
      <c r="D389" s="28">
        <f>C389/SUM(Data!$J$2:$J$2379)</f>
        <v>0.39091484636656182</v>
      </c>
    </row>
    <row r="390" spans="1:4" x14ac:dyDescent="0.3">
      <c r="A390" s="25">
        <v>389</v>
      </c>
      <c r="B390" s="25">
        <f>LARGE(Data!$J$2:$J$2379,A390)</f>
        <v>780</v>
      </c>
      <c r="C390" s="25">
        <f t="shared" si="6"/>
        <v>477460</v>
      </c>
      <c r="D390" s="28">
        <f>C390/SUM(Data!$J$2:$J$2379)</f>
        <v>0.39155450731345681</v>
      </c>
    </row>
    <row r="391" spans="1:4" x14ac:dyDescent="0.3">
      <c r="A391" s="25">
        <v>390</v>
      </c>
      <c r="B391" s="25">
        <f>LARGE(Data!$J$2:$J$2379,A391)</f>
        <v>780</v>
      </c>
      <c r="C391" s="25">
        <f t="shared" si="6"/>
        <v>478240</v>
      </c>
      <c r="D391" s="28">
        <f>C391/SUM(Data!$J$2:$J$2379)</f>
        <v>0.39219416826035186</v>
      </c>
    </row>
    <row r="392" spans="1:4" x14ac:dyDescent="0.3">
      <c r="A392" s="25">
        <v>391</v>
      </c>
      <c r="B392" s="25">
        <f>LARGE(Data!$J$2:$J$2379,A392)</f>
        <v>780</v>
      </c>
      <c r="C392" s="25">
        <f t="shared" si="6"/>
        <v>479020</v>
      </c>
      <c r="D392" s="28">
        <f>C392/SUM(Data!$J$2:$J$2379)</f>
        <v>0.39283382920724685</v>
      </c>
    </row>
    <row r="393" spans="1:4" x14ac:dyDescent="0.3">
      <c r="A393" s="25">
        <v>392</v>
      </c>
      <c r="B393" s="25">
        <f>LARGE(Data!$J$2:$J$2379,A393)</f>
        <v>780</v>
      </c>
      <c r="C393" s="25">
        <f t="shared" si="6"/>
        <v>479800</v>
      </c>
      <c r="D393" s="28">
        <f>C393/SUM(Data!$J$2:$J$2379)</f>
        <v>0.3934734901541419</v>
      </c>
    </row>
    <row r="394" spans="1:4" x14ac:dyDescent="0.3">
      <c r="A394" s="25">
        <v>393</v>
      </c>
      <c r="B394" s="25">
        <f>LARGE(Data!$J$2:$J$2379,A394)</f>
        <v>780</v>
      </c>
      <c r="C394" s="25">
        <f t="shared" si="6"/>
        <v>480580</v>
      </c>
      <c r="D394" s="28">
        <f>C394/SUM(Data!$J$2:$J$2379)</f>
        <v>0.3941131511010369</v>
      </c>
    </row>
    <row r="395" spans="1:4" x14ac:dyDescent="0.3">
      <c r="A395" s="25">
        <v>394</v>
      </c>
      <c r="B395" s="25">
        <f>LARGE(Data!$J$2:$J$2379,A395)</f>
        <v>780</v>
      </c>
      <c r="C395" s="25">
        <f t="shared" si="6"/>
        <v>481360</v>
      </c>
      <c r="D395" s="28">
        <f>C395/SUM(Data!$J$2:$J$2379)</f>
        <v>0.39475281204793194</v>
      </c>
    </row>
    <row r="396" spans="1:4" x14ac:dyDescent="0.3">
      <c r="A396" s="25">
        <v>395</v>
      </c>
      <c r="B396" s="25">
        <f>LARGE(Data!$J$2:$J$2379,A396)</f>
        <v>780</v>
      </c>
      <c r="C396" s="25">
        <f t="shared" si="6"/>
        <v>482140</v>
      </c>
      <c r="D396" s="28">
        <f>C396/SUM(Data!$J$2:$J$2379)</f>
        <v>0.39539247299482694</v>
      </c>
    </row>
    <row r="397" spans="1:4" x14ac:dyDescent="0.3">
      <c r="A397" s="25">
        <v>396</v>
      </c>
      <c r="B397" s="25">
        <f>LARGE(Data!$J$2:$J$2379,A397)</f>
        <v>780</v>
      </c>
      <c r="C397" s="25">
        <f t="shared" si="6"/>
        <v>482920</v>
      </c>
      <c r="D397" s="28">
        <f>C397/SUM(Data!$J$2:$J$2379)</f>
        <v>0.39603213394172199</v>
      </c>
    </row>
    <row r="398" spans="1:4" x14ac:dyDescent="0.3">
      <c r="A398" s="25">
        <v>397</v>
      </c>
      <c r="B398" s="25">
        <f>LARGE(Data!$J$2:$J$2379,A398)</f>
        <v>780</v>
      </c>
      <c r="C398" s="25">
        <f t="shared" si="6"/>
        <v>483700</v>
      </c>
      <c r="D398" s="28">
        <f>C398/SUM(Data!$J$2:$J$2379)</f>
        <v>0.39667179488861698</v>
      </c>
    </row>
    <row r="399" spans="1:4" x14ac:dyDescent="0.3">
      <c r="A399" s="25">
        <v>398</v>
      </c>
      <c r="B399" s="25">
        <f>LARGE(Data!$J$2:$J$2379,A399)</f>
        <v>780</v>
      </c>
      <c r="C399" s="25">
        <f t="shared" si="6"/>
        <v>484480</v>
      </c>
      <c r="D399" s="28">
        <f>C399/SUM(Data!$J$2:$J$2379)</f>
        <v>0.39731145583551203</v>
      </c>
    </row>
    <row r="400" spans="1:4" x14ac:dyDescent="0.3">
      <c r="A400" s="25">
        <v>399</v>
      </c>
      <c r="B400" s="25">
        <f>LARGE(Data!$J$2:$J$2379,A400)</f>
        <v>780</v>
      </c>
      <c r="C400" s="25">
        <f t="shared" si="6"/>
        <v>485260</v>
      </c>
      <c r="D400" s="28">
        <f>C400/SUM(Data!$J$2:$J$2379)</f>
        <v>0.39795111678240702</v>
      </c>
    </row>
    <row r="401" spans="1:4" x14ac:dyDescent="0.3">
      <c r="A401" s="25">
        <v>400</v>
      </c>
      <c r="B401" s="25">
        <f>LARGE(Data!$J$2:$J$2379,A401)</f>
        <v>780</v>
      </c>
      <c r="C401" s="25">
        <f t="shared" si="6"/>
        <v>486040</v>
      </c>
      <c r="D401" s="28">
        <f>C401/SUM(Data!$J$2:$J$2379)</f>
        <v>0.39859077772930207</v>
      </c>
    </row>
    <row r="402" spans="1:4" x14ac:dyDescent="0.3">
      <c r="A402" s="25">
        <v>401</v>
      </c>
      <c r="B402" s="25">
        <f>LARGE(Data!$J$2:$J$2379,A402)</f>
        <v>780</v>
      </c>
      <c r="C402" s="25">
        <f t="shared" si="6"/>
        <v>486820</v>
      </c>
      <c r="D402" s="28">
        <f>C402/SUM(Data!$J$2:$J$2379)</f>
        <v>0.39923043867619706</v>
      </c>
    </row>
    <row r="403" spans="1:4" x14ac:dyDescent="0.3">
      <c r="A403" s="25">
        <v>402</v>
      </c>
      <c r="B403" s="25">
        <f>LARGE(Data!$J$2:$J$2379,A403)</f>
        <v>780</v>
      </c>
      <c r="C403" s="25">
        <f t="shared" si="6"/>
        <v>487600</v>
      </c>
      <c r="D403" s="28">
        <f>C403/SUM(Data!$J$2:$J$2379)</f>
        <v>0.39987009962309211</v>
      </c>
    </row>
    <row r="404" spans="1:4" x14ac:dyDescent="0.3">
      <c r="A404" s="25">
        <v>403</v>
      </c>
      <c r="B404" s="25">
        <f>LARGE(Data!$J$2:$J$2379,A404)</f>
        <v>780</v>
      </c>
      <c r="C404" s="25">
        <f t="shared" si="6"/>
        <v>488380</v>
      </c>
      <c r="D404" s="28">
        <f>C404/SUM(Data!$J$2:$J$2379)</f>
        <v>0.40050976056998711</v>
      </c>
    </row>
    <row r="405" spans="1:4" x14ac:dyDescent="0.3">
      <c r="A405" s="25">
        <v>404</v>
      </c>
      <c r="B405" s="25">
        <f>LARGE(Data!$J$2:$J$2379,A405)</f>
        <v>780</v>
      </c>
      <c r="C405" s="25">
        <f t="shared" si="6"/>
        <v>489160</v>
      </c>
      <c r="D405" s="28">
        <f>C405/SUM(Data!$J$2:$J$2379)</f>
        <v>0.40114942151688215</v>
      </c>
    </row>
    <row r="406" spans="1:4" x14ac:dyDescent="0.3">
      <c r="A406" s="25">
        <v>405</v>
      </c>
      <c r="B406" s="25">
        <f>LARGE(Data!$J$2:$J$2379,A406)</f>
        <v>780</v>
      </c>
      <c r="C406" s="25">
        <f t="shared" si="6"/>
        <v>489940</v>
      </c>
      <c r="D406" s="28">
        <f>C406/SUM(Data!$J$2:$J$2379)</f>
        <v>0.40178908246377715</v>
      </c>
    </row>
    <row r="407" spans="1:4" x14ac:dyDescent="0.3">
      <c r="A407" s="25">
        <v>406</v>
      </c>
      <c r="B407" s="25">
        <f>LARGE(Data!$J$2:$J$2379,A407)</f>
        <v>780</v>
      </c>
      <c r="C407" s="25">
        <f t="shared" si="6"/>
        <v>490720</v>
      </c>
      <c r="D407" s="28">
        <f>C407/SUM(Data!$J$2:$J$2379)</f>
        <v>0.4024287434106722</v>
      </c>
    </row>
    <row r="408" spans="1:4" x14ac:dyDescent="0.3">
      <c r="A408" s="25">
        <v>407</v>
      </c>
      <c r="B408" s="25">
        <f>LARGE(Data!$J$2:$J$2379,A408)</f>
        <v>780</v>
      </c>
      <c r="C408" s="25">
        <f t="shared" si="6"/>
        <v>491500</v>
      </c>
      <c r="D408" s="28">
        <f>C408/SUM(Data!$J$2:$J$2379)</f>
        <v>0.40306840435756719</v>
      </c>
    </row>
    <row r="409" spans="1:4" x14ac:dyDescent="0.3">
      <c r="A409" s="25">
        <v>408</v>
      </c>
      <c r="B409" s="25">
        <f>LARGE(Data!$J$2:$J$2379,A409)</f>
        <v>780</v>
      </c>
      <c r="C409" s="25">
        <f t="shared" si="6"/>
        <v>492280</v>
      </c>
      <c r="D409" s="28">
        <f>C409/SUM(Data!$J$2:$J$2379)</f>
        <v>0.40370806530446218</v>
      </c>
    </row>
    <row r="410" spans="1:4" x14ac:dyDescent="0.3">
      <c r="A410" s="25">
        <v>409</v>
      </c>
      <c r="B410" s="25">
        <f>LARGE(Data!$J$2:$J$2379,A410)</f>
        <v>780</v>
      </c>
      <c r="C410" s="25">
        <f t="shared" si="6"/>
        <v>493060</v>
      </c>
      <c r="D410" s="28">
        <f>C410/SUM(Data!$J$2:$J$2379)</f>
        <v>0.40434772625135723</v>
      </c>
    </row>
    <row r="411" spans="1:4" x14ac:dyDescent="0.3">
      <c r="A411" s="25">
        <v>410</v>
      </c>
      <c r="B411" s="25">
        <f>LARGE(Data!$J$2:$J$2379,A411)</f>
        <v>780</v>
      </c>
      <c r="C411" s="25">
        <f t="shared" si="6"/>
        <v>493840</v>
      </c>
      <c r="D411" s="28">
        <f>C411/SUM(Data!$J$2:$J$2379)</f>
        <v>0.40498738719825222</v>
      </c>
    </row>
    <row r="412" spans="1:4" x14ac:dyDescent="0.3">
      <c r="A412" s="25">
        <v>411</v>
      </c>
      <c r="B412" s="25">
        <f>LARGE(Data!$J$2:$J$2379,A412)</f>
        <v>780</v>
      </c>
      <c r="C412" s="25">
        <f t="shared" si="6"/>
        <v>494620</v>
      </c>
      <c r="D412" s="28">
        <f>C412/SUM(Data!$J$2:$J$2379)</f>
        <v>0.40562704814514727</v>
      </c>
    </row>
    <row r="413" spans="1:4" x14ac:dyDescent="0.3">
      <c r="A413" s="25">
        <v>412</v>
      </c>
      <c r="B413" s="25">
        <f>LARGE(Data!$J$2:$J$2379,A413)</f>
        <v>780</v>
      </c>
      <c r="C413" s="25">
        <f t="shared" si="6"/>
        <v>495400</v>
      </c>
      <c r="D413" s="28">
        <f>C413/SUM(Data!$J$2:$J$2379)</f>
        <v>0.40626670909204227</v>
      </c>
    </row>
    <row r="414" spans="1:4" x14ac:dyDescent="0.3">
      <c r="A414" s="25">
        <v>413</v>
      </c>
      <c r="B414" s="25">
        <f>LARGE(Data!$J$2:$J$2379,A414)</f>
        <v>780</v>
      </c>
      <c r="C414" s="25">
        <f t="shared" si="6"/>
        <v>496180</v>
      </c>
      <c r="D414" s="28">
        <f>C414/SUM(Data!$J$2:$J$2379)</f>
        <v>0.40690637003893732</v>
      </c>
    </row>
    <row r="415" spans="1:4" x14ac:dyDescent="0.3">
      <c r="A415" s="25">
        <v>414</v>
      </c>
      <c r="B415" s="25">
        <f>LARGE(Data!$J$2:$J$2379,A415)</f>
        <v>780</v>
      </c>
      <c r="C415" s="25">
        <f t="shared" si="6"/>
        <v>496960</v>
      </c>
      <c r="D415" s="28">
        <f>C415/SUM(Data!$J$2:$J$2379)</f>
        <v>0.40754603098583231</v>
      </c>
    </row>
    <row r="416" spans="1:4" x14ac:dyDescent="0.3">
      <c r="A416" s="25">
        <v>415</v>
      </c>
      <c r="B416" s="25">
        <f>LARGE(Data!$J$2:$J$2379,A416)</f>
        <v>780</v>
      </c>
      <c r="C416" s="25">
        <f t="shared" si="6"/>
        <v>497740</v>
      </c>
      <c r="D416" s="28">
        <f>C416/SUM(Data!$J$2:$J$2379)</f>
        <v>0.40818569193272736</v>
      </c>
    </row>
    <row r="417" spans="1:4" x14ac:dyDescent="0.3">
      <c r="A417" s="25">
        <v>416</v>
      </c>
      <c r="B417" s="25">
        <f>LARGE(Data!$J$2:$J$2379,A417)</f>
        <v>780</v>
      </c>
      <c r="C417" s="25">
        <f t="shared" si="6"/>
        <v>498520</v>
      </c>
      <c r="D417" s="28">
        <f>C417/SUM(Data!$J$2:$J$2379)</f>
        <v>0.40882535287962235</v>
      </c>
    </row>
    <row r="418" spans="1:4" x14ac:dyDescent="0.3">
      <c r="A418" s="25">
        <v>417</v>
      </c>
      <c r="B418" s="25">
        <f>LARGE(Data!$J$2:$J$2379,A418)</f>
        <v>780</v>
      </c>
      <c r="C418" s="25">
        <f t="shared" si="6"/>
        <v>499300</v>
      </c>
      <c r="D418" s="28">
        <f>C418/SUM(Data!$J$2:$J$2379)</f>
        <v>0.4094650138265174</v>
      </c>
    </row>
    <row r="419" spans="1:4" x14ac:dyDescent="0.3">
      <c r="A419" s="25">
        <v>418</v>
      </c>
      <c r="B419" s="25">
        <f>LARGE(Data!$J$2:$J$2379,A419)</f>
        <v>780</v>
      </c>
      <c r="C419" s="25">
        <f t="shared" si="6"/>
        <v>500080</v>
      </c>
      <c r="D419" s="28">
        <f>C419/SUM(Data!$J$2:$J$2379)</f>
        <v>0.41010467477341239</v>
      </c>
    </row>
    <row r="420" spans="1:4" x14ac:dyDescent="0.3">
      <c r="A420" s="25">
        <v>419</v>
      </c>
      <c r="B420" s="25">
        <f>LARGE(Data!$J$2:$J$2379,A420)</f>
        <v>780</v>
      </c>
      <c r="C420" s="25">
        <f t="shared" si="6"/>
        <v>500860</v>
      </c>
      <c r="D420" s="28">
        <f>C420/SUM(Data!$J$2:$J$2379)</f>
        <v>0.41074433572030744</v>
      </c>
    </row>
    <row r="421" spans="1:4" x14ac:dyDescent="0.3">
      <c r="A421" s="25">
        <v>420</v>
      </c>
      <c r="B421" s="25">
        <f>LARGE(Data!$J$2:$J$2379,A421)</f>
        <v>780</v>
      </c>
      <c r="C421" s="25">
        <f t="shared" si="6"/>
        <v>501640</v>
      </c>
      <c r="D421" s="28">
        <f>C421/SUM(Data!$J$2:$J$2379)</f>
        <v>0.41138399666720243</v>
      </c>
    </row>
    <row r="422" spans="1:4" x14ac:dyDescent="0.3">
      <c r="A422" s="25">
        <v>421</v>
      </c>
      <c r="B422" s="25">
        <f>LARGE(Data!$J$2:$J$2379,A422)</f>
        <v>780</v>
      </c>
      <c r="C422" s="25">
        <f t="shared" si="6"/>
        <v>502420</v>
      </c>
      <c r="D422" s="28">
        <f>C422/SUM(Data!$J$2:$J$2379)</f>
        <v>0.41202365761409748</v>
      </c>
    </row>
    <row r="423" spans="1:4" x14ac:dyDescent="0.3">
      <c r="A423" s="25">
        <v>422</v>
      </c>
      <c r="B423" s="25">
        <f>LARGE(Data!$J$2:$J$2379,A423)</f>
        <v>780</v>
      </c>
      <c r="C423" s="25">
        <f t="shared" si="6"/>
        <v>503200</v>
      </c>
      <c r="D423" s="28">
        <f>C423/SUM(Data!$J$2:$J$2379)</f>
        <v>0.41266331856099248</v>
      </c>
    </row>
    <row r="424" spans="1:4" x14ac:dyDescent="0.3">
      <c r="A424" s="25">
        <v>423</v>
      </c>
      <c r="B424" s="25">
        <f>LARGE(Data!$J$2:$J$2379,A424)</f>
        <v>780</v>
      </c>
      <c r="C424" s="25">
        <f t="shared" si="6"/>
        <v>503980</v>
      </c>
      <c r="D424" s="28">
        <f>C424/SUM(Data!$J$2:$J$2379)</f>
        <v>0.41330297950788752</v>
      </c>
    </row>
    <row r="425" spans="1:4" x14ac:dyDescent="0.3">
      <c r="A425" s="25">
        <v>424</v>
      </c>
      <c r="B425" s="25">
        <f>LARGE(Data!$J$2:$J$2379,A425)</f>
        <v>780</v>
      </c>
      <c r="C425" s="25">
        <f t="shared" si="6"/>
        <v>504760</v>
      </c>
      <c r="D425" s="28">
        <f>C425/SUM(Data!$J$2:$J$2379)</f>
        <v>0.41394264045478252</v>
      </c>
    </row>
    <row r="426" spans="1:4" x14ac:dyDescent="0.3">
      <c r="A426" s="25">
        <v>425</v>
      </c>
      <c r="B426" s="25">
        <f>LARGE(Data!$J$2:$J$2379,A426)</f>
        <v>780</v>
      </c>
      <c r="C426" s="25">
        <f t="shared" si="6"/>
        <v>505540</v>
      </c>
      <c r="D426" s="28">
        <f>C426/SUM(Data!$J$2:$J$2379)</f>
        <v>0.41458230140167757</v>
      </c>
    </row>
    <row r="427" spans="1:4" x14ac:dyDescent="0.3">
      <c r="A427" s="25">
        <v>426</v>
      </c>
      <c r="B427" s="25">
        <f>LARGE(Data!$J$2:$J$2379,A427)</f>
        <v>780</v>
      </c>
      <c r="C427" s="25">
        <f t="shared" si="6"/>
        <v>506320</v>
      </c>
      <c r="D427" s="28">
        <f>C427/SUM(Data!$J$2:$J$2379)</f>
        <v>0.41522196234857256</v>
      </c>
    </row>
    <row r="428" spans="1:4" x14ac:dyDescent="0.3">
      <c r="A428" s="25">
        <v>427</v>
      </c>
      <c r="B428" s="25">
        <f>LARGE(Data!$J$2:$J$2379,A428)</f>
        <v>780</v>
      </c>
      <c r="C428" s="25">
        <f t="shared" si="6"/>
        <v>507100</v>
      </c>
      <c r="D428" s="28">
        <f>C428/SUM(Data!$J$2:$J$2379)</f>
        <v>0.41586162329546761</v>
      </c>
    </row>
    <row r="429" spans="1:4" x14ac:dyDescent="0.3">
      <c r="A429" s="25">
        <v>428</v>
      </c>
      <c r="B429" s="25">
        <f>LARGE(Data!$J$2:$J$2379,A429)</f>
        <v>780</v>
      </c>
      <c r="C429" s="25">
        <f t="shared" si="6"/>
        <v>507880</v>
      </c>
      <c r="D429" s="28">
        <f>C429/SUM(Data!$J$2:$J$2379)</f>
        <v>0.4165012842423626</v>
      </c>
    </row>
    <row r="430" spans="1:4" x14ac:dyDescent="0.3">
      <c r="A430" s="25">
        <v>429</v>
      </c>
      <c r="B430" s="25">
        <f>LARGE(Data!$J$2:$J$2379,A430)</f>
        <v>780</v>
      </c>
      <c r="C430" s="25">
        <f t="shared" si="6"/>
        <v>508660</v>
      </c>
      <c r="D430" s="28">
        <f>C430/SUM(Data!$J$2:$J$2379)</f>
        <v>0.41714094518925765</v>
      </c>
    </row>
    <row r="431" spans="1:4" x14ac:dyDescent="0.3">
      <c r="A431" s="25">
        <v>430</v>
      </c>
      <c r="B431" s="25">
        <f>LARGE(Data!$J$2:$J$2379,A431)</f>
        <v>780</v>
      </c>
      <c r="C431" s="25">
        <f t="shared" si="6"/>
        <v>509440</v>
      </c>
      <c r="D431" s="28">
        <f>C431/SUM(Data!$J$2:$J$2379)</f>
        <v>0.41778060613615264</v>
      </c>
    </row>
    <row r="432" spans="1:4" x14ac:dyDescent="0.3">
      <c r="A432" s="25">
        <v>431</v>
      </c>
      <c r="B432" s="25">
        <f>LARGE(Data!$J$2:$J$2379,A432)</f>
        <v>780</v>
      </c>
      <c r="C432" s="25">
        <f t="shared" si="6"/>
        <v>510220</v>
      </c>
      <c r="D432" s="28">
        <f>C432/SUM(Data!$J$2:$J$2379)</f>
        <v>0.41842026708304769</v>
      </c>
    </row>
    <row r="433" spans="1:4" x14ac:dyDescent="0.3">
      <c r="A433" s="25">
        <v>432</v>
      </c>
      <c r="B433" s="25">
        <f>LARGE(Data!$J$2:$J$2379,A433)</f>
        <v>780</v>
      </c>
      <c r="C433" s="25">
        <f t="shared" si="6"/>
        <v>511000</v>
      </c>
      <c r="D433" s="28">
        <f>C433/SUM(Data!$J$2:$J$2379)</f>
        <v>0.41905992802994269</v>
      </c>
    </row>
    <row r="434" spans="1:4" x14ac:dyDescent="0.3">
      <c r="A434" s="25">
        <v>433</v>
      </c>
      <c r="B434" s="25">
        <f>LARGE(Data!$J$2:$J$2379,A434)</f>
        <v>760</v>
      </c>
      <c r="C434" s="25">
        <f t="shared" si="6"/>
        <v>511760</v>
      </c>
      <c r="D434" s="28">
        <f>C434/SUM(Data!$J$2:$J$2379)</f>
        <v>0.41968318741409683</v>
      </c>
    </row>
    <row r="435" spans="1:4" x14ac:dyDescent="0.3">
      <c r="A435" s="25">
        <v>434</v>
      </c>
      <c r="B435" s="25">
        <f>LARGE(Data!$J$2:$J$2379,A435)</f>
        <v>750</v>
      </c>
      <c r="C435" s="25">
        <f t="shared" si="6"/>
        <v>512510</v>
      </c>
      <c r="D435" s="28">
        <f>C435/SUM(Data!$J$2:$J$2379)</f>
        <v>0.42029824601688048</v>
      </c>
    </row>
    <row r="436" spans="1:4" x14ac:dyDescent="0.3">
      <c r="A436" s="25">
        <v>435</v>
      </c>
      <c r="B436" s="25">
        <f>LARGE(Data!$J$2:$J$2379,A436)</f>
        <v>750</v>
      </c>
      <c r="C436" s="25">
        <f t="shared" si="6"/>
        <v>513260</v>
      </c>
      <c r="D436" s="28">
        <f>C436/SUM(Data!$J$2:$J$2379)</f>
        <v>0.42091330461966414</v>
      </c>
    </row>
    <row r="437" spans="1:4" x14ac:dyDescent="0.3">
      <c r="A437" s="25">
        <v>436</v>
      </c>
      <c r="B437" s="25">
        <f>LARGE(Data!$J$2:$J$2379,A437)</f>
        <v>750</v>
      </c>
      <c r="C437" s="25">
        <f t="shared" si="6"/>
        <v>514010</v>
      </c>
      <c r="D437" s="28">
        <f>C437/SUM(Data!$J$2:$J$2379)</f>
        <v>0.42152836322244785</v>
      </c>
    </row>
    <row r="438" spans="1:4" x14ac:dyDescent="0.3">
      <c r="A438" s="25">
        <v>437</v>
      </c>
      <c r="B438" s="25">
        <f>LARGE(Data!$J$2:$J$2379,A438)</f>
        <v>750</v>
      </c>
      <c r="C438" s="25">
        <f t="shared" si="6"/>
        <v>514760</v>
      </c>
      <c r="D438" s="28">
        <f>C438/SUM(Data!$J$2:$J$2379)</f>
        <v>0.42214342182523151</v>
      </c>
    </row>
    <row r="439" spans="1:4" x14ac:dyDescent="0.3">
      <c r="A439" s="25">
        <v>438</v>
      </c>
      <c r="B439" s="25">
        <f>LARGE(Data!$J$2:$J$2379,A439)</f>
        <v>750</v>
      </c>
      <c r="C439" s="25">
        <f t="shared" si="6"/>
        <v>515510</v>
      </c>
      <c r="D439" s="28">
        <f>C439/SUM(Data!$J$2:$J$2379)</f>
        <v>0.42275848042801517</v>
      </c>
    </row>
    <row r="440" spans="1:4" x14ac:dyDescent="0.3">
      <c r="A440" s="25">
        <v>439</v>
      </c>
      <c r="B440" s="25">
        <f>LARGE(Data!$J$2:$J$2379,A440)</f>
        <v>750</v>
      </c>
      <c r="C440" s="25">
        <f t="shared" si="6"/>
        <v>516260</v>
      </c>
      <c r="D440" s="28">
        <f>C440/SUM(Data!$J$2:$J$2379)</f>
        <v>0.42337353903079883</v>
      </c>
    </row>
    <row r="441" spans="1:4" x14ac:dyDescent="0.3">
      <c r="A441" s="25">
        <v>440</v>
      </c>
      <c r="B441" s="25">
        <f>LARGE(Data!$J$2:$J$2379,A441)</f>
        <v>750</v>
      </c>
      <c r="C441" s="25">
        <f t="shared" si="6"/>
        <v>517010</v>
      </c>
      <c r="D441" s="28">
        <f>C441/SUM(Data!$J$2:$J$2379)</f>
        <v>0.42398859763358254</v>
      </c>
    </row>
    <row r="442" spans="1:4" x14ac:dyDescent="0.3">
      <c r="A442" s="25">
        <v>441</v>
      </c>
      <c r="B442" s="25">
        <f>LARGE(Data!$J$2:$J$2379,A442)</f>
        <v>750</v>
      </c>
      <c r="C442" s="25">
        <f t="shared" si="6"/>
        <v>517760</v>
      </c>
      <c r="D442" s="28">
        <f>C442/SUM(Data!$J$2:$J$2379)</f>
        <v>0.4246036562363662</v>
      </c>
    </row>
    <row r="443" spans="1:4" x14ac:dyDescent="0.3">
      <c r="A443" s="25">
        <v>442</v>
      </c>
      <c r="B443" s="25">
        <f>LARGE(Data!$J$2:$J$2379,A443)</f>
        <v>750</v>
      </c>
      <c r="C443" s="25">
        <f t="shared" si="6"/>
        <v>518510</v>
      </c>
      <c r="D443" s="28">
        <f>C443/SUM(Data!$J$2:$J$2379)</f>
        <v>0.42521871483914986</v>
      </c>
    </row>
    <row r="444" spans="1:4" x14ac:dyDescent="0.3">
      <c r="A444" s="25">
        <v>443</v>
      </c>
      <c r="B444" s="25">
        <f>LARGE(Data!$J$2:$J$2379,A444)</f>
        <v>750</v>
      </c>
      <c r="C444" s="25">
        <f t="shared" si="6"/>
        <v>519260</v>
      </c>
      <c r="D444" s="28">
        <f>C444/SUM(Data!$J$2:$J$2379)</f>
        <v>0.42583377344193357</v>
      </c>
    </row>
    <row r="445" spans="1:4" x14ac:dyDescent="0.3">
      <c r="A445" s="25">
        <v>444</v>
      </c>
      <c r="B445" s="25">
        <f>LARGE(Data!$J$2:$J$2379,A445)</f>
        <v>750</v>
      </c>
      <c r="C445" s="25">
        <f t="shared" si="6"/>
        <v>520010</v>
      </c>
      <c r="D445" s="28">
        <f>C445/SUM(Data!$J$2:$J$2379)</f>
        <v>0.42644883204471723</v>
      </c>
    </row>
    <row r="446" spans="1:4" x14ac:dyDescent="0.3">
      <c r="A446" s="25">
        <v>445</v>
      </c>
      <c r="B446" s="25">
        <f>LARGE(Data!$J$2:$J$2379,A446)</f>
        <v>750</v>
      </c>
      <c r="C446" s="25">
        <f t="shared" si="6"/>
        <v>520760</v>
      </c>
      <c r="D446" s="28">
        <f>C446/SUM(Data!$J$2:$J$2379)</f>
        <v>0.42706389064750089</v>
      </c>
    </row>
    <row r="447" spans="1:4" x14ac:dyDescent="0.3">
      <c r="A447" s="25">
        <v>446</v>
      </c>
      <c r="B447" s="25">
        <f>LARGE(Data!$J$2:$J$2379,A447)</f>
        <v>750</v>
      </c>
      <c r="C447" s="25">
        <f t="shared" si="6"/>
        <v>521510</v>
      </c>
      <c r="D447" s="28">
        <f>C447/SUM(Data!$J$2:$J$2379)</f>
        <v>0.42767894925028455</v>
      </c>
    </row>
    <row r="448" spans="1:4" x14ac:dyDescent="0.3">
      <c r="A448" s="25">
        <v>447</v>
      </c>
      <c r="B448" s="25">
        <f>LARGE(Data!$J$2:$J$2379,A448)</f>
        <v>750</v>
      </c>
      <c r="C448" s="25">
        <f t="shared" si="6"/>
        <v>522260</v>
      </c>
      <c r="D448" s="28">
        <f>C448/SUM(Data!$J$2:$J$2379)</f>
        <v>0.42829400785306826</v>
      </c>
    </row>
    <row r="449" spans="1:4" x14ac:dyDescent="0.3">
      <c r="A449" s="25">
        <v>448</v>
      </c>
      <c r="B449" s="25">
        <f>LARGE(Data!$J$2:$J$2379,A449)</f>
        <v>750</v>
      </c>
      <c r="C449" s="25">
        <f t="shared" si="6"/>
        <v>523010</v>
      </c>
      <c r="D449" s="28">
        <f>C449/SUM(Data!$J$2:$J$2379)</f>
        <v>0.42890906645585192</v>
      </c>
    </row>
    <row r="450" spans="1:4" x14ac:dyDescent="0.3">
      <c r="A450" s="25">
        <v>449</v>
      </c>
      <c r="B450" s="25">
        <f>LARGE(Data!$J$2:$J$2379,A450)</f>
        <v>750</v>
      </c>
      <c r="C450" s="25">
        <f t="shared" si="6"/>
        <v>523760</v>
      </c>
      <c r="D450" s="28">
        <f>C450/SUM(Data!$J$2:$J$2379)</f>
        <v>0.42952412505863558</v>
      </c>
    </row>
    <row r="451" spans="1:4" x14ac:dyDescent="0.3">
      <c r="A451" s="25">
        <v>450</v>
      </c>
      <c r="B451" s="25">
        <f>LARGE(Data!$J$2:$J$2379,A451)</f>
        <v>750</v>
      </c>
      <c r="C451" s="25">
        <f t="shared" ref="C451:C514" si="7">C450+B451</f>
        <v>524510</v>
      </c>
      <c r="D451" s="28">
        <f>C451/SUM(Data!$J$2:$J$2379)</f>
        <v>0.43013918366141923</v>
      </c>
    </row>
    <row r="452" spans="1:4" x14ac:dyDescent="0.3">
      <c r="A452" s="25">
        <v>451</v>
      </c>
      <c r="B452" s="25">
        <f>LARGE(Data!$J$2:$J$2379,A452)</f>
        <v>750</v>
      </c>
      <c r="C452" s="25">
        <f t="shared" si="7"/>
        <v>525260</v>
      </c>
      <c r="D452" s="28">
        <f>C452/SUM(Data!$J$2:$J$2379)</f>
        <v>0.43075424226420295</v>
      </c>
    </row>
    <row r="453" spans="1:4" x14ac:dyDescent="0.3">
      <c r="A453" s="25">
        <v>452</v>
      </c>
      <c r="B453" s="25">
        <f>LARGE(Data!$J$2:$J$2379,A453)</f>
        <v>750</v>
      </c>
      <c r="C453" s="25">
        <f t="shared" si="7"/>
        <v>526010</v>
      </c>
      <c r="D453" s="28">
        <f>C453/SUM(Data!$J$2:$J$2379)</f>
        <v>0.4313693008669866</v>
      </c>
    </row>
    <row r="454" spans="1:4" x14ac:dyDescent="0.3">
      <c r="A454" s="25">
        <v>453</v>
      </c>
      <c r="B454" s="25">
        <f>LARGE(Data!$J$2:$J$2379,A454)</f>
        <v>750</v>
      </c>
      <c r="C454" s="25">
        <f t="shared" si="7"/>
        <v>526760</v>
      </c>
      <c r="D454" s="28">
        <f>C454/SUM(Data!$J$2:$J$2379)</f>
        <v>0.43198435946977026</v>
      </c>
    </row>
    <row r="455" spans="1:4" x14ac:dyDescent="0.3">
      <c r="A455" s="25">
        <v>454</v>
      </c>
      <c r="B455" s="25">
        <f>LARGE(Data!$J$2:$J$2379,A455)</f>
        <v>750</v>
      </c>
      <c r="C455" s="25">
        <f t="shared" si="7"/>
        <v>527510</v>
      </c>
      <c r="D455" s="28">
        <f>C455/SUM(Data!$J$2:$J$2379)</f>
        <v>0.43259941807255398</v>
      </c>
    </row>
    <row r="456" spans="1:4" x14ac:dyDescent="0.3">
      <c r="A456" s="25">
        <v>455</v>
      </c>
      <c r="B456" s="25">
        <f>LARGE(Data!$J$2:$J$2379,A456)</f>
        <v>750</v>
      </c>
      <c r="C456" s="25">
        <f t="shared" si="7"/>
        <v>528260</v>
      </c>
      <c r="D456" s="28">
        <f>C456/SUM(Data!$J$2:$J$2379)</f>
        <v>0.43321447667533763</v>
      </c>
    </row>
    <row r="457" spans="1:4" x14ac:dyDescent="0.3">
      <c r="A457" s="25">
        <v>456</v>
      </c>
      <c r="B457" s="25">
        <f>LARGE(Data!$J$2:$J$2379,A457)</f>
        <v>750</v>
      </c>
      <c r="C457" s="25">
        <f t="shared" si="7"/>
        <v>529010</v>
      </c>
      <c r="D457" s="28">
        <f>C457/SUM(Data!$J$2:$J$2379)</f>
        <v>0.43382953527812129</v>
      </c>
    </row>
    <row r="458" spans="1:4" x14ac:dyDescent="0.3">
      <c r="A458" s="25">
        <v>457</v>
      </c>
      <c r="B458" s="25">
        <f>LARGE(Data!$J$2:$J$2379,A458)</f>
        <v>750</v>
      </c>
      <c r="C458" s="25">
        <f t="shared" si="7"/>
        <v>529760</v>
      </c>
      <c r="D458" s="28">
        <f>C458/SUM(Data!$J$2:$J$2379)</f>
        <v>0.43444459388090495</v>
      </c>
    </row>
    <row r="459" spans="1:4" x14ac:dyDescent="0.3">
      <c r="A459" s="25">
        <v>458</v>
      </c>
      <c r="B459" s="25">
        <f>LARGE(Data!$J$2:$J$2379,A459)</f>
        <v>750</v>
      </c>
      <c r="C459" s="25">
        <f t="shared" si="7"/>
        <v>530510</v>
      </c>
      <c r="D459" s="28">
        <f>C459/SUM(Data!$J$2:$J$2379)</f>
        <v>0.43505965248368866</v>
      </c>
    </row>
    <row r="460" spans="1:4" x14ac:dyDescent="0.3">
      <c r="A460" s="25">
        <v>459</v>
      </c>
      <c r="B460" s="25">
        <f>LARGE(Data!$J$2:$J$2379,A460)</f>
        <v>750</v>
      </c>
      <c r="C460" s="25">
        <f t="shared" si="7"/>
        <v>531260</v>
      </c>
      <c r="D460" s="28">
        <f>C460/SUM(Data!$J$2:$J$2379)</f>
        <v>0.43567471108647232</v>
      </c>
    </row>
    <row r="461" spans="1:4" x14ac:dyDescent="0.3">
      <c r="A461" s="25">
        <v>460</v>
      </c>
      <c r="B461" s="25">
        <f>LARGE(Data!$J$2:$J$2379,A461)</f>
        <v>750</v>
      </c>
      <c r="C461" s="25">
        <f t="shared" si="7"/>
        <v>532010</v>
      </c>
      <c r="D461" s="28">
        <f>C461/SUM(Data!$J$2:$J$2379)</f>
        <v>0.43628976968925598</v>
      </c>
    </row>
    <row r="462" spans="1:4" x14ac:dyDescent="0.3">
      <c r="A462" s="25">
        <v>461</v>
      </c>
      <c r="B462" s="25">
        <f>LARGE(Data!$J$2:$J$2379,A462)</f>
        <v>750</v>
      </c>
      <c r="C462" s="25">
        <f t="shared" si="7"/>
        <v>532760</v>
      </c>
      <c r="D462" s="28">
        <f>C462/SUM(Data!$J$2:$J$2379)</f>
        <v>0.43690482829203969</v>
      </c>
    </row>
    <row r="463" spans="1:4" x14ac:dyDescent="0.3">
      <c r="A463" s="25">
        <v>462</v>
      </c>
      <c r="B463" s="25">
        <f>LARGE(Data!$J$2:$J$2379,A463)</f>
        <v>750</v>
      </c>
      <c r="C463" s="25">
        <f t="shared" si="7"/>
        <v>533510</v>
      </c>
      <c r="D463" s="28">
        <f>C463/SUM(Data!$J$2:$J$2379)</f>
        <v>0.43751988689482335</v>
      </c>
    </row>
    <row r="464" spans="1:4" x14ac:dyDescent="0.3">
      <c r="A464" s="25">
        <v>463</v>
      </c>
      <c r="B464" s="25">
        <f>LARGE(Data!$J$2:$J$2379,A464)</f>
        <v>750</v>
      </c>
      <c r="C464" s="25">
        <f t="shared" si="7"/>
        <v>534260</v>
      </c>
      <c r="D464" s="28">
        <f>C464/SUM(Data!$J$2:$J$2379)</f>
        <v>0.43813494549760701</v>
      </c>
    </row>
    <row r="465" spans="1:4" x14ac:dyDescent="0.3">
      <c r="A465" s="25">
        <v>464</v>
      </c>
      <c r="B465" s="25">
        <f>LARGE(Data!$J$2:$J$2379,A465)</f>
        <v>750</v>
      </c>
      <c r="C465" s="25">
        <f t="shared" si="7"/>
        <v>535010</v>
      </c>
      <c r="D465" s="28">
        <f>C465/SUM(Data!$J$2:$J$2379)</f>
        <v>0.43875000410039067</v>
      </c>
    </row>
    <row r="466" spans="1:4" x14ac:dyDescent="0.3">
      <c r="A466" s="25">
        <v>465</v>
      </c>
      <c r="B466" s="25">
        <f>LARGE(Data!$J$2:$J$2379,A466)</f>
        <v>750</v>
      </c>
      <c r="C466" s="25">
        <f t="shared" si="7"/>
        <v>535760</v>
      </c>
      <c r="D466" s="28">
        <f>C466/SUM(Data!$J$2:$J$2379)</f>
        <v>0.43936506270317438</v>
      </c>
    </row>
    <row r="467" spans="1:4" x14ac:dyDescent="0.3">
      <c r="A467" s="25">
        <v>466</v>
      </c>
      <c r="B467" s="25">
        <f>LARGE(Data!$J$2:$J$2379,A467)</f>
        <v>750</v>
      </c>
      <c r="C467" s="25">
        <f t="shared" si="7"/>
        <v>536510</v>
      </c>
      <c r="D467" s="28">
        <f>C467/SUM(Data!$J$2:$J$2379)</f>
        <v>0.43998012130595804</v>
      </c>
    </row>
    <row r="468" spans="1:4" x14ac:dyDescent="0.3">
      <c r="A468" s="25">
        <v>467</v>
      </c>
      <c r="B468" s="25">
        <f>LARGE(Data!$J$2:$J$2379,A468)</f>
        <v>750</v>
      </c>
      <c r="C468" s="25">
        <f t="shared" si="7"/>
        <v>537260</v>
      </c>
      <c r="D468" s="28">
        <f>C468/SUM(Data!$J$2:$J$2379)</f>
        <v>0.4405951799087417</v>
      </c>
    </row>
    <row r="469" spans="1:4" x14ac:dyDescent="0.3">
      <c r="A469" s="25">
        <v>468</v>
      </c>
      <c r="B469" s="25">
        <f>LARGE(Data!$J$2:$J$2379,A469)</f>
        <v>750</v>
      </c>
      <c r="C469" s="25">
        <f t="shared" si="7"/>
        <v>538010</v>
      </c>
      <c r="D469" s="28">
        <f>C469/SUM(Data!$J$2:$J$2379)</f>
        <v>0.44121023851152535</v>
      </c>
    </row>
    <row r="470" spans="1:4" x14ac:dyDescent="0.3">
      <c r="A470" s="25">
        <v>469</v>
      </c>
      <c r="B470" s="25">
        <f>LARGE(Data!$J$2:$J$2379,A470)</f>
        <v>750</v>
      </c>
      <c r="C470" s="25">
        <f t="shared" si="7"/>
        <v>538760</v>
      </c>
      <c r="D470" s="28">
        <f>C470/SUM(Data!$J$2:$J$2379)</f>
        <v>0.44182529711430907</v>
      </c>
    </row>
    <row r="471" spans="1:4" x14ac:dyDescent="0.3">
      <c r="A471" s="25">
        <v>470</v>
      </c>
      <c r="B471" s="25">
        <f>LARGE(Data!$J$2:$J$2379,A471)</f>
        <v>750</v>
      </c>
      <c r="C471" s="25">
        <f t="shared" si="7"/>
        <v>539510</v>
      </c>
      <c r="D471" s="28">
        <f>C471/SUM(Data!$J$2:$J$2379)</f>
        <v>0.44244035571709273</v>
      </c>
    </row>
    <row r="472" spans="1:4" x14ac:dyDescent="0.3">
      <c r="A472" s="25">
        <v>471</v>
      </c>
      <c r="B472" s="25">
        <f>LARGE(Data!$J$2:$J$2379,A472)</f>
        <v>750</v>
      </c>
      <c r="C472" s="25">
        <f t="shared" si="7"/>
        <v>540260</v>
      </c>
      <c r="D472" s="28">
        <f>C472/SUM(Data!$J$2:$J$2379)</f>
        <v>0.44305541431987638</v>
      </c>
    </row>
    <row r="473" spans="1:4" x14ac:dyDescent="0.3">
      <c r="A473" s="25">
        <v>472</v>
      </c>
      <c r="B473" s="25">
        <f>LARGE(Data!$J$2:$J$2379,A473)</f>
        <v>750</v>
      </c>
      <c r="C473" s="25">
        <f t="shared" si="7"/>
        <v>541010</v>
      </c>
      <c r="D473" s="28">
        <f>C473/SUM(Data!$J$2:$J$2379)</f>
        <v>0.4436704729226601</v>
      </c>
    </row>
    <row r="474" spans="1:4" x14ac:dyDescent="0.3">
      <c r="A474" s="25">
        <v>473</v>
      </c>
      <c r="B474" s="25">
        <f>LARGE(Data!$J$2:$J$2379,A474)</f>
        <v>750</v>
      </c>
      <c r="C474" s="25">
        <f t="shared" si="7"/>
        <v>541760</v>
      </c>
      <c r="D474" s="28">
        <f>C474/SUM(Data!$J$2:$J$2379)</f>
        <v>0.44428553152544376</v>
      </c>
    </row>
    <row r="475" spans="1:4" x14ac:dyDescent="0.3">
      <c r="A475" s="25">
        <v>474</v>
      </c>
      <c r="B475" s="25">
        <f>LARGE(Data!$J$2:$J$2379,A475)</f>
        <v>750</v>
      </c>
      <c r="C475" s="25">
        <f t="shared" si="7"/>
        <v>542510</v>
      </c>
      <c r="D475" s="28">
        <f>C475/SUM(Data!$J$2:$J$2379)</f>
        <v>0.44490059012822741</v>
      </c>
    </row>
    <row r="476" spans="1:4" x14ac:dyDescent="0.3">
      <c r="A476" s="25">
        <v>475</v>
      </c>
      <c r="B476" s="25">
        <f>LARGE(Data!$J$2:$J$2379,A476)</f>
        <v>750</v>
      </c>
      <c r="C476" s="25">
        <f t="shared" si="7"/>
        <v>543260</v>
      </c>
      <c r="D476" s="28">
        <f>C476/SUM(Data!$J$2:$J$2379)</f>
        <v>0.44551564873101107</v>
      </c>
    </row>
    <row r="477" spans="1:4" x14ac:dyDescent="0.3">
      <c r="A477" s="25">
        <v>476</v>
      </c>
      <c r="B477" s="25">
        <f>LARGE(Data!$J$2:$J$2379,A477)</f>
        <v>750</v>
      </c>
      <c r="C477" s="25">
        <f t="shared" si="7"/>
        <v>544010</v>
      </c>
      <c r="D477" s="28">
        <f>C477/SUM(Data!$J$2:$J$2379)</f>
        <v>0.44613070733379478</v>
      </c>
    </row>
    <row r="478" spans="1:4" x14ac:dyDescent="0.3">
      <c r="A478" s="25">
        <v>477</v>
      </c>
      <c r="B478" s="25">
        <f>LARGE(Data!$J$2:$J$2379,A478)</f>
        <v>750</v>
      </c>
      <c r="C478" s="25">
        <f t="shared" si="7"/>
        <v>544760</v>
      </c>
      <c r="D478" s="28">
        <f>C478/SUM(Data!$J$2:$J$2379)</f>
        <v>0.44674576593657844</v>
      </c>
    </row>
    <row r="479" spans="1:4" x14ac:dyDescent="0.3">
      <c r="A479" s="25">
        <v>478</v>
      </c>
      <c r="B479" s="25">
        <f>LARGE(Data!$J$2:$J$2379,A479)</f>
        <v>750</v>
      </c>
      <c r="C479" s="25">
        <f t="shared" si="7"/>
        <v>545510</v>
      </c>
      <c r="D479" s="28">
        <f>C479/SUM(Data!$J$2:$J$2379)</f>
        <v>0.4473608245393621</v>
      </c>
    </row>
    <row r="480" spans="1:4" x14ac:dyDescent="0.3">
      <c r="A480" s="25">
        <v>479</v>
      </c>
      <c r="B480" s="25">
        <f>LARGE(Data!$J$2:$J$2379,A480)</f>
        <v>750</v>
      </c>
      <c r="C480" s="25">
        <f t="shared" si="7"/>
        <v>546260</v>
      </c>
      <c r="D480" s="28">
        <f>C480/SUM(Data!$J$2:$J$2379)</f>
        <v>0.44797588314214576</v>
      </c>
    </row>
    <row r="481" spans="1:4" x14ac:dyDescent="0.3">
      <c r="A481" s="25">
        <v>480</v>
      </c>
      <c r="B481" s="25">
        <f>LARGE(Data!$J$2:$J$2379,A481)</f>
        <v>750</v>
      </c>
      <c r="C481" s="25">
        <f t="shared" si="7"/>
        <v>547010</v>
      </c>
      <c r="D481" s="28">
        <f>C481/SUM(Data!$J$2:$J$2379)</f>
        <v>0.44859094174492947</v>
      </c>
    </row>
    <row r="482" spans="1:4" x14ac:dyDescent="0.3">
      <c r="A482" s="25">
        <v>481</v>
      </c>
      <c r="B482" s="25">
        <f>LARGE(Data!$J$2:$J$2379,A482)</f>
        <v>750</v>
      </c>
      <c r="C482" s="25">
        <f t="shared" si="7"/>
        <v>547760</v>
      </c>
      <c r="D482" s="28">
        <f>C482/SUM(Data!$J$2:$J$2379)</f>
        <v>0.44920600034771313</v>
      </c>
    </row>
    <row r="483" spans="1:4" x14ac:dyDescent="0.3">
      <c r="A483" s="25">
        <v>482</v>
      </c>
      <c r="B483" s="25">
        <f>LARGE(Data!$J$2:$J$2379,A483)</f>
        <v>750</v>
      </c>
      <c r="C483" s="25">
        <f t="shared" si="7"/>
        <v>548510</v>
      </c>
      <c r="D483" s="28">
        <f>C483/SUM(Data!$J$2:$J$2379)</f>
        <v>0.44982105895049679</v>
      </c>
    </row>
    <row r="484" spans="1:4" x14ac:dyDescent="0.3">
      <c r="A484" s="25">
        <v>483</v>
      </c>
      <c r="B484" s="25">
        <f>LARGE(Data!$J$2:$J$2379,A484)</f>
        <v>750</v>
      </c>
      <c r="C484" s="25">
        <f t="shared" si="7"/>
        <v>549260</v>
      </c>
      <c r="D484" s="28">
        <f>C484/SUM(Data!$J$2:$J$2379)</f>
        <v>0.4504361175532805</v>
      </c>
    </row>
    <row r="485" spans="1:4" x14ac:dyDescent="0.3">
      <c r="A485" s="25">
        <v>484</v>
      </c>
      <c r="B485" s="25">
        <f>LARGE(Data!$J$2:$J$2379,A485)</f>
        <v>750</v>
      </c>
      <c r="C485" s="25">
        <f t="shared" si="7"/>
        <v>550010</v>
      </c>
      <c r="D485" s="28">
        <f>C485/SUM(Data!$J$2:$J$2379)</f>
        <v>0.45105117615606416</v>
      </c>
    </row>
    <row r="486" spans="1:4" x14ac:dyDescent="0.3">
      <c r="A486" s="25">
        <v>485</v>
      </c>
      <c r="B486" s="25">
        <f>LARGE(Data!$J$2:$J$2379,A486)</f>
        <v>750</v>
      </c>
      <c r="C486" s="25">
        <f t="shared" si="7"/>
        <v>550760</v>
      </c>
      <c r="D486" s="28">
        <f>C486/SUM(Data!$J$2:$J$2379)</f>
        <v>0.45166623475884782</v>
      </c>
    </row>
    <row r="487" spans="1:4" x14ac:dyDescent="0.3">
      <c r="A487" s="25">
        <v>486</v>
      </c>
      <c r="B487" s="25">
        <f>LARGE(Data!$J$2:$J$2379,A487)</f>
        <v>750</v>
      </c>
      <c r="C487" s="25">
        <f t="shared" si="7"/>
        <v>551510</v>
      </c>
      <c r="D487" s="28">
        <f>C487/SUM(Data!$J$2:$J$2379)</f>
        <v>0.45228129336163148</v>
      </c>
    </row>
    <row r="488" spans="1:4" x14ac:dyDescent="0.3">
      <c r="A488" s="25">
        <v>487</v>
      </c>
      <c r="B488" s="25">
        <f>LARGE(Data!$J$2:$J$2379,A488)</f>
        <v>750</v>
      </c>
      <c r="C488" s="25">
        <f t="shared" si="7"/>
        <v>552260</v>
      </c>
      <c r="D488" s="28">
        <f>C488/SUM(Data!$J$2:$J$2379)</f>
        <v>0.45289635196441519</v>
      </c>
    </row>
    <row r="489" spans="1:4" x14ac:dyDescent="0.3">
      <c r="A489" s="25">
        <v>488</v>
      </c>
      <c r="B489" s="25">
        <f>LARGE(Data!$J$2:$J$2379,A489)</f>
        <v>720</v>
      </c>
      <c r="C489" s="25">
        <f t="shared" si="7"/>
        <v>552980</v>
      </c>
      <c r="D489" s="28">
        <f>C489/SUM(Data!$J$2:$J$2379)</f>
        <v>0.45348680822308751</v>
      </c>
    </row>
    <row r="490" spans="1:4" x14ac:dyDescent="0.3">
      <c r="A490" s="25">
        <v>489</v>
      </c>
      <c r="B490" s="25">
        <f>LARGE(Data!$J$2:$J$2379,A490)</f>
        <v>720</v>
      </c>
      <c r="C490" s="25">
        <f t="shared" si="7"/>
        <v>553700</v>
      </c>
      <c r="D490" s="28">
        <f>C490/SUM(Data!$J$2:$J$2379)</f>
        <v>0.45407726448175983</v>
      </c>
    </row>
    <row r="491" spans="1:4" x14ac:dyDescent="0.3">
      <c r="A491" s="25">
        <v>490</v>
      </c>
      <c r="B491" s="25">
        <f>LARGE(Data!$J$2:$J$2379,A491)</f>
        <v>720</v>
      </c>
      <c r="C491" s="25">
        <f t="shared" si="7"/>
        <v>554420</v>
      </c>
      <c r="D491" s="28">
        <f>C491/SUM(Data!$J$2:$J$2379)</f>
        <v>0.45466772074043216</v>
      </c>
    </row>
    <row r="492" spans="1:4" x14ac:dyDescent="0.3">
      <c r="A492" s="25">
        <v>491</v>
      </c>
      <c r="B492" s="25">
        <f>LARGE(Data!$J$2:$J$2379,A492)</f>
        <v>720</v>
      </c>
      <c r="C492" s="25">
        <f t="shared" si="7"/>
        <v>555140</v>
      </c>
      <c r="D492" s="28">
        <f>C492/SUM(Data!$J$2:$J$2379)</f>
        <v>0.45525817699910448</v>
      </c>
    </row>
    <row r="493" spans="1:4" x14ac:dyDescent="0.3">
      <c r="A493" s="25">
        <v>492</v>
      </c>
      <c r="B493" s="25">
        <f>LARGE(Data!$J$2:$J$2379,A493)</f>
        <v>720</v>
      </c>
      <c r="C493" s="25">
        <f t="shared" si="7"/>
        <v>555860</v>
      </c>
      <c r="D493" s="28">
        <f>C493/SUM(Data!$J$2:$J$2379)</f>
        <v>0.4558486332577768</v>
      </c>
    </row>
    <row r="494" spans="1:4" x14ac:dyDescent="0.3">
      <c r="A494" s="25">
        <v>493</v>
      </c>
      <c r="B494" s="25">
        <f>LARGE(Data!$J$2:$J$2379,A494)</f>
        <v>720</v>
      </c>
      <c r="C494" s="25">
        <f t="shared" si="7"/>
        <v>556580</v>
      </c>
      <c r="D494" s="28">
        <f>C494/SUM(Data!$J$2:$J$2379)</f>
        <v>0.45643908951644913</v>
      </c>
    </row>
    <row r="495" spans="1:4" x14ac:dyDescent="0.3">
      <c r="A495" s="25">
        <v>494</v>
      </c>
      <c r="B495" s="25">
        <f>LARGE(Data!$J$2:$J$2379,A495)</f>
        <v>720</v>
      </c>
      <c r="C495" s="25">
        <f t="shared" si="7"/>
        <v>557300</v>
      </c>
      <c r="D495" s="28">
        <f>C495/SUM(Data!$J$2:$J$2379)</f>
        <v>0.45702954577512145</v>
      </c>
    </row>
    <row r="496" spans="1:4" x14ac:dyDescent="0.3">
      <c r="A496" s="25">
        <v>495</v>
      </c>
      <c r="B496" s="25">
        <f>LARGE(Data!$J$2:$J$2379,A496)</f>
        <v>720</v>
      </c>
      <c r="C496" s="25">
        <f t="shared" si="7"/>
        <v>558020</v>
      </c>
      <c r="D496" s="28">
        <f>C496/SUM(Data!$J$2:$J$2379)</f>
        <v>0.45762000203379377</v>
      </c>
    </row>
    <row r="497" spans="1:4" x14ac:dyDescent="0.3">
      <c r="A497" s="25">
        <v>496</v>
      </c>
      <c r="B497" s="25">
        <f>LARGE(Data!$J$2:$J$2379,A497)</f>
        <v>720</v>
      </c>
      <c r="C497" s="25">
        <f t="shared" si="7"/>
        <v>558740</v>
      </c>
      <c r="D497" s="28">
        <f>C497/SUM(Data!$J$2:$J$2379)</f>
        <v>0.45821045829246609</v>
      </c>
    </row>
    <row r="498" spans="1:4" x14ac:dyDescent="0.3">
      <c r="A498" s="25">
        <v>497</v>
      </c>
      <c r="B498" s="25">
        <f>LARGE(Data!$J$2:$J$2379,A498)</f>
        <v>720</v>
      </c>
      <c r="C498" s="25">
        <f t="shared" si="7"/>
        <v>559460</v>
      </c>
      <c r="D498" s="28">
        <f>C498/SUM(Data!$J$2:$J$2379)</f>
        <v>0.45880091455113842</v>
      </c>
    </row>
    <row r="499" spans="1:4" x14ac:dyDescent="0.3">
      <c r="A499" s="25">
        <v>498</v>
      </c>
      <c r="B499" s="25">
        <f>LARGE(Data!$J$2:$J$2379,A499)</f>
        <v>720</v>
      </c>
      <c r="C499" s="25">
        <f t="shared" si="7"/>
        <v>560180</v>
      </c>
      <c r="D499" s="28">
        <f>C499/SUM(Data!$J$2:$J$2379)</f>
        <v>0.45939137080981074</v>
      </c>
    </row>
    <row r="500" spans="1:4" x14ac:dyDescent="0.3">
      <c r="A500" s="25">
        <v>499</v>
      </c>
      <c r="B500" s="25">
        <f>LARGE(Data!$J$2:$J$2379,A500)</f>
        <v>700</v>
      </c>
      <c r="C500" s="25">
        <f t="shared" si="7"/>
        <v>560880</v>
      </c>
      <c r="D500" s="28">
        <f>C500/SUM(Data!$J$2:$J$2379)</f>
        <v>0.45996542550574221</v>
      </c>
    </row>
    <row r="501" spans="1:4" x14ac:dyDescent="0.3">
      <c r="A501" s="25">
        <v>500</v>
      </c>
      <c r="B501" s="25">
        <f>LARGE(Data!$J$2:$J$2379,A501)</f>
        <v>700</v>
      </c>
      <c r="C501" s="25">
        <f t="shared" si="7"/>
        <v>561580</v>
      </c>
      <c r="D501" s="28">
        <f>C501/SUM(Data!$J$2:$J$2379)</f>
        <v>0.46053948020167362</v>
      </c>
    </row>
    <row r="502" spans="1:4" x14ac:dyDescent="0.3">
      <c r="A502" s="25">
        <v>501</v>
      </c>
      <c r="B502" s="25">
        <f>LARGE(Data!$J$2:$J$2379,A502)</f>
        <v>700</v>
      </c>
      <c r="C502" s="25">
        <f t="shared" si="7"/>
        <v>562280</v>
      </c>
      <c r="D502" s="28">
        <f>C502/SUM(Data!$J$2:$J$2379)</f>
        <v>0.46111353489760504</v>
      </c>
    </row>
    <row r="503" spans="1:4" x14ac:dyDescent="0.3">
      <c r="A503" s="25">
        <v>502</v>
      </c>
      <c r="B503" s="25">
        <f>LARGE(Data!$J$2:$J$2379,A503)</f>
        <v>700</v>
      </c>
      <c r="C503" s="25">
        <f t="shared" si="7"/>
        <v>562980</v>
      </c>
      <c r="D503" s="28">
        <f>C503/SUM(Data!$J$2:$J$2379)</f>
        <v>0.46168758959353645</v>
      </c>
    </row>
    <row r="504" spans="1:4" x14ac:dyDescent="0.3">
      <c r="A504" s="25">
        <v>503</v>
      </c>
      <c r="B504" s="25">
        <f>LARGE(Data!$J$2:$J$2379,A504)</f>
        <v>700</v>
      </c>
      <c r="C504" s="25">
        <f t="shared" si="7"/>
        <v>563680</v>
      </c>
      <c r="D504" s="28">
        <f>C504/SUM(Data!$J$2:$J$2379)</f>
        <v>0.46226164428946792</v>
      </c>
    </row>
    <row r="505" spans="1:4" x14ac:dyDescent="0.3">
      <c r="A505" s="25">
        <v>504</v>
      </c>
      <c r="B505" s="25">
        <f>LARGE(Data!$J$2:$J$2379,A505)</f>
        <v>700</v>
      </c>
      <c r="C505" s="25">
        <f t="shared" si="7"/>
        <v>564380</v>
      </c>
      <c r="D505" s="28">
        <f>C505/SUM(Data!$J$2:$J$2379)</f>
        <v>0.46283569898539934</v>
      </c>
    </row>
    <row r="506" spans="1:4" x14ac:dyDescent="0.3">
      <c r="A506" s="25">
        <v>505</v>
      </c>
      <c r="B506" s="25">
        <f>LARGE(Data!$J$2:$J$2379,A506)</f>
        <v>700</v>
      </c>
      <c r="C506" s="25">
        <f t="shared" si="7"/>
        <v>565080</v>
      </c>
      <c r="D506" s="28">
        <f>C506/SUM(Data!$J$2:$J$2379)</f>
        <v>0.46340975368133075</v>
      </c>
    </row>
    <row r="507" spans="1:4" x14ac:dyDescent="0.3">
      <c r="A507" s="25">
        <v>506</v>
      </c>
      <c r="B507" s="25">
        <f>LARGE(Data!$J$2:$J$2379,A507)</f>
        <v>700</v>
      </c>
      <c r="C507" s="25">
        <f t="shared" si="7"/>
        <v>565780</v>
      </c>
      <c r="D507" s="28">
        <f>C507/SUM(Data!$J$2:$J$2379)</f>
        <v>0.46398380837726216</v>
      </c>
    </row>
    <row r="508" spans="1:4" x14ac:dyDescent="0.3">
      <c r="A508" s="25">
        <v>507</v>
      </c>
      <c r="B508" s="25">
        <f>LARGE(Data!$J$2:$J$2379,A508)</f>
        <v>700</v>
      </c>
      <c r="C508" s="25">
        <f t="shared" si="7"/>
        <v>566480</v>
      </c>
      <c r="D508" s="28">
        <f>C508/SUM(Data!$J$2:$J$2379)</f>
        <v>0.46455786307319363</v>
      </c>
    </row>
    <row r="509" spans="1:4" x14ac:dyDescent="0.3">
      <c r="A509" s="25">
        <v>508</v>
      </c>
      <c r="B509" s="25">
        <f>LARGE(Data!$J$2:$J$2379,A509)</f>
        <v>700</v>
      </c>
      <c r="C509" s="25">
        <f t="shared" si="7"/>
        <v>567180</v>
      </c>
      <c r="D509" s="28">
        <f>C509/SUM(Data!$J$2:$J$2379)</f>
        <v>0.46513191776912505</v>
      </c>
    </row>
    <row r="510" spans="1:4" x14ac:dyDescent="0.3">
      <c r="A510" s="25">
        <v>509</v>
      </c>
      <c r="B510" s="25">
        <f>LARGE(Data!$J$2:$J$2379,A510)</f>
        <v>700</v>
      </c>
      <c r="C510" s="25">
        <f t="shared" si="7"/>
        <v>567880</v>
      </c>
      <c r="D510" s="28">
        <f>C510/SUM(Data!$J$2:$J$2379)</f>
        <v>0.46570597246505646</v>
      </c>
    </row>
    <row r="511" spans="1:4" x14ac:dyDescent="0.3">
      <c r="A511" s="25">
        <v>510</v>
      </c>
      <c r="B511" s="25">
        <f>LARGE(Data!$J$2:$J$2379,A511)</f>
        <v>700</v>
      </c>
      <c r="C511" s="25">
        <f t="shared" si="7"/>
        <v>568580</v>
      </c>
      <c r="D511" s="28">
        <f>C511/SUM(Data!$J$2:$J$2379)</f>
        <v>0.46628002716098788</v>
      </c>
    </row>
    <row r="512" spans="1:4" x14ac:dyDescent="0.3">
      <c r="A512" s="25">
        <v>511</v>
      </c>
      <c r="B512" s="25">
        <f>LARGE(Data!$J$2:$J$2379,A512)</f>
        <v>700</v>
      </c>
      <c r="C512" s="25">
        <f t="shared" si="7"/>
        <v>569280</v>
      </c>
      <c r="D512" s="28">
        <f>C512/SUM(Data!$J$2:$J$2379)</f>
        <v>0.46685408185691935</v>
      </c>
    </row>
    <row r="513" spans="1:4" x14ac:dyDescent="0.3">
      <c r="A513" s="25">
        <v>512</v>
      </c>
      <c r="B513" s="25">
        <f>LARGE(Data!$J$2:$J$2379,A513)</f>
        <v>700</v>
      </c>
      <c r="C513" s="25">
        <f t="shared" si="7"/>
        <v>569980</v>
      </c>
      <c r="D513" s="28">
        <f>C513/SUM(Data!$J$2:$J$2379)</f>
        <v>0.46742813655285076</v>
      </c>
    </row>
    <row r="514" spans="1:4" x14ac:dyDescent="0.3">
      <c r="A514" s="25">
        <v>513</v>
      </c>
      <c r="B514" s="25">
        <f>LARGE(Data!$J$2:$J$2379,A514)</f>
        <v>700</v>
      </c>
      <c r="C514" s="25">
        <f t="shared" si="7"/>
        <v>570680</v>
      </c>
      <c r="D514" s="28">
        <f>C514/SUM(Data!$J$2:$J$2379)</f>
        <v>0.46800219124878217</v>
      </c>
    </row>
    <row r="515" spans="1:4" x14ac:dyDescent="0.3">
      <c r="A515" s="25">
        <v>514</v>
      </c>
      <c r="B515" s="25">
        <f>LARGE(Data!$J$2:$J$2379,A515)</f>
        <v>700</v>
      </c>
      <c r="C515" s="25">
        <f t="shared" ref="C515:C578" si="8">C514+B515</f>
        <v>571380</v>
      </c>
      <c r="D515" s="28">
        <f>C515/SUM(Data!$J$2:$J$2379)</f>
        <v>0.46857624594471359</v>
      </c>
    </row>
    <row r="516" spans="1:4" x14ac:dyDescent="0.3">
      <c r="A516" s="25">
        <v>515</v>
      </c>
      <c r="B516" s="25">
        <f>LARGE(Data!$J$2:$J$2379,A516)</f>
        <v>700</v>
      </c>
      <c r="C516" s="25">
        <f t="shared" si="8"/>
        <v>572080</v>
      </c>
      <c r="D516" s="28">
        <f>C516/SUM(Data!$J$2:$J$2379)</f>
        <v>0.46915030064064506</v>
      </c>
    </row>
    <row r="517" spans="1:4" x14ac:dyDescent="0.3">
      <c r="A517" s="25">
        <v>516</v>
      </c>
      <c r="B517" s="25">
        <f>LARGE(Data!$J$2:$J$2379,A517)</f>
        <v>700</v>
      </c>
      <c r="C517" s="25">
        <f t="shared" si="8"/>
        <v>572780</v>
      </c>
      <c r="D517" s="28">
        <f>C517/SUM(Data!$J$2:$J$2379)</f>
        <v>0.46972435533657647</v>
      </c>
    </row>
    <row r="518" spans="1:4" x14ac:dyDescent="0.3">
      <c r="A518" s="25">
        <v>517</v>
      </c>
      <c r="B518" s="25">
        <f>LARGE(Data!$J$2:$J$2379,A518)</f>
        <v>700</v>
      </c>
      <c r="C518" s="25">
        <f t="shared" si="8"/>
        <v>573480</v>
      </c>
      <c r="D518" s="28">
        <f>C518/SUM(Data!$J$2:$J$2379)</f>
        <v>0.47029841003250789</v>
      </c>
    </row>
    <row r="519" spans="1:4" x14ac:dyDescent="0.3">
      <c r="A519" s="25">
        <v>518</v>
      </c>
      <c r="B519" s="25">
        <f>LARGE(Data!$J$2:$J$2379,A519)</f>
        <v>700</v>
      </c>
      <c r="C519" s="25">
        <f t="shared" si="8"/>
        <v>574180</v>
      </c>
      <c r="D519" s="28">
        <f>C519/SUM(Data!$J$2:$J$2379)</f>
        <v>0.4708724647284393</v>
      </c>
    </row>
    <row r="520" spans="1:4" x14ac:dyDescent="0.3">
      <c r="A520" s="25">
        <v>519</v>
      </c>
      <c r="B520" s="25">
        <f>LARGE(Data!$J$2:$J$2379,A520)</f>
        <v>700</v>
      </c>
      <c r="C520" s="25">
        <f t="shared" si="8"/>
        <v>574880</v>
      </c>
      <c r="D520" s="28">
        <f>C520/SUM(Data!$J$2:$J$2379)</f>
        <v>0.47144651942437077</v>
      </c>
    </row>
    <row r="521" spans="1:4" x14ac:dyDescent="0.3">
      <c r="A521" s="25">
        <v>520</v>
      </c>
      <c r="B521" s="25">
        <f>LARGE(Data!$J$2:$J$2379,A521)</f>
        <v>700</v>
      </c>
      <c r="C521" s="25">
        <f t="shared" si="8"/>
        <v>575580</v>
      </c>
      <c r="D521" s="28">
        <f>C521/SUM(Data!$J$2:$J$2379)</f>
        <v>0.47202057412030218</v>
      </c>
    </row>
    <row r="522" spans="1:4" x14ac:dyDescent="0.3">
      <c r="A522" s="25">
        <v>521</v>
      </c>
      <c r="B522" s="25">
        <f>LARGE(Data!$J$2:$J$2379,A522)</f>
        <v>700</v>
      </c>
      <c r="C522" s="25">
        <f t="shared" si="8"/>
        <v>576280</v>
      </c>
      <c r="D522" s="28">
        <f>C522/SUM(Data!$J$2:$J$2379)</f>
        <v>0.4725946288162336</v>
      </c>
    </row>
    <row r="523" spans="1:4" x14ac:dyDescent="0.3">
      <c r="A523" s="25">
        <v>522</v>
      </c>
      <c r="B523" s="25">
        <f>LARGE(Data!$J$2:$J$2379,A523)</f>
        <v>700</v>
      </c>
      <c r="C523" s="25">
        <f t="shared" si="8"/>
        <v>576980</v>
      </c>
      <c r="D523" s="28">
        <f>C523/SUM(Data!$J$2:$J$2379)</f>
        <v>0.47316868351216501</v>
      </c>
    </row>
    <row r="524" spans="1:4" x14ac:dyDescent="0.3">
      <c r="A524" s="25">
        <v>523</v>
      </c>
      <c r="B524" s="25">
        <f>LARGE(Data!$J$2:$J$2379,A524)</f>
        <v>700</v>
      </c>
      <c r="C524" s="25">
        <f t="shared" si="8"/>
        <v>577680</v>
      </c>
      <c r="D524" s="28">
        <f>C524/SUM(Data!$J$2:$J$2379)</f>
        <v>0.47374273820809648</v>
      </c>
    </row>
    <row r="525" spans="1:4" x14ac:dyDescent="0.3">
      <c r="A525" s="25">
        <v>524</v>
      </c>
      <c r="B525" s="25">
        <f>LARGE(Data!$J$2:$J$2379,A525)</f>
        <v>700</v>
      </c>
      <c r="C525" s="25">
        <f t="shared" si="8"/>
        <v>578380</v>
      </c>
      <c r="D525" s="28">
        <f>C525/SUM(Data!$J$2:$J$2379)</f>
        <v>0.4743167929040279</v>
      </c>
    </row>
    <row r="526" spans="1:4" x14ac:dyDescent="0.3">
      <c r="A526" s="25">
        <v>525</v>
      </c>
      <c r="B526" s="25">
        <f>LARGE(Data!$J$2:$J$2379,A526)</f>
        <v>700</v>
      </c>
      <c r="C526" s="25">
        <f t="shared" si="8"/>
        <v>579080</v>
      </c>
      <c r="D526" s="28">
        <f>C526/SUM(Data!$J$2:$J$2379)</f>
        <v>0.47489084759995931</v>
      </c>
    </row>
    <row r="527" spans="1:4" x14ac:dyDescent="0.3">
      <c r="A527" s="25">
        <v>526</v>
      </c>
      <c r="B527" s="25">
        <f>LARGE(Data!$J$2:$J$2379,A527)</f>
        <v>700</v>
      </c>
      <c r="C527" s="25">
        <f t="shared" si="8"/>
        <v>579780</v>
      </c>
      <c r="D527" s="28">
        <f>C527/SUM(Data!$J$2:$J$2379)</f>
        <v>0.47546490229589078</v>
      </c>
    </row>
    <row r="528" spans="1:4" x14ac:dyDescent="0.3">
      <c r="A528" s="25">
        <v>527</v>
      </c>
      <c r="B528" s="25">
        <f>LARGE(Data!$J$2:$J$2379,A528)</f>
        <v>700</v>
      </c>
      <c r="C528" s="25">
        <f t="shared" si="8"/>
        <v>580480</v>
      </c>
      <c r="D528" s="28">
        <f>C528/SUM(Data!$J$2:$J$2379)</f>
        <v>0.47603895699182219</v>
      </c>
    </row>
    <row r="529" spans="1:4" x14ac:dyDescent="0.3">
      <c r="A529" s="25">
        <v>528</v>
      </c>
      <c r="B529" s="25">
        <f>LARGE(Data!$J$2:$J$2379,A529)</f>
        <v>700</v>
      </c>
      <c r="C529" s="25">
        <f t="shared" si="8"/>
        <v>581180</v>
      </c>
      <c r="D529" s="28">
        <f>C529/SUM(Data!$J$2:$J$2379)</f>
        <v>0.47661301168775361</v>
      </c>
    </row>
    <row r="530" spans="1:4" x14ac:dyDescent="0.3">
      <c r="A530" s="25">
        <v>529</v>
      </c>
      <c r="B530" s="25">
        <f>LARGE(Data!$J$2:$J$2379,A530)</f>
        <v>700</v>
      </c>
      <c r="C530" s="25">
        <f t="shared" si="8"/>
        <v>581880</v>
      </c>
      <c r="D530" s="28">
        <f>C530/SUM(Data!$J$2:$J$2379)</f>
        <v>0.47718706638368502</v>
      </c>
    </row>
    <row r="531" spans="1:4" x14ac:dyDescent="0.3">
      <c r="A531" s="25">
        <v>530</v>
      </c>
      <c r="B531" s="25">
        <f>LARGE(Data!$J$2:$J$2379,A531)</f>
        <v>700</v>
      </c>
      <c r="C531" s="25">
        <f t="shared" si="8"/>
        <v>582580</v>
      </c>
      <c r="D531" s="28">
        <f>C531/SUM(Data!$J$2:$J$2379)</f>
        <v>0.47776112107961649</v>
      </c>
    </row>
    <row r="532" spans="1:4" x14ac:dyDescent="0.3">
      <c r="A532" s="25">
        <v>531</v>
      </c>
      <c r="B532" s="25">
        <f>LARGE(Data!$J$2:$J$2379,A532)</f>
        <v>700</v>
      </c>
      <c r="C532" s="25">
        <f t="shared" si="8"/>
        <v>583280</v>
      </c>
      <c r="D532" s="28">
        <f>C532/SUM(Data!$J$2:$J$2379)</f>
        <v>0.47833517577554791</v>
      </c>
    </row>
    <row r="533" spans="1:4" x14ac:dyDescent="0.3">
      <c r="A533" s="25">
        <v>532</v>
      </c>
      <c r="B533" s="25">
        <f>LARGE(Data!$J$2:$J$2379,A533)</f>
        <v>700</v>
      </c>
      <c r="C533" s="25">
        <f t="shared" si="8"/>
        <v>583980</v>
      </c>
      <c r="D533" s="28">
        <f>C533/SUM(Data!$J$2:$J$2379)</f>
        <v>0.47890923047147932</v>
      </c>
    </row>
    <row r="534" spans="1:4" x14ac:dyDescent="0.3">
      <c r="A534" s="25">
        <v>533</v>
      </c>
      <c r="B534" s="25">
        <f>LARGE(Data!$J$2:$J$2379,A534)</f>
        <v>700</v>
      </c>
      <c r="C534" s="25">
        <f t="shared" si="8"/>
        <v>584680</v>
      </c>
      <c r="D534" s="28">
        <f>C534/SUM(Data!$J$2:$J$2379)</f>
        <v>0.47948328516741073</v>
      </c>
    </row>
    <row r="535" spans="1:4" x14ac:dyDescent="0.3">
      <c r="A535" s="25">
        <v>534</v>
      </c>
      <c r="B535" s="25">
        <f>LARGE(Data!$J$2:$J$2379,A535)</f>
        <v>700</v>
      </c>
      <c r="C535" s="25">
        <f t="shared" si="8"/>
        <v>585380</v>
      </c>
      <c r="D535" s="28">
        <f>C535/SUM(Data!$J$2:$J$2379)</f>
        <v>0.4800573398633422</v>
      </c>
    </row>
    <row r="536" spans="1:4" x14ac:dyDescent="0.3">
      <c r="A536" s="25">
        <v>535</v>
      </c>
      <c r="B536" s="25">
        <f>LARGE(Data!$J$2:$J$2379,A536)</f>
        <v>700</v>
      </c>
      <c r="C536" s="25">
        <f t="shared" si="8"/>
        <v>586080</v>
      </c>
      <c r="D536" s="28">
        <f>C536/SUM(Data!$J$2:$J$2379)</f>
        <v>0.48063139455927362</v>
      </c>
    </row>
    <row r="537" spans="1:4" x14ac:dyDescent="0.3">
      <c r="A537" s="25">
        <v>536</v>
      </c>
      <c r="B537" s="25">
        <f>LARGE(Data!$J$2:$J$2379,A537)</f>
        <v>700</v>
      </c>
      <c r="C537" s="25">
        <f t="shared" si="8"/>
        <v>586780</v>
      </c>
      <c r="D537" s="28">
        <f>C537/SUM(Data!$J$2:$J$2379)</f>
        <v>0.48120544925520503</v>
      </c>
    </row>
    <row r="538" spans="1:4" x14ac:dyDescent="0.3">
      <c r="A538" s="25">
        <v>537</v>
      </c>
      <c r="B538" s="25">
        <f>LARGE(Data!$J$2:$J$2379,A538)</f>
        <v>700</v>
      </c>
      <c r="C538" s="25">
        <f t="shared" si="8"/>
        <v>587480</v>
      </c>
      <c r="D538" s="28">
        <f>C538/SUM(Data!$J$2:$J$2379)</f>
        <v>0.48177950395113645</v>
      </c>
    </row>
    <row r="539" spans="1:4" x14ac:dyDescent="0.3">
      <c r="A539" s="25">
        <v>538</v>
      </c>
      <c r="B539" s="25">
        <f>LARGE(Data!$J$2:$J$2379,A539)</f>
        <v>665</v>
      </c>
      <c r="C539" s="25">
        <f t="shared" si="8"/>
        <v>588145</v>
      </c>
      <c r="D539" s="28">
        <f>C539/SUM(Data!$J$2:$J$2379)</f>
        <v>0.48232485591227131</v>
      </c>
    </row>
    <row r="540" spans="1:4" x14ac:dyDescent="0.3">
      <c r="A540" s="25">
        <v>539</v>
      </c>
      <c r="B540" s="25">
        <f>LARGE(Data!$J$2:$J$2379,A540)</f>
        <v>665</v>
      </c>
      <c r="C540" s="25">
        <f t="shared" si="8"/>
        <v>588810</v>
      </c>
      <c r="D540" s="28">
        <f>C540/SUM(Data!$J$2:$J$2379)</f>
        <v>0.48287020787340618</v>
      </c>
    </row>
    <row r="541" spans="1:4" x14ac:dyDescent="0.3">
      <c r="A541" s="25">
        <v>540</v>
      </c>
      <c r="B541" s="25">
        <f>LARGE(Data!$J$2:$J$2379,A541)</f>
        <v>660</v>
      </c>
      <c r="C541" s="25">
        <f t="shared" si="8"/>
        <v>589470</v>
      </c>
      <c r="D541" s="28">
        <f>C541/SUM(Data!$J$2:$J$2379)</f>
        <v>0.48341145944385583</v>
      </c>
    </row>
    <row r="542" spans="1:4" x14ac:dyDescent="0.3">
      <c r="A542" s="25">
        <v>541</v>
      </c>
      <c r="B542" s="25">
        <f>LARGE(Data!$J$2:$J$2379,A542)</f>
        <v>650</v>
      </c>
      <c r="C542" s="25">
        <f t="shared" si="8"/>
        <v>590120</v>
      </c>
      <c r="D542" s="28">
        <f>C542/SUM(Data!$J$2:$J$2379)</f>
        <v>0.483944510232935</v>
      </c>
    </row>
    <row r="543" spans="1:4" x14ac:dyDescent="0.3">
      <c r="A543" s="25">
        <v>542</v>
      </c>
      <c r="B543" s="25">
        <f>LARGE(Data!$J$2:$J$2379,A543)</f>
        <v>650</v>
      </c>
      <c r="C543" s="25">
        <f t="shared" si="8"/>
        <v>590770</v>
      </c>
      <c r="D543" s="28">
        <f>C543/SUM(Data!$J$2:$J$2379)</f>
        <v>0.48447756102201417</v>
      </c>
    </row>
    <row r="544" spans="1:4" x14ac:dyDescent="0.3">
      <c r="A544" s="25">
        <v>543</v>
      </c>
      <c r="B544" s="25">
        <f>LARGE(Data!$J$2:$J$2379,A544)</f>
        <v>650</v>
      </c>
      <c r="C544" s="25">
        <f t="shared" si="8"/>
        <v>591420</v>
      </c>
      <c r="D544" s="28">
        <f>C544/SUM(Data!$J$2:$J$2379)</f>
        <v>0.48501061181109334</v>
      </c>
    </row>
    <row r="545" spans="1:4" x14ac:dyDescent="0.3">
      <c r="A545" s="25">
        <v>544</v>
      </c>
      <c r="B545" s="25">
        <f>LARGE(Data!$J$2:$J$2379,A545)</f>
        <v>650</v>
      </c>
      <c r="C545" s="25">
        <f t="shared" si="8"/>
        <v>592070</v>
      </c>
      <c r="D545" s="28">
        <f>C545/SUM(Data!$J$2:$J$2379)</f>
        <v>0.48554366260017257</v>
      </c>
    </row>
    <row r="546" spans="1:4" x14ac:dyDescent="0.3">
      <c r="A546" s="25">
        <v>545</v>
      </c>
      <c r="B546" s="25">
        <f>LARGE(Data!$J$2:$J$2379,A546)</f>
        <v>650</v>
      </c>
      <c r="C546" s="25">
        <f t="shared" si="8"/>
        <v>592720</v>
      </c>
      <c r="D546" s="28">
        <f>C546/SUM(Data!$J$2:$J$2379)</f>
        <v>0.48607671338925174</v>
      </c>
    </row>
    <row r="547" spans="1:4" x14ac:dyDescent="0.3">
      <c r="A547" s="25">
        <v>546</v>
      </c>
      <c r="B547" s="25">
        <f>LARGE(Data!$J$2:$J$2379,A547)</f>
        <v>650</v>
      </c>
      <c r="C547" s="25">
        <f t="shared" si="8"/>
        <v>593370</v>
      </c>
      <c r="D547" s="28">
        <f>C547/SUM(Data!$J$2:$J$2379)</f>
        <v>0.48660976417833091</v>
      </c>
    </row>
    <row r="548" spans="1:4" x14ac:dyDescent="0.3">
      <c r="A548" s="25">
        <v>547</v>
      </c>
      <c r="B548" s="25">
        <f>LARGE(Data!$J$2:$J$2379,A548)</f>
        <v>650</v>
      </c>
      <c r="C548" s="25">
        <f t="shared" si="8"/>
        <v>594020</v>
      </c>
      <c r="D548" s="28">
        <f>C548/SUM(Data!$J$2:$J$2379)</f>
        <v>0.48714281496741008</v>
      </c>
    </row>
    <row r="549" spans="1:4" x14ac:dyDescent="0.3">
      <c r="A549" s="25">
        <v>548</v>
      </c>
      <c r="B549" s="25">
        <f>LARGE(Data!$J$2:$J$2379,A549)</f>
        <v>650</v>
      </c>
      <c r="C549" s="25">
        <f t="shared" si="8"/>
        <v>594670</v>
      </c>
      <c r="D549" s="28">
        <f>C549/SUM(Data!$J$2:$J$2379)</f>
        <v>0.4876758657564893</v>
      </c>
    </row>
    <row r="550" spans="1:4" x14ac:dyDescent="0.3">
      <c r="A550" s="25">
        <v>549</v>
      </c>
      <c r="B550" s="25">
        <f>LARGE(Data!$J$2:$J$2379,A550)</f>
        <v>650</v>
      </c>
      <c r="C550" s="25">
        <f t="shared" si="8"/>
        <v>595320</v>
      </c>
      <c r="D550" s="28">
        <f>C550/SUM(Data!$J$2:$J$2379)</f>
        <v>0.48820891654556847</v>
      </c>
    </row>
    <row r="551" spans="1:4" x14ac:dyDescent="0.3">
      <c r="A551" s="25">
        <v>550</v>
      </c>
      <c r="B551" s="25">
        <f>LARGE(Data!$J$2:$J$2379,A551)</f>
        <v>650</v>
      </c>
      <c r="C551" s="25">
        <f t="shared" si="8"/>
        <v>595970</v>
      </c>
      <c r="D551" s="28">
        <f>C551/SUM(Data!$J$2:$J$2379)</f>
        <v>0.48874196733464764</v>
      </c>
    </row>
    <row r="552" spans="1:4" x14ac:dyDescent="0.3">
      <c r="A552" s="25">
        <v>551</v>
      </c>
      <c r="B552" s="25">
        <f>LARGE(Data!$J$2:$J$2379,A552)</f>
        <v>650</v>
      </c>
      <c r="C552" s="25">
        <f t="shared" si="8"/>
        <v>596620</v>
      </c>
      <c r="D552" s="28">
        <f>C552/SUM(Data!$J$2:$J$2379)</f>
        <v>0.48927501812372681</v>
      </c>
    </row>
    <row r="553" spans="1:4" x14ac:dyDescent="0.3">
      <c r="A553" s="25">
        <v>552</v>
      </c>
      <c r="B553" s="25">
        <f>LARGE(Data!$J$2:$J$2379,A553)</f>
        <v>650</v>
      </c>
      <c r="C553" s="25">
        <f t="shared" si="8"/>
        <v>597270</v>
      </c>
      <c r="D553" s="28">
        <f>C553/SUM(Data!$J$2:$J$2379)</f>
        <v>0.48980806891280604</v>
      </c>
    </row>
    <row r="554" spans="1:4" x14ac:dyDescent="0.3">
      <c r="A554" s="25">
        <v>553</v>
      </c>
      <c r="B554" s="25">
        <f>LARGE(Data!$J$2:$J$2379,A554)</f>
        <v>650</v>
      </c>
      <c r="C554" s="25">
        <f t="shared" si="8"/>
        <v>597920</v>
      </c>
      <c r="D554" s="28">
        <f>C554/SUM(Data!$J$2:$J$2379)</f>
        <v>0.49034111970188521</v>
      </c>
    </row>
    <row r="555" spans="1:4" x14ac:dyDescent="0.3">
      <c r="A555" s="25">
        <v>554</v>
      </c>
      <c r="B555" s="25">
        <f>LARGE(Data!$J$2:$J$2379,A555)</f>
        <v>650</v>
      </c>
      <c r="C555" s="25">
        <f t="shared" si="8"/>
        <v>598570</v>
      </c>
      <c r="D555" s="28">
        <f>C555/SUM(Data!$J$2:$J$2379)</f>
        <v>0.49087417049096438</v>
      </c>
    </row>
    <row r="556" spans="1:4" x14ac:dyDescent="0.3">
      <c r="A556" s="25">
        <v>555</v>
      </c>
      <c r="B556" s="25">
        <f>LARGE(Data!$J$2:$J$2379,A556)</f>
        <v>650</v>
      </c>
      <c r="C556" s="25">
        <f t="shared" si="8"/>
        <v>599220</v>
      </c>
      <c r="D556" s="28">
        <f>C556/SUM(Data!$J$2:$J$2379)</f>
        <v>0.49140722128004355</v>
      </c>
    </row>
    <row r="557" spans="1:4" x14ac:dyDescent="0.3">
      <c r="A557" s="25">
        <v>556</v>
      </c>
      <c r="B557" s="25">
        <f>LARGE(Data!$J$2:$J$2379,A557)</f>
        <v>650</v>
      </c>
      <c r="C557" s="25">
        <f t="shared" si="8"/>
        <v>599870</v>
      </c>
      <c r="D557" s="28">
        <f>C557/SUM(Data!$J$2:$J$2379)</f>
        <v>0.49194027206912272</v>
      </c>
    </row>
    <row r="558" spans="1:4" x14ac:dyDescent="0.3">
      <c r="A558" s="25">
        <v>557</v>
      </c>
      <c r="B558" s="25">
        <f>LARGE(Data!$J$2:$J$2379,A558)</f>
        <v>650</v>
      </c>
      <c r="C558" s="25">
        <f t="shared" si="8"/>
        <v>600520</v>
      </c>
      <c r="D558" s="28">
        <f>C558/SUM(Data!$J$2:$J$2379)</f>
        <v>0.49247332285820195</v>
      </c>
    </row>
    <row r="559" spans="1:4" x14ac:dyDescent="0.3">
      <c r="A559" s="25">
        <v>558</v>
      </c>
      <c r="B559" s="25">
        <f>LARGE(Data!$J$2:$J$2379,A559)</f>
        <v>650</v>
      </c>
      <c r="C559" s="25">
        <f t="shared" si="8"/>
        <v>601170</v>
      </c>
      <c r="D559" s="28">
        <f>C559/SUM(Data!$J$2:$J$2379)</f>
        <v>0.49300637364728112</v>
      </c>
    </row>
    <row r="560" spans="1:4" x14ac:dyDescent="0.3">
      <c r="A560" s="25">
        <v>559</v>
      </c>
      <c r="B560" s="25">
        <f>LARGE(Data!$J$2:$J$2379,A560)</f>
        <v>650</v>
      </c>
      <c r="C560" s="25">
        <f t="shared" si="8"/>
        <v>601820</v>
      </c>
      <c r="D560" s="28">
        <f>C560/SUM(Data!$J$2:$J$2379)</f>
        <v>0.49353942443636029</v>
      </c>
    </row>
    <row r="561" spans="1:4" x14ac:dyDescent="0.3">
      <c r="A561" s="25">
        <v>560</v>
      </c>
      <c r="B561" s="25">
        <f>LARGE(Data!$J$2:$J$2379,A561)</f>
        <v>650</v>
      </c>
      <c r="C561" s="25">
        <f t="shared" si="8"/>
        <v>602470</v>
      </c>
      <c r="D561" s="28">
        <f>C561/SUM(Data!$J$2:$J$2379)</f>
        <v>0.49407247522543946</v>
      </c>
    </row>
    <row r="562" spans="1:4" x14ac:dyDescent="0.3">
      <c r="A562" s="25">
        <v>561</v>
      </c>
      <c r="B562" s="25">
        <f>LARGE(Data!$J$2:$J$2379,A562)</f>
        <v>650</v>
      </c>
      <c r="C562" s="25">
        <f t="shared" si="8"/>
        <v>603120</v>
      </c>
      <c r="D562" s="28">
        <f>C562/SUM(Data!$J$2:$J$2379)</f>
        <v>0.49460552601451868</v>
      </c>
    </row>
    <row r="563" spans="1:4" x14ac:dyDescent="0.3">
      <c r="A563" s="25">
        <v>562</v>
      </c>
      <c r="B563" s="25">
        <f>LARGE(Data!$J$2:$J$2379,A563)</f>
        <v>650</v>
      </c>
      <c r="C563" s="25">
        <f t="shared" si="8"/>
        <v>603770</v>
      </c>
      <c r="D563" s="28">
        <f>C563/SUM(Data!$J$2:$J$2379)</f>
        <v>0.49513857680359785</v>
      </c>
    </row>
    <row r="564" spans="1:4" x14ac:dyDescent="0.3">
      <c r="A564" s="25">
        <v>563</v>
      </c>
      <c r="B564" s="25">
        <f>LARGE(Data!$J$2:$J$2379,A564)</f>
        <v>650</v>
      </c>
      <c r="C564" s="25">
        <f t="shared" si="8"/>
        <v>604420</v>
      </c>
      <c r="D564" s="28">
        <f>C564/SUM(Data!$J$2:$J$2379)</f>
        <v>0.49567162759267702</v>
      </c>
    </row>
    <row r="565" spans="1:4" x14ac:dyDescent="0.3">
      <c r="A565" s="25">
        <v>564</v>
      </c>
      <c r="B565" s="25">
        <f>LARGE(Data!$J$2:$J$2379,A565)</f>
        <v>650</v>
      </c>
      <c r="C565" s="25">
        <f t="shared" si="8"/>
        <v>605070</v>
      </c>
      <c r="D565" s="28">
        <f>C565/SUM(Data!$J$2:$J$2379)</f>
        <v>0.49620467838175619</v>
      </c>
    </row>
    <row r="566" spans="1:4" x14ac:dyDescent="0.3">
      <c r="A566" s="25">
        <v>565</v>
      </c>
      <c r="B566" s="25">
        <f>LARGE(Data!$J$2:$J$2379,A566)</f>
        <v>650</v>
      </c>
      <c r="C566" s="25">
        <f t="shared" si="8"/>
        <v>605720</v>
      </c>
      <c r="D566" s="28">
        <f>C566/SUM(Data!$J$2:$J$2379)</f>
        <v>0.49673772917083542</v>
      </c>
    </row>
    <row r="567" spans="1:4" x14ac:dyDescent="0.3">
      <c r="A567" s="25">
        <v>566</v>
      </c>
      <c r="B567" s="25">
        <f>LARGE(Data!$J$2:$J$2379,A567)</f>
        <v>650</v>
      </c>
      <c r="C567" s="25">
        <f t="shared" si="8"/>
        <v>606370</v>
      </c>
      <c r="D567" s="28">
        <f>C567/SUM(Data!$J$2:$J$2379)</f>
        <v>0.49727077995991459</v>
      </c>
    </row>
    <row r="568" spans="1:4" x14ac:dyDescent="0.3">
      <c r="A568" s="25">
        <v>567</v>
      </c>
      <c r="B568" s="25">
        <f>LARGE(Data!$J$2:$J$2379,A568)</f>
        <v>650</v>
      </c>
      <c r="C568" s="25">
        <f t="shared" si="8"/>
        <v>607020</v>
      </c>
      <c r="D568" s="28">
        <f>C568/SUM(Data!$J$2:$J$2379)</f>
        <v>0.49780383074899376</v>
      </c>
    </row>
    <row r="569" spans="1:4" x14ac:dyDescent="0.3">
      <c r="A569" s="25">
        <v>568</v>
      </c>
      <c r="B569" s="25">
        <f>LARGE(Data!$J$2:$J$2379,A569)</f>
        <v>650</v>
      </c>
      <c r="C569" s="25">
        <f t="shared" si="8"/>
        <v>607670</v>
      </c>
      <c r="D569" s="28">
        <f>C569/SUM(Data!$J$2:$J$2379)</f>
        <v>0.49833688153807293</v>
      </c>
    </row>
    <row r="570" spans="1:4" x14ac:dyDescent="0.3">
      <c r="A570" s="25">
        <v>569</v>
      </c>
      <c r="B570" s="25">
        <f>LARGE(Data!$J$2:$J$2379,A570)</f>
        <v>650</v>
      </c>
      <c r="C570" s="25">
        <f t="shared" si="8"/>
        <v>608320</v>
      </c>
      <c r="D570" s="28">
        <f>C570/SUM(Data!$J$2:$J$2379)</f>
        <v>0.49886993232715215</v>
      </c>
    </row>
    <row r="571" spans="1:4" x14ac:dyDescent="0.3">
      <c r="A571" s="25">
        <v>570</v>
      </c>
      <c r="B571" s="25">
        <f>LARGE(Data!$J$2:$J$2379,A571)</f>
        <v>650</v>
      </c>
      <c r="C571" s="25">
        <f t="shared" si="8"/>
        <v>608970</v>
      </c>
      <c r="D571" s="28">
        <f>C571/SUM(Data!$J$2:$J$2379)</f>
        <v>0.49940298311623132</v>
      </c>
    </row>
    <row r="572" spans="1:4" x14ac:dyDescent="0.3">
      <c r="A572" s="25">
        <v>571</v>
      </c>
      <c r="B572" s="25">
        <f>LARGE(Data!$J$2:$J$2379,A572)</f>
        <v>650</v>
      </c>
      <c r="C572" s="25">
        <f t="shared" si="8"/>
        <v>609620</v>
      </c>
      <c r="D572" s="28">
        <f>C572/SUM(Data!$J$2:$J$2379)</f>
        <v>0.4999360339053105</v>
      </c>
    </row>
    <row r="573" spans="1:4" x14ac:dyDescent="0.3">
      <c r="A573" s="25">
        <v>572</v>
      </c>
      <c r="B573" s="25">
        <f>LARGE(Data!$J$2:$J$2379,A573)</f>
        <v>650</v>
      </c>
      <c r="C573" s="25">
        <f t="shared" si="8"/>
        <v>610270</v>
      </c>
      <c r="D573" s="28">
        <f>C573/SUM(Data!$J$2:$J$2379)</f>
        <v>0.50046908469438967</v>
      </c>
    </row>
    <row r="574" spans="1:4" x14ac:dyDescent="0.3">
      <c r="A574" s="25">
        <v>573</v>
      </c>
      <c r="B574" s="25">
        <f>LARGE(Data!$J$2:$J$2379,A574)</f>
        <v>650</v>
      </c>
      <c r="C574" s="25">
        <f t="shared" si="8"/>
        <v>610920</v>
      </c>
      <c r="D574" s="28">
        <f>C574/SUM(Data!$J$2:$J$2379)</f>
        <v>0.50100213548346884</v>
      </c>
    </row>
    <row r="575" spans="1:4" x14ac:dyDescent="0.3">
      <c r="A575" s="25">
        <v>574</v>
      </c>
      <c r="B575" s="25">
        <f>LARGE(Data!$J$2:$J$2379,A575)</f>
        <v>650</v>
      </c>
      <c r="C575" s="25">
        <f t="shared" si="8"/>
        <v>611570</v>
      </c>
      <c r="D575" s="28">
        <f>C575/SUM(Data!$J$2:$J$2379)</f>
        <v>0.50153518627254801</v>
      </c>
    </row>
    <row r="576" spans="1:4" x14ac:dyDescent="0.3">
      <c r="A576" s="25">
        <v>575</v>
      </c>
      <c r="B576" s="25">
        <f>LARGE(Data!$J$2:$J$2379,A576)</f>
        <v>650</v>
      </c>
      <c r="C576" s="25">
        <f t="shared" si="8"/>
        <v>612220</v>
      </c>
      <c r="D576" s="28">
        <f>C576/SUM(Data!$J$2:$J$2379)</f>
        <v>0.50206823706162729</v>
      </c>
    </row>
    <row r="577" spans="1:4" x14ac:dyDescent="0.3">
      <c r="A577" s="25">
        <v>576</v>
      </c>
      <c r="B577" s="25">
        <f>LARGE(Data!$J$2:$J$2379,A577)</f>
        <v>650</v>
      </c>
      <c r="C577" s="25">
        <f t="shared" si="8"/>
        <v>612870</v>
      </c>
      <c r="D577" s="28">
        <f>C577/SUM(Data!$J$2:$J$2379)</f>
        <v>0.50260128785070646</v>
      </c>
    </row>
    <row r="578" spans="1:4" x14ac:dyDescent="0.3">
      <c r="A578" s="25">
        <v>577</v>
      </c>
      <c r="B578" s="25">
        <f>LARGE(Data!$J$2:$J$2379,A578)</f>
        <v>650</v>
      </c>
      <c r="C578" s="25">
        <f t="shared" si="8"/>
        <v>613520</v>
      </c>
      <c r="D578" s="28">
        <f>C578/SUM(Data!$J$2:$J$2379)</f>
        <v>0.50313433863978563</v>
      </c>
    </row>
    <row r="579" spans="1:4" x14ac:dyDescent="0.3">
      <c r="A579" s="25">
        <v>578</v>
      </c>
      <c r="B579" s="25">
        <f>LARGE(Data!$J$2:$J$2379,A579)</f>
        <v>650</v>
      </c>
      <c r="C579" s="25">
        <f t="shared" ref="C579:C642" si="9">C578+B579</f>
        <v>614170</v>
      </c>
      <c r="D579" s="28">
        <f>C579/SUM(Data!$J$2:$J$2379)</f>
        <v>0.5036673894288648</v>
      </c>
    </row>
    <row r="580" spans="1:4" x14ac:dyDescent="0.3">
      <c r="A580" s="25">
        <v>579</v>
      </c>
      <c r="B580" s="25">
        <f>LARGE(Data!$J$2:$J$2379,A580)</f>
        <v>650</v>
      </c>
      <c r="C580" s="25">
        <f t="shared" si="9"/>
        <v>614820</v>
      </c>
      <c r="D580" s="28">
        <f>C580/SUM(Data!$J$2:$J$2379)</f>
        <v>0.50420044021794397</v>
      </c>
    </row>
    <row r="581" spans="1:4" x14ac:dyDescent="0.3">
      <c r="A581" s="25">
        <v>580</v>
      </c>
      <c r="B581" s="25">
        <f>LARGE(Data!$J$2:$J$2379,A581)</f>
        <v>650</v>
      </c>
      <c r="C581" s="25">
        <f t="shared" si="9"/>
        <v>615470</v>
      </c>
      <c r="D581" s="28">
        <f>C581/SUM(Data!$J$2:$J$2379)</f>
        <v>0.50473349100702314</v>
      </c>
    </row>
    <row r="582" spans="1:4" x14ac:dyDescent="0.3">
      <c r="A582" s="25">
        <v>581</v>
      </c>
      <c r="B582" s="25">
        <f>LARGE(Data!$J$2:$J$2379,A582)</f>
        <v>650</v>
      </c>
      <c r="C582" s="25">
        <f t="shared" si="9"/>
        <v>616120</v>
      </c>
      <c r="D582" s="28">
        <f>C582/SUM(Data!$J$2:$J$2379)</f>
        <v>0.50526654179610231</v>
      </c>
    </row>
    <row r="583" spans="1:4" x14ac:dyDescent="0.3">
      <c r="A583" s="25">
        <v>582</v>
      </c>
      <c r="B583" s="25">
        <f>LARGE(Data!$J$2:$J$2379,A583)</f>
        <v>650</v>
      </c>
      <c r="C583" s="25">
        <f t="shared" si="9"/>
        <v>616770</v>
      </c>
      <c r="D583" s="28">
        <f>C583/SUM(Data!$J$2:$J$2379)</f>
        <v>0.50579959258518148</v>
      </c>
    </row>
    <row r="584" spans="1:4" x14ac:dyDescent="0.3">
      <c r="A584" s="25">
        <v>583</v>
      </c>
      <c r="B584" s="25">
        <f>LARGE(Data!$J$2:$J$2379,A584)</f>
        <v>650</v>
      </c>
      <c r="C584" s="25">
        <f t="shared" si="9"/>
        <v>617420</v>
      </c>
      <c r="D584" s="28">
        <f>C584/SUM(Data!$J$2:$J$2379)</f>
        <v>0.50633264337426065</v>
      </c>
    </row>
    <row r="585" spans="1:4" x14ac:dyDescent="0.3">
      <c r="A585" s="25">
        <v>584</v>
      </c>
      <c r="B585" s="25">
        <f>LARGE(Data!$J$2:$J$2379,A585)</f>
        <v>650</v>
      </c>
      <c r="C585" s="25">
        <f t="shared" si="9"/>
        <v>618070</v>
      </c>
      <c r="D585" s="28">
        <f>C585/SUM(Data!$J$2:$J$2379)</f>
        <v>0.50686569416333993</v>
      </c>
    </row>
    <row r="586" spans="1:4" x14ac:dyDescent="0.3">
      <c r="A586" s="25">
        <v>585</v>
      </c>
      <c r="B586" s="25">
        <f>LARGE(Data!$J$2:$J$2379,A586)</f>
        <v>650</v>
      </c>
      <c r="C586" s="25">
        <f t="shared" si="9"/>
        <v>618720</v>
      </c>
      <c r="D586" s="28">
        <f>C586/SUM(Data!$J$2:$J$2379)</f>
        <v>0.5073987449524191</v>
      </c>
    </row>
    <row r="587" spans="1:4" x14ac:dyDescent="0.3">
      <c r="A587" s="25">
        <v>586</v>
      </c>
      <c r="B587" s="25">
        <f>LARGE(Data!$J$2:$J$2379,A587)</f>
        <v>650</v>
      </c>
      <c r="C587" s="25">
        <f t="shared" si="9"/>
        <v>619370</v>
      </c>
      <c r="D587" s="28">
        <f>C587/SUM(Data!$J$2:$J$2379)</f>
        <v>0.50793179574149827</v>
      </c>
    </row>
    <row r="588" spans="1:4" x14ac:dyDescent="0.3">
      <c r="A588" s="25">
        <v>587</v>
      </c>
      <c r="B588" s="25">
        <f>LARGE(Data!$J$2:$J$2379,A588)</f>
        <v>650</v>
      </c>
      <c r="C588" s="25">
        <f t="shared" si="9"/>
        <v>620020</v>
      </c>
      <c r="D588" s="28">
        <f>C588/SUM(Data!$J$2:$J$2379)</f>
        <v>0.50846484653057744</v>
      </c>
    </row>
    <row r="589" spans="1:4" x14ac:dyDescent="0.3">
      <c r="A589" s="25">
        <v>588</v>
      </c>
      <c r="B589" s="25">
        <f>LARGE(Data!$J$2:$J$2379,A589)</f>
        <v>650</v>
      </c>
      <c r="C589" s="25">
        <f t="shared" si="9"/>
        <v>620670</v>
      </c>
      <c r="D589" s="28">
        <f>C589/SUM(Data!$J$2:$J$2379)</f>
        <v>0.50899789731965661</v>
      </c>
    </row>
    <row r="590" spans="1:4" x14ac:dyDescent="0.3">
      <c r="A590" s="25">
        <v>589</v>
      </c>
      <c r="B590" s="25">
        <f>LARGE(Data!$J$2:$J$2379,A590)</f>
        <v>650</v>
      </c>
      <c r="C590" s="25">
        <f t="shared" si="9"/>
        <v>621320</v>
      </c>
      <c r="D590" s="28">
        <f>C590/SUM(Data!$J$2:$J$2379)</f>
        <v>0.50953094810873578</v>
      </c>
    </row>
    <row r="591" spans="1:4" x14ac:dyDescent="0.3">
      <c r="A591" s="25">
        <v>590</v>
      </c>
      <c r="B591" s="25">
        <f>LARGE(Data!$J$2:$J$2379,A591)</f>
        <v>650</v>
      </c>
      <c r="C591" s="25">
        <f t="shared" si="9"/>
        <v>621970</v>
      </c>
      <c r="D591" s="28">
        <f>C591/SUM(Data!$J$2:$J$2379)</f>
        <v>0.51006399889781495</v>
      </c>
    </row>
    <row r="592" spans="1:4" x14ac:dyDescent="0.3">
      <c r="A592" s="25">
        <v>591</v>
      </c>
      <c r="B592" s="25">
        <f>LARGE(Data!$J$2:$J$2379,A592)</f>
        <v>650</v>
      </c>
      <c r="C592" s="25">
        <f t="shared" si="9"/>
        <v>622620</v>
      </c>
      <c r="D592" s="28">
        <f>C592/SUM(Data!$J$2:$J$2379)</f>
        <v>0.51059704968689412</v>
      </c>
    </row>
    <row r="593" spans="1:4" x14ac:dyDescent="0.3">
      <c r="A593" s="25">
        <v>592</v>
      </c>
      <c r="B593" s="25">
        <f>LARGE(Data!$J$2:$J$2379,A593)</f>
        <v>650</v>
      </c>
      <c r="C593" s="25">
        <f t="shared" si="9"/>
        <v>623270</v>
      </c>
      <c r="D593" s="28">
        <f>C593/SUM(Data!$J$2:$J$2379)</f>
        <v>0.5111301004759734</v>
      </c>
    </row>
    <row r="594" spans="1:4" x14ac:dyDescent="0.3">
      <c r="A594" s="25">
        <v>593</v>
      </c>
      <c r="B594" s="25">
        <f>LARGE(Data!$J$2:$J$2379,A594)</f>
        <v>650</v>
      </c>
      <c r="C594" s="25">
        <f t="shared" si="9"/>
        <v>623920</v>
      </c>
      <c r="D594" s="28">
        <f>C594/SUM(Data!$J$2:$J$2379)</f>
        <v>0.51166315126505257</v>
      </c>
    </row>
    <row r="595" spans="1:4" x14ac:dyDescent="0.3">
      <c r="A595" s="25">
        <v>594</v>
      </c>
      <c r="B595" s="25">
        <f>LARGE(Data!$J$2:$J$2379,A595)</f>
        <v>650</v>
      </c>
      <c r="C595" s="25">
        <f t="shared" si="9"/>
        <v>624570</v>
      </c>
      <c r="D595" s="28">
        <f>C595/SUM(Data!$J$2:$J$2379)</f>
        <v>0.51219620205413174</v>
      </c>
    </row>
    <row r="596" spans="1:4" x14ac:dyDescent="0.3">
      <c r="A596" s="25">
        <v>595</v>
      </c>
      <c r="B596" s="25">
        <f>LARGE(Data!$J$2:$J$2379,A596)</f>
        <v>650</v>
      </c>
      <c r="C596" s="25">
        <f t="shared" si="9"/>
        <v>625220</v>
      </c>
      <c r="D596" s="28">
        <f>C596/SUM(Data!$J$2:$J$2379)</f>
        <v>0.51272925284321091</v>
      </c>
    </row>
    <row r="597" spans="1:4" x14ac:dyDescent="0.3">
      <c r="A597" s="25">
        <v>596</v>
      </c>
      <c r="B597" s="25">
        <f>LARGE(Data!$J$2:$J$2379,A597)</f>
        <v>650</v>
      </c>
      <c r="C597" s="25">
        <f t="shared" si="9"/>
        <v>625870</v>
      </c>
      <c r="D597" s="28">
        <f>C597/SUM(Data!$J$2:$J$2379)</f>
        <v>0.51326230363229008</v>
      </c>
    </row>
    <row r="598" spans="1:4" x14ac:dyDescent="0.3">
      <c r="A598" s="25">
        <v>597</v>
      </c>
      <c r="B598" s="25">
        <f>LARGE(Data!$J$2:$J$2379,A598)</f>
        <v>650</v>
      </c>
      <c r="C598" s="25">
        <f t="shared" si="9"/>
        <v>626520</v>
      </c>
      <c r="D598" s="28">
        <f>C598/SUM(Data!$J$2:$J$2379)</f>
        <v>0.51379535442136925</v>
      </c>
    </row>
    <row r="599" spans="1:4" x14ac:dyDescent="0.3">
      <c r="A599" s="25">
        <v>598</v>
      </c>
      <c r="B599" s="25">
        <f>LARGE(Data!$J$2:$J$2379,A599)</f>
        <v>650</v>
      </c>
      <c r="C599" s="25">
        <f t="shared" si="9"/>
        <v>627170</v>
      </c>
      <c r="D599" s="28">
        <f>C599/SUM(Data!$J$2:$J$2379)</f>
        <v>0.51432840521044842</v>
      </c>
    </row>
    <row r="600" spans="1:4" x14ac:dyDescent="0.3">
      <c r="A600" s="25">
        <v>599</v>
      </c>
      <c r="B600" s="25">
        <f>LARGE(Data!$J$2:$J$2379,A600)</f>
        <v>650</v>
      </c>
      <c r="C600" s="25">
        <f t="shared" si="9"/>
        <v>627820</v>
      </c>
      <c r="D600" s="28">
        <f>C600/SUM(Data!$J$2:$J$2379)</f>
        <v>0.5148614559995276</v>
      </c>
    </row>
    <row r="601" spans="1:4" x14ac:dyDescent="0.3">
      <c r="A601" s="25">
        <v>600</v>
      </c>
      <c r="B601" s="25">
        <f>LARGE(Data!$J$2:$J$2379,A601)</f>
        <v>650</v>
      </c>
      <c r="C601" s="25">
        <f t="shared" si="9"/>
        <v>628470</v>
      </c>
      <c r="D601" s="28">
        <f>C601/SUM(Data!$J$2:$J$2379)</f>
        <v>0.51539450678860677</v>
      </c>
    </row>
    <row r="602" spans="1:4" x14ac:dyDescent="0.3">
      <c r="A602" s="25">
        <v>601</v>
      </c>
      <c r="B602" s="25">
        <f>LARGE(Data!$J$2:$J$2379,A602)</f>
        <v>650</v>
      </c>
      <c r="C602" s="25">
        <f t="shared" si="9"/>
        <v>629120</v>
      </c>
      <c r="D602" s="28">
        <f>C602/SUM(Data!$J$2:$J$2379)</f>
        <v>0.51592755757768605</v>
      </c>
    </row>
    <row r="603" spans="1:4" x14ac:dyDescent="0.3">
      <c r="A603" s="25">
        <v>602</v>
      </c>
      <c r="B603" s="25">
        <f>LARGE(Data!$J$2:$J$2379,A603)</f>
        <v>650</v>
      </c>
      <c r="C603" s="25">
        <f t="shared" si="9"/>
        <v>629770</v>
      </c>
      <c r="D603" s="28">
        <f>C603/SUM(Data!$J$2:$J$2379)</f>
        <v>0.51646060836676522</v>
      </c>
    </row>
    <row r="604" spans="1:4" x14ac:dyDescent="0.3">
      <c r="A604" s="25">
        <v>603</v>
      </c>
      <c r="B604" s="25">
        <f>LARGE(Data!$J$2:$J$2379,A604)</f>
        <v>650</v>
      </c>
      <c r="C604" s="25">
        <f t="shared" si="9"/>
        <v>630420</v>
      </c>
      <c r="D604" s="28">
        <f>C604/SUM(Data!$J$2:$J$2379)</f>
        <v>0.51699365915584439</v>
      </c>
    </row>
    <row r="605" spans="1:4" x14ac:dyDescent="0.3">
      <c r="A605" s="25">
        <v>604</v>
      </c>
      <c r="B605" s="25">
        <f>LARGE(Data!$J$2:$J$2379,A605)</f>
        <v>650</v>
      </c>
      <c r="C605" s="25">
        <f t="shared" si="9"/>
        <v>631070</v>
      </c>
      <c r="D605" s="28">
        <f>C605/SUM(Data!$J$2:$J$2379)</f>
        <v>0.51752670994492356</v>
      </c>
    </row>
    <row r="606" spans="1:4" x14ac:dyDescent="0.3">
      <c r="A606" s="25">
        <v>605</v>
      </c>
      <c r="B606" s="25">
        <f>LARGE(Data!$J$2:$J$2379,A606)</f>
        <v>650</v>
      </c>
      <c r="C606" s="25">
        <f t="shared" si="9"/>
        <v>631720</v>
      </c>
      <c r="D606" s="28">
        <f>C606/SUM(Data!$J$2:$J$2379)</f>
        <v>0.51805976073400273</v>
      </c>
    </row>
    <row r="607" spans="1:4" x14ac:dyDescent="0.3">
      <c r="A607" s="25">
        <v>606</v>
      </c>
      <c r="B607" s="25">
        <f>LARGE(Data!$J$2:$J$2379,A607)</f>
        <v>650</v>
      </c>
      <c r="C607" s="25">
        <f t="shared" si="9"/>
        <v>632370</v>
      </c>
      <c r="D607" s="28">
        <f>C607/SUM(Data!$J$2:$J$2379)</f>
        <v>0.5185928115230819</v>
      </c>
    </row>
    <row r="608" spans="1:4" x14ac:dyDescent="0.3">
      <c r="A608" s="25">
        <v>607</v>
      </c>
      <c r="B608" s="25">
        <f>LARGE(Data!$J$2:$J$2379,A608)</f>
        <v>650</v>
      </c>
      <c r="C608" s="25">
        <f t="shared" si="9"/>
        <v>633020</v>
      </c>
      <c r="D608" s="28">
        <f>C608/SUM(Data!$J$2:$J$2379)</f>
        <v>0.51912586231216107</v>
      </c>
    </row>
    <row r="609" spans="1:4" x14ac:dyDescent="0.3">
      <c r="A609" s="25">
        <v>608</v>
      </c>
      <c r="B609" s="25">
        <f>LARGE(Data!$J$2:$J$2379,A609)</f>
        <v>650</v>
      </c>
      <c r="C609" s="25">
        <f t="shared" si="9"/>
        <v>633670</v>
      </c>
      <c r="D609" s="28">
        <f>C609/SUM(Data!$J$2:$J$2379)</f>
        <v>0.51965891310124024</v>
      </c>
    </row>
    <row r="610" spans="1:4" x14ac:dyDescent="0.3">
      <c r="A610" s="25">
        <v>609</v>
      </c>
      <c r="B610" s="25">
        <f>LARGE(Data!$J$2:$J$2379,A610)</f>
        <v>650</v>
      </c>
      <c r="C610" s="25">
        <f t="shared" si="9"/>
        <v>634320</v>
      </c>
      <c r="D610" s="28">
        <f>C610/SUM(Data!$J$2:$J$2379)</f>
        <v>0.52019196389031952</v>
      </c>
    </row>
    <row r="611" spans="1:4" x14ac:dyDescent="0.3">
      <c r="A611" s="25">
        <v>610</v>
      </c>
      <c r="B611" s="25">
        <f>LARGE(Data!$J$2:$J$2379,A611)</f>
        <v>650</v>
      </c>
      <c r="C611" s="25">
        <f t="shared" si="9"/>
        <v>634970</v>
      </c>
      <c r="D611" s="28">
        <f>C611/SUM(Data!$J$2:$J$2379)</f>
        <v>0.52072501467939869</v>
      </c>
    </row>
    <row r="612" spans="1:4" x14ac:dyDescent="0.3">
      <c r="A612" s="25">
        <v>611</v>
      </c>
      <c r="B612" s="25">
        <f>LARGE(Data!$J$2:$J$2379,A612)</f>
        <v>650</v>
      </c>
      <c r="C612" s="25">
        <f t="shared" si="9"/>
        <v>635620</v>
      </c>
      <c r="D612" s="28">
        <f>C612/SUM(Data!$J$2:$J$2379)</f>
        <v>0.52125806546847786</v>
      </c>
    </row>
    <row r="613" spans="1:4" x14ac:dyDescent="0.3">
      <c r="A613" s="25">
        <v>612</v>
      </c>
      <c r="B613" s="25">
        <f>LARGE(Data!$J$2:$J$2379,A613)</f>
        <v>650</v>
      </c>
      <c r="C613" s="25">
        <f t="shared" si="9"/>
        <v>636270</v>
      </c>
      <c r="D613" s="28">
        <f>C613/SUM(Data!$J$2:$J$2379)</f>
        <v>0.52179111625755703</v>
      </c>
    </row>
    <row r="614" spans="1:4" x14ac:dyDescent="0.3">
      <c r="A614" s="25">
        <v>613</v>
      </c>
      <c r="B614" s="25">
        <f>LARGE(Data!$J$2:$J$2379,A614)</f>
        <v>650</v>
      </c>
      <c r="C614" s="25">
        <f t="shared" si="9"/>
        <v>636920</v>
      </c>
      <c r="D614" s="28">
        <f>C614/SUM(Data!$J$2:$J$2379)</f>
        <v>0.5223241670466362</v>
      </c>
    </row>
    <row r="615" spans="1:4" x14ac:dyDescent="0.3">
      <c r="A615" s="25">
        <v>614</v>
      </c>
      <c r="B615" s="25">
        <f>LARGE(Data!$J$2:$J$2379,A615)</f>
        <v>650</v>
      </c>
      <c r="C615" s="25">
        <f t="shared" si="9"/>
        <v>637570</v>
      </c>
      <c r="D615" s="28">
        <f>C615/SUM(Data!$J$2:$J$2379)</f>
        <v>0.52285721783571537</v>
      </c>
    </row>
    <row r="616" spans="1:4" x14ac:dyDescent="0.3">
      <c r="A616" s="25">
        <v>615</v>
      </c>
      <c r="B616" s="25">
        <f>LARGE(Data!$J$2:$J$2379,A616)</f>
        <v>650</v>
      </c>
      <c r="C616" s="25">
        <f t="shared" si="9"/>
        <v>638220</v>
      </c>
      <c r="D616" s="28">
        <f>C616/SUM(Data!$J$2:$J$2379)</f>
        <v>0.52339026862479454</v>
      </c>
    </row>
    <row r="617" spans="1:4" x14ac:dyDescent="0.3">
      <c r="A617" s="25">
        <v>616</v>
      </c>
      <c r="B617" s="25">
        <f>LARGE(Data!$J$2:$J$2379,A617)</f>
        <v>650</v>
      </c>
      <c r="C617" s="25">
        <f t="shared" si="9"/>
        <v>638870</v>
      </c>
      <c r="D617" s="28">
        <f>C617/SUM(Data!$J$2:$J$2379)</f>
        <v>0.52392331941387371</v>
      </c>
    </row>
    <row r="618" spans="1:4" x14ac:dyDescent="0.3">
      <c r="A618" s="25">
        <v>617</v>
      </c>
      <c r="B618" s="25">
        <f>LARGE(Data!$J$2:$J$2379,A618)</f>
        <v>650</v>
      </c>
      <c r="C618" s="25">
        <f t="shared" si="9"/>
        <v>639520</v>
      </c>
      <c r="D618" s="28">
        <f>C618/SUM(Data!$J$2:$J$2379)</f>
        <v>0.52445637020295299</v>
      </c>
    </row>
    <row r="619" spans="1:4" x14ac:dyDescent="0.3">
      <c r="A619" s="25">
        <v>618</v>
      </c>
      <c r="B619" s="25">
        <f>LARGE(Data!$J$2:$J$2379,A619)</f>
        <v>650</v>
      </c>
      <c r="C619" s="25">
        <f t="shared" si="9"/>
        <v>640170</v>
      </c>
      <c r="D619" s="28">
        <f>C619/SUM(Data!$J$2:$J$2379)</f>
        <v>0.52498942099203216</v>
      </c>
    </row>
    <row r="620" spans="1:4" x14ac:dyDescent="0.3">
      <c r="A620" s="25">
        <v>619</v>
      </c>
      <c r="B620" s="25">
        <f>LARGE(Data!$J$2:$J$2379,A620)</f>
        <v>650</v>
      </c>
      <c r="C620" s="25">
        <f t="shared" si="9"/>
        <v>640820</v>
      </c>
      <c r="D620" s="28">
        <f>C620/SUM(Data!$J$2:$J$2379)</f>
        <v>0.52552247178111133</v>
      </c>
    </row>
    <row r="621" spans="1:4" x14ac:dyDescent="0.3">
      <c r="A621" s="25">
        <v>620</v>
      </c>
      <c r="B621" s="25">
        <f>LARGE(Data!$J$2:$J$2379,A621)</f>
        <v>650</v>
      </c>
      <c r="C621" s="25">
        <f t="shared" si="9"/>
        <v>641470</v>
      </c>
      <c r="D621" s="28">
        <f>C621/SUM(Data!$J$2:$J$2379)</f>
        <v>0.5260555225701905</v>
      </c>
    </row>
    <row r="622" spans="1:4" x14ac:dyDescent="0.3">
      <c r="A622" s="25">
        <v>621</v>
      </c>
      <c r="B622" s="25">
        <f>LARGE(Data!$J$2:$J$2379,A622)</f>
        <v>650</v>
      </c>
      <c r="C622" s="25">
        <f t="shared" si="9"/>
        <v>642120</v>
      </c>
      <c r="D622" s="28">
        <f>C622/SUM(Data!$J$2:$J$2379)</f>
        <v>0.52658857335926967</v>
      </c>
    </row>
    <row r="623" spans="1:4" x14ac:dyDescent="0.3">
      <c r="A623" s="25">
        <v>622</v>
      </c>
      <c r="B623" s="25">
        <f>LARGE(Data!$J$2:$J$2379,A623)</f>
        <v>650</v>
      </c>
      <c r="C623" s="25">
        <f t="shared" si="9"/>
        <v>642770</v>
      </c>
      <c r="D623" s="28">
        <f>C623/SUM(Data!$J$2:$J$2379)</f>
        <v>0.52712162414834884</v>
      </c>
    </row>
    <row r="624" spans="1:4" x14ac:dyDescent="0.3">
      <c r="A624" s="25">
        <v>623</v>
      </c>
      <c r="B624" s="25">
        <f>LARGE(Data!$J$2:$J$2379,A624)</f>
        <v>650</v>
      </c>
      <c r="C624" s="25">
        <f t="shared" si="9"/>
        <v>643420</v>
      </c>
      <c r="D624" s="28">
        <f>C624/SUM(Data!$J$2:$J$2379)</f>
        <v>0.52765467493742801</v>
      </c>
    </row>
    <row r="625" spans="1:4" x14ac:dyDescent="0.3">
      <c r="A625" s="25">
        <v>624</v>
      </c>
      <c r="B625" s="25">
        <f>LARGE(Data!$J$2:$J$2379,A625)</f>
        <v>650</v>
      </c>
      <c r="C625" s="25">
        <f t="shared" si="9"/>
        <v>644070</v>
      </c>
      <c r="D625" s="28">
        <f>C625/SUM(Data!$J$2:$J$2379)</f>
        <v>0.52818772572650718</v>
      </c>
    </row>
    <row r="626" spans="1:4" x14ac:dyDescent="0.3">
      <c r="A626" s="25">
        <v>625</v>
      </c>
      <c r="B626" s="25">
        <f>LARGE(Data!$J$2:$J$2379,A626)</f>
        <v>650</v>
      </c>
      <c r="C626" s="25">
        <f t="shared" si="9"/>
        <v>644720</v>
      </c>
      <c r="D626" s="28">
        <f>C626/SUM(Data!$J$2:$J$2379)</f>
        <v>0.52872077651558635</v>
      </c>
    </row>
    <row r="627" spans="1:4" x14ac:dyDescent="0.3">
      <c r="A627" s="25">
        <v>626</v>
      </c>
      <c r="B627" s="25">
        <f>LARGE(Data!$J$2:$J$2379,A627)</f>
        <v>650</v>
      </c>
      <c r="C627" s="25">
        <f t="shared" si="9"/>
        <v>645370</v>
      </c>
      <c r="D627" s="28">
        <f>C627/SUM(Data!$J$2:$J$2379)</f>
        <v>0.52925382730466564</v>
      </c>
    </row>
    <row r="628" spans="1:4" x14ac:dyDescent="0.3">
      <c r="A628" s="25">
        <v>627</v>
      </c>
      <c r="B628" s="25">
        <f>LARGE(Data!$J$2:$J$2379,A628)</f>
        <v>650</v>
      </c>
      <c r="C628" s="25">
        <f t="shared" si="9"/>
        <v>646020</v>
      </c>
      <c r="D628" s="28">
        <f>C628/SUM(Data!$J$2:$J$2379)</f>
        <v>0.52978687809374481</v>
      </c>
    </row>
    <row r="629" spans="1:4" x14ac:dyDescent="0.3">
      <c r="A629" s="25">
        <v>628</v>
      </c>
      <c r="B629" s="25">
        <f>LARGE(Data!$J$2:$J$2379,A629)</f>
        <v>650</v>
      </c>
      <c r="C629" s="25">
        <f t="shared" si="9"/>
        <v>646670</v>
      </c>
      <c r="D629" s="28">
        <f>C629/SUM(Data!$J$2:$J$2379)</f>
        <v>0.53031992888282398</v>
      </c>
    </row>
    <row r="630" spans="1:4" x14ac:dyDescent="0.3">
      <c r="A630" s="25">
        <v>629</v>
      </c>
      <c r="B630" s="25">
        <f>LARGE(Data!$J$2:$J$2379,A630)</f>
        <v>650</v>
      </c>
      <c r="C630" s="25">
        <f t="shared" si="9"/>
        <v>647320</v>
      </c>
      <c r="D630" s="28">
        <f>C630/SUM(Data!$J$2:$J$2379)</f>
        <v>0.53085297967190315</v>
      </c>
    </row>
    <row r="631" spans="1:4" x14ac:dyDescent="0.3">
      <c r="A631" s="25">
        <v>630</v>
      </c>
      <c r="B631" s="25">
        <f>LARGE(Data!$J$2:$J$2379,A631)</f>
        <v>650</v>
      </c>
      <c r="C631" s="25">
        <f t="shared" si="9"/>
        <v>647970</v>
      </c>
      <c r="D631" s="28">
        <f>C631/SUM(Data!$J$2:$J$2379)</f>
        <v>0.53138603046098232</v>
      </c>
    </row>
    <row r="632" spans="1:4" x14ac:dyDescent="0.3">
      <c r="A632" s="25">
        <v>631</v>
      </c>
      <c r="B632" s="25">
        <f>LARGE(Data!$J$2:$J$2379,A632)</f>
        <v>650</v>
      </c>
      <c r="C632" s="25">
        <f t="shared" si="9"/>
        <v>648620</v>
      </c>
      <c r="D632" s="28">
        <f>C632/SUM(Data!$J$2:$J$2379)</f>
        <v>0.53191908125006149</v>
      </c>
    </row>
    <row r="633" spans="1:4" x14ac:dyDescent="0.3">
      <c r="A633" s="25">
        <v>632</v>
      </c>
      <c r="B633" s="25">
        <f>LARGE(Data!$J$2:$J$2379,A633)</f>
        <v>650</v>
      </c>
      <c r="C633" s="25">
        <f t="shared" si="9"/>
        <v>649270</v>
      </c>
      <c r="D633" s="28">
        <f>C633/SUM(Data!$J$2:$J$2379)</f>
        <v>0.53245213203914066</v>
      </c>
    </row>
    <row r="634" spans="1:4" x14ac:dyDescent="0.3">
      <c r="A634" s="25">
        <v>633</v>
      </c>
      <c r="B634" s="25">
        <f>LARGE(Data!$J$2:$J$2379,A634)</f>
        <v>650</v>
      </c>
      <c r="C634" s="25">
        <f t="shared" si="9"/>
        <v>649920</v>
      </c>
      <c r="D634" s="28">
        <f>C634/SUM(Data!$J$2:$J$2379)</f>
        <v>0.53298518282821983</v>
      </c>
    </row>
    <row r="635" spans="1:4" x14ac:dyDescent="0.3">
      <c r="A635" s="25">
        <v>634</v>
      </c>
      <c r="B635" s="25">
        <f>LARGE(Data!$J$2:$J$2379,A635)</f>
        <v>650</v>
      </c>
      <c r="C635" s="25">
        <f t="shared" si="9"/>
        <v>650570</v>
      </c>
      <c r="D635" s="28">
        <f>C635/SUM(Data!$J$2:$J$2379)</f>
        <v>0.53351823361729911</v>
      </c>
    </row>
    <row r="636" spans="1:4" x14ac:dyDescent="0.3">
      <c r="A636" s="25">
        <v>635</v>
      </c>
      <c r="B636" s="25">
        <f>LARGE(Data!$J$2:$J$2379,A636)</f>
        <v>650</v>
      </c>
      <c r="C636" s="25">
        <f t="shared" si="9"/>
        <v>651220</v>
      </c>
      <c r="D636" s="28">
        <f>C636/SUM(Data!$J$2:$J$2379)</f>
        <v>0.53405128440637828</v>
      </c>
    </row>
    <row r="637" spans="1:4" x14ac:dyDescent="0.3">
      <c r="A637" s="25">
        <v>636</v>
      </c>
      <c r="B637" s="25">
        <f>LARGE(Data!$J$2:$J$2379,A637)</f>
        <v>650</v>
      </c>
      <c r="C637" s="25">
        <f t="shared" si="9"/>
        <v>651870</v>
      </c>
      <c r="D637" s="28">
        <f>C637/SUM(Data!$J$2:$J$2379)</f>
        <v>0.53458433519545745</v>
      </c>
    </row>
    <row r="638" spans="1:4" x14ac:dyDescent="0.3">
      <c r="A638" s="25">
        <v>637</v>
      </c>
      <c r="B638" s="25">
        <f>LARGE(Data!$J$2:$J$2379,A638)</f>
        <v>650</v>
      </c>
      <c r="C638" s="25">
        <f t="shared" si="9"/>
        <v>652520</v>
      </c>
      <c r="D638" s="28">
        <f>C638/SUM(Data!$J$2:$J$2379)</f>
        <v>0.53511738598453662</v>
      </c>
    </row>
    <row r="639" spans="1:4" x14ac:dyDescent="0.3">
      <c r="A639" s="25">
        <v>638</v>
      </c>
      <c r="B639" s="25">
        <f>LARGE(Data!$J$2:$J$2379,A639)</f>
        <v>650</v>
      </c>
      <c r="C639" s="25">
        <f t="shared" si="9"/>
        <v>653170</v>
      </c>
      <c r="D639" s="28">
        <f>C639/SUM(Data!$J$2:$J$2379)</f>
        <v>0.53565043677361579</v>
      </c>
    </row>
    <row r="640" spans="1:4" x14ac:dyDescent="0.3">
      <c r="A640" s="25">
        <v>639</v>
      </c>
      <c r="B640" s="25">
        <f>LARGE(Data!$J$2:$J$2379,A640)</f>
        <v>650</v>
      </c>
      <c r="C640" s="25">
        <f t="shared" si="9"/>
        <v>653820</v>
      </c>
      <c r="D640" s="28">
        <f>C640/SUM(Data!$J$2:$J$2379)</f>
        <v>0.53618348756269496</v>
      </c>
    </row>
    <row r="641" spans="1:4" x14ac:dyDescent="0.3">
      <c r="A641" s="25">
        <v>640</v>
      </c>
      <c r="B641" s="25">
        <f>LARGE(Data!$J$2:$J$2379,A641)</f>
        <v>650</v>
      </c>
      <c r="C641" s="25">
        <f t="shared" si="9"/>
        <v>654470</v>
      </c>
      <c r="D641" s="28">
        <f>C641/SUM(Data!$J$2:$J$2379)</f>
        <v>0.53671653835177413</v>
      </c>
    </row>
    <row r="642" spans="1:4" x14ac:dyDescent="0.3">
      <c r="A642" s="25">
        <v>641</v>
      </c>
      <c r="B642" s="25">
        <f>LARGE(Data!$J$2:$J$2379,A642)</f>
        <v>650</v>
      </c>
      <c r="C642" s="25">
        <f t="shared" si="9"/>
        <v>655120</v>
      </c>
      <c r="D642" s="28">
        <f>C642/SUM(Data!$J$2:$J$2379)</f>
        <v>0.5372495891408533</v>
      </c>
    </row>
    <row r="643" spans="1:4" x14ac:dyDescent="0.3">
      <c r="A643" s="25">
        <v>642</v>
      </c>
      <c r="B643" s="25">
        <f>LARGE(Data!$J$2:$J$2379,A643)</f>
        <v>650</v>
      </c>
      <c r="C643" s="25">
        <f t="shared" ref="C643:C706" si="10">C642+B643</f>
        <v>655770</v>
      </c>
      <c r="D643" s="28">
        <f>C643/SUM(Data!$J$2:$J$2379)</f>
        <v>0.53778263992993247</v>
      </c>
    </row>
    <row r="644" spans="1:4" x14ac:dyDescent="0.3">
      <c r="A644" s="25">
        <v>643</v>
      </c>
      <c r="B644" s="25">
        <f>LARGE(Data!$J$2:$J$2379,A644)</f>
        <v>650</v>
      </c>
      <c r="C644" s="25">
        <f t="shared" si="10"/>
        <v>656420</v>
      </c>
      <c r="D644" s="28">
        <f>C644/SUM(Data!$J$2:$J$2379)</f>
        <v>0.53831569071901175</v>
      </c>
    </row>
    <row r="645" spans="1:4" x14ac:dyDescent="0.3">
      <c r="A645" s="25">
        <v>644</v>
      </c>
      <c r="B645" s="25">
        <f>LARGE(Data!$J$2:$J$2379,A645)</f>
        <v>650</v>
      </c>
      <c r="C645" s="25">
        <f t="shared" si="10"/>
        <v>657070</v>
      </c>
      <c r="D645" s="28">
        <f>C645/SUM(Data!$J$2:$J$2379)</f>
        <v>0.53884874150809092</v>
      </c>
    </row>
    <row r="646" spans="1:4" x14ac:dyDescent="0.3">
      <c r="A646" s="25">
        <v>645</v>
      </c>
      <c r="B646" s="25">
        <f>LARGE(Data!$J$2:$J$2379,A646)</f>
        <v>650</v>
      </c>
      <c r="C646" s="25">
        <f t="shared" si="10"/>
        <v>657720</v>
      </c>
      <c r="D646" s="28">
        <f>C646/SUM(Data!$J$2:$J$2379)</f>
        <v>0.53938179229717009</v>
      </c>
    </row>
    <row r="647" spans="1:4" x14ac:dyDescent="0.3">
      <c r="A647" s="25">
        <v>646</v>
      </c>
      <c r="B647" s="25">
        <f>LARGE(Data!$J$2:$J$2379,A647)</f>
        <v>650</v>
      </c>
      <c r="C647" s="25">
        <f t="shared" si="10"/>
        <v>658370</v>
      </c>
      <c r="D647" s="28">
        <f>C647/SUM(Data!$J$2:$J$2379)</f>
        <v>0.53991484308624926</v>
      </c>
    </row>
    <row r="648" spans="1:4" x14ac:dyDescent="0.3">
      <c r="A648" s="25">
        <v>647</v>
      </c>
      <c r="B648" s="25">
        <f>LARGE(Data!$J$2:$J$2379,A648)</f>
        <v>650</v>
      </c>
      <c r="C648" s="25">
        <f t="shared" si="10"/>
        <v>659020</v>
      </c>
      <c r="D648" s="28">
        <f>C648/SUM(Data!$J$2:$J$2379)</f>
        <v>0.54044789387532843</v>
      </c>
    </row>
    <row r="649" spans="1:4" x14ac:dyDescent="0.3">
      <c r="A649" s="25">
        <v>648</v>
      </c>
      <c r="B649" s="25">
        <f>LARGE(Data!$J$2:$J$2379,A649)</f>
        <v>650</v>
      </c>
      <c r="C649" s="25">
        <f t="shared" si="10"/>
        <v>659670</v>
      </c>
      <c r="D649" s="28">
        <f>C649/SUM(Data!$J$2:$J$2379)</f>
        <v>0.5409809446644076</v>
      </c>
    </row>
    <row r="650" spans="1:4" x14ac:dyDescent="0.3">
      <c r="A650" s="25">
        <v>649</v>
      </c>
      <c r="B650" s="25">
        <f>LARGE(Data!$J$2:$J$2379,A650)</f>
        <v>650</v>
      </c>
      <c r="C650" s="25">
        <f t="shared" si="10"/>
        <v>660320</v>
      </c>
      <c r="D650" s="28">
        <f>C650/SUM(Data!$J$2:$J$2379)</f>
        <v>0.54151399545348677</v>
      </c>
    </row>
    <row r="651" spans="1:4" x14ac:dyDescent="0.3">
      <c r="A651" s="25">
        <v>650</v>
      </c>
      <c r="B651" s="25">
        <f>LARGE(Data!$J$2:$J$2379,A651)</f>
        <v>650</v>
      </c>
      <c r="C651" s="25">
        <f t="shared" si="10"/>
        <v>660970</v>
      </c>
      <c r="D651" s="28">
        <f>C651/SUM(Data!$J$2:$J$2379)</f>
        <v>0.54204704624256594</v>
      </c>
    </row>
    <row r="652" spans="1:4" x14ac:dyDescent="0.3">
      <c r="A652" s="25">
        <v>651</v>
      </c>
      <c r="B652" s="25">
        <f>LARGE(Data!$J$2:$J$2379,A652)</f>
        <v>650</v>
      </c>
      <c r="C652" s="25">
        <f t="shared" si="10"/>
        <v>661620</v>
      </c>
      <c r="D652" s="28">
        <f>C652/SUM(Data!$J$2:$J$2379)</f>
        <v>0.54258009703164523</v>
      </c>
    </row>
    <row r="653" spans="1:4" x14ac:dyDescent="0.3">
      <c r="A653" s="25">
        <v>652</v>
      </c>
      <c r="B653" s="25">
        <f>LARGE(Data!$J$2:$J$2379,A653)</f>
        <v>650</v>
      </c>
      <c r="C653" s="25">
        <f t="shared" si="10"/>
        <v>662270</v>
      </c>
      <c r="D653" s="28">
        <f>C653/SUM(Data!$J$2:$J$2379)</f>
        <v>0.5431131478207244</v>
      </c>
    </row>
    <row r="654" spans="1:4" x14ac:dyDescent="0.3">
      <c r="A654" s="25">
        <v>653</v>
      </c>
      <c r="B654" s="25">
        <f>LARGE(Data!$J$2:$J$2379,A654)</f>
        <v>650</v>
      </c>
      <c r="C654" s="25">
        <f t="shared" si="10"/>
        <v>662920</v>
      </c>
      <c r="D654" s="28">
        <f>C654/SUM(Data!$J$2:$J$2379)</f>
        <v>0.54364619860980357</v>
      </c>
    </row>
    <row r="655" spans="1:4" x14ac:dyDescent="0.3">
      <c r="A655" s="25">
        <v>654</v>
      </c>
      <c r="B655" s="25">
        <f>LARGE(Data!$J$2:$J$2379,A655)</f>
        <v>650</v>
      </c>
      <c r="C655" s="25">
        <f t="shared" si="10"/>
        <v>663570</v>
      </c>
      <c r="D655" s="28">
        <f>C655/SUM(Data!$J$2:$J$2379)</f>
        <v>0.54417924939888274</v>
      </c>
    </row>
    <row r="656" spans="1:4" x14ac:dyDescent="0.3">
      <c r="A656" s="25">
        <v>655</v>
      </c>
      <c r="B656" s="25">
        <f>LARGE(Data!$J$2:$J$2379,A656)</f>
        <v>650</v>
      </c>
      <c r="C656" s="25">
        <f t="shared" si="10"/>
        <v>664220</v>
      </c>
      <c r="D656" s="28">
        <f>C656/SUM(Data!$J$2:$J$2379)</f>
        <v>0.54471230018796191</v>
      </c>
    </row>
    <row r="657" spans="1:4" x14ac:dyDescent="0.3">
      <c r="A657" s="25">
        <v>656</v>
      </c>
      <c r="B657" s="25">
        <f>LARGE(Data!$J$2:$J$2379,A657)</f>
        <v>650</v>
      </c>
      <c r="C657" s="25">
        <f t="shared" si="10"/>
        <v>664870</v>
      </c>
      <c r="D657" s="28">
        <f>C657/SUM(Data!$J$2:$J$2379)</f>
        <v>0.54524535097704108</v>
      </c>
    </row>
    <row r="658" spans="1:4" x14ac:dyDescent="0.3">
      <c r="A658" s="25">
        <v>657</v>
      </c>
      <c r="B658" s="25">
        <f>LARGE(Data!$J$2:$J$2379,A658)</f>
        <v>650</v>
      </c>
      <c r="C658" s="25">
        <f t="shared" si="10"/>
        <v>665520</v>
      </c>
      <c r="D658" s="28">
        <f>C658/SUM(Data!$J$2:$J$2379)</f>
        <v>0.54577840176612025</v>
      </c>
    </row>
    <row r="659" spans="1:4" x14ac:dyDescent="0.3">
      <c r="A659" s="25">
        <v>658</v>
      </c>
      <c r="B659" s="25">
        <f>LARGE(Data!$J$2:$J$2379,A659)</f>
        <v>650</v>
      </c>
      <c r="C659" s="25">
        <f t="shared" si="10"/>
        <v>666170</v>
      </c>
      <c r="D659" s="28">
        <f>C659/SUM(Data!$J$2:$J$2379)</f>
        <v>0.54631145255519942</v>
      </c>
    </row>
    <row r="660" spans="1:4" x14ac:dyDescent="0.3">
      <c r="A660" s="25">
        <v>659</v>
      </c>
      <c r="B660" s="25">
        <f>LARGE(Data!$J$2:$J$2379,A660)</f>
        <v>650</v>
      </c>
      <c r="C660" s="25">
        <f t="shared" si="10"/>
        <v>666820</v>
      </c>
      <c r="D660" s="28">
        <f>C660/SUM(Data!$J$2:$J$2379)</f>
        <v>0.54684450334427859</v>
      </c>
    </row>
    <row r="661" spans="1:4" x14ac:dyDescent="0.3">
      <c r="A661" s="25">
        <v>660</v>
      </c>
      <c r="B661" s="25">
        <f>LARGE(Data!$J$2:$J$2379,A661)</f>
        <v>650</v>
      </c>
      <c r="C661" s="25">
        <f t="shared" si="10"/>
        <v>667470</v>
      </c>
      <c r="D661" s="28">
        <f>C661/SUM(Data!$J$2:$J$2379)</f>
        <v>0.54737755413335787</v>
      </c>
    </row>
    <row r="662" spans="1:4" x14ac:dyDescent="0.3">
      <c r="A662" s="25">
        <v>661</v>
      </c>
      <c r="B662" s="25">
        <f>LARGE(Data!$J$2:$J$2379,A662)</f>
        <v>650</v>
      </c>
      <c r="C662" s="25">
        <f t="shared" si="10"/>
        <v>668120</v>
      </c>
      <c r="D662" s="28">
        <f>C662/SUM(Data!$J$2:$J$2379)</f>
        <v>0.54791060492243704</v>
      </c>
    </row>
    <row r="663" spans="1:4" x14ac:dyDescent="0.3">
      <c r="A663" s="25">
        <v>662</v>
      </c>
      <c r="B663" s="25">
        <f>LARGE(Data!$J$2:$J$2379,A663)</f>
        <v>650</v>
      </c>
      <c r="C663" s="25">
        <f t="shared" si="10"/>
        <v>668770</v>
      </c>
      <c r="D663" s="28">
        <f>C663/SUM(Data!$J$2:$J$2379)</f>
        <v>0.54844365571151621</v>
      </c>
    </row>
    <row r="664" spans="1:4" x14ac:dyDescent="0.3">
      <c r="A664" s="25">
        <v>663</v>
      </c>
      <c r="B664" s="25">
        <f>LARGE(Data!$J$2:$J$2379,A664)</f>
        <v>650</v>
      </c>
      <c r="C664" s="25">
        <f t="shared" si="10"/>
        <v>669420</v>
      </c>
      <c r="D664" s="28">
        <f>C664/SUM(Data!$J$2:$J$2379)</f>
        <v>0.54897670650059538</v>
      </c>
    </row>
    <row r="665" spans="1:4" x14ac:dyDescent="0.3">
      <c r="A665" s="25">
        <v>664</v>
      </c>
      <c r="B665" s="25">
        <f>LARGE(Data!$J$2:$J$2379,A665)</f>
        <v>650</v>
      </c>
      <c r="C665" s="25">
        <f t="shared" si="10"/>
        <v>670070</v>
      </c>
      <c r="D665" s="28">
        <f>C665/SUM(Data!$J$2:$J$2379)</f>
        <v>0.54950975728967455</v>
      </c>
    </row>
    <row r="666" spans="1:4" x14ac:dyDescent="0.3">
      <c r="A666" s="25">
        <v>665</v>
      </c>
      <c r="B666" s="25">
        <f>LARGE(Data!$J$2:$J$2379,A666)</f>
        <v>650</v>
      </c>
      <c r="C666" s="25">
        <f t="shared" si="10"/>
        <v>670720</v>
      </c>
      <c r="D666" s="28">
        <f>C666/SUM(Data!$J$2:$J$2379)</f>
        <v>0.55004280807875372</v>
      </c>
    </row>
    <row r="667" spans="1:4" x14ac:dyDescent="0.3">
      <c r="A667" s="25">
        <v>666</v>
      </c>
      <c r="B667" s="25">
        <f>LARGE(Data!$J$2:$J$2379,A667)</f>
        <v>650</v>
      </c>
      <c r="C667" s="25">
        <f t="shared" si="10"/>
        <v>671370</v>
      </c>
      <c r="D667" s="28">
        <f>C667/SUM(Data!$J$2:$J$2379)</f>
        <v>0.55057585886783289</v>
      </c>
    </row>
    <row r="668" spans="1:4" x14ac:dyDescent="0.3">
      <c r="A668" s="25">
        <v>667</v>
      </c>
      <c r="B668" s="25">
        <f>LARGE(Data!$J$2:$J$2379,A668)</f>
        <v>650</v>
      </c>
      <c r="C668" s="25">
        <f t="shared" si="10"/>
        <v>672020</v>
      </c>
      <c r="D668" s="28">
        <f>C668/SUM(Data!$J$2:$J$2379)</f>
        <v>0.55110890965691206</v>
      </c>
    </row>
    <row r="669" spans="1:4" x14ac:dyDescent="0.3">
      <c r="A669" s="25">
        <v>668</v>
      </c>
      <c r="B669" s="25">
        <f>LARGE(Data!$J$2:$J$2379,A669)</f>
        <v>650</v>
      </c>
      <c r="C669" s="25">
        <f t="shared" si="10"/>
        <v>672670</v>
      </c>
      <c r="D669" s="28">
        <f>C669/SUM(Data!$J$2:$J$2379)</f>
        <v>0.55164196044599134</v>
      </c>
    </row>
    <row r="670" spans="1:4" x14ac:dyDescent="0.3">
      <c r="A670" s="25">
        <v>669</v>
      </c>
      <c r="B670" s="25">
        <f>LARGE(Data!$J$2:$J$2379,A670)</f>
        <v>650</v>
      </c>
      <c r="C670" s="25">
        <f t="shared" si="10"/>
        <v>673320</v>
      </c>
      <c r="D670" s="28">
        <f>C670/SUM(Data!$J$2:$J$2379)</f>
        <v>0.55217501123507051</v>
      </c>
    </row>
    <row r="671" spans="1:4" x14ac:dyDescent="0.3">
      <c r="A671" s="25">
        <v>670</v>
      </c>
      <c r="B671" s="25">
        <f>LARGE(Data!$J$2:$J$2379,A671)</f>
        <v>650</v>
      </c>
      <c r="C671" s="25">
        <f t="shared" si="10"/>
        <v>673970</v>
      </c>
      <c r="D671" s="28">
        <f>C671/SUM(Data!$J$2:$J$2379)</f>
        <v>0.55270806202414968</v>
      </c>
    </row>
    <row r="672" spans="1:4" x14ac:dyDescent="0.3">
      <c r="A672" s="25">
        <v>671</v>
      </c>
      <c r="B672" s="25">
        <f>LARGE(Data!$J$2:$J$2379,A672)</f>
        <v>650</v>
      </c>
      <c r="C672" s="25">
        <f t="shared" si="10"/>
        <v>674620</v>
      </c>
      <c r="D672" s="28">
        <f>C672/SUM(Data!$J$2:$J$2379)</f>
        <v>0.55324111281322885</v>
      </c>
    </row>
    <row r="673" spans="1:4" x14ac:dyDescent="0.3">
      <c r="A673" s="25">
        <v>672</v>
      </c>
      <c r="B673" s="25">
        <f>LARGE(Data!$J$2:$J$2379,A673)</f>
        <v>650</v>
      </c>
      <c r="C673" s="25">
        <f t="shared" si="10"/>
        <v>675270</v>
      </c>
      <c r="D673" s="28">
        <f>C673/SUM(Data!$J$2:$J$2379)</f>
        <v>0.55377416360230802</v>
      </c>
    </row>
    <row r="674" spans="1:4" x14ac:dyDescent="0.3">
      <c r="A674" s="25">
        <v>673</v>
      </c>
      <c r="B674" s="25">
        <f>LARGE(Data!$J$2:$J$2379,A674)</f>
        <v>650</v>
      </c>
      <c r="C674" s="25">
        <f t="shared" si="10"/>
        <v>675920</v>
      </c>
      <c r="D674" s="28">
        <f>C674/SUM(Data!$J$2:$J$2379)</f>
        <v>0.55430721439138719</v>
      </c>
    </row>
    <row r="675" spans="1:4" x14ac:dyDescent="0.3">
      <c r="A675" s="25">
        <v>674</v>
      </c>
      <c r="B675" s="25">
        <f>LARGE(Data!$J$2:$J$2379,A675)</f>
        <v>650</v>
      </c>
      <c r="C675" s="25">
        <f t="shared" si="10"/>
        <v>676570</v>
      </c>
      <c r="D675" s="28">
        <f>C675/SUM(Data!$J$2:$J$2379)</f>
        <v>0.55484026518046636</v>
      </c>
    </row>
    <row r="676" spans="1:4" x14ac:dyDescent="0.3">
      <c r="A676" s="25">
        <v>675</v>
      </c>
      <c r="B676" s="25">
        <f>LARGE(Data!$J$2:$J$2379,A676)</f>
        <v>650</v>
      </c>
      <c r="C676" s="25">
        <f t="shared" si="10"/>
        <v>677220</v>
      </c>
      <c r="D676" s="28">
        <f>C676/SUM(Data!$J$2:$J$2379)</f>
        <v>0.55537331596954553</v>
      </c>
    </row>
    <row r="677" spans="1:4" x14ac:dyDescent="0.3">
      <c r="A677" s="25">
        <v>676</v>
      </c>
      <c r="B677" s="25">
        <f>LARGE(Data!$J$2:$J$2379,A677)</f>
        <v>650</v>
      </c>
      <c r="C677" s="25">
        <f t="shared" si="10"/>
        <v>677870</v>
      </c>
      <c r="D677" s="28">
        <f>C677/SUM(Data!$J$2:$J$2379)</f>
        <v>0.55590636675862481</v>
      </c>
    </row>
    <row r="678" spans="1:4" x14ac:dyDescent="0.3">
      <c r="A678" s="25">
        <v>677</v>
      </c>
      <c r="B678" s="25">
        <f>LARGE(Data!$J$2:$J$2379,A678)</f>
        <v>650</v>
      </c>
      <c r="C678" s="25">
        <f t="shared" si="10"/>
        <v>678520</v>
      </c>
      <c r="D678" s="28">
        <f>C678/SUM(Data!$J$2:$J$2379)</f>
        <v>0.55643941754770399</v>
      </c>
    </row>
    <row r="679" spans="1:4" x14ac:dyDescent="0.3">
      <c r="A679" s="25">
        <v>678</v>
      </c>
      <c r="B679" s="25">
        <f>LARGE(Data!$J$2:$J$2379,A679)</f>
        <v>650</v>
      </c>
      <c r="C679" s="25">
        <f t="shared" si="10"/>
        <v>679170</v>
      </c>
      <c r="D679" s="28">
        <f>C679/SUM(Data!$J$2:$J$2379)</f>
        <v>0.55697246833678316</v>
      </c>
    </row>
    <row r="680" spans="1:4" x14ac:dyDescent="0.3">
      <c r="A680" s="25">
        <v>679</v>
      </c>
      <c r="B680" s="25">
        <f>LARGE(Data!$J$2:$J$2379,A680)</f>
        <v>650</v>
      </c>
      <c r="C680" s="25">
        <f t="shared" si="10"/>
        <v>679820</v>
      </c>
      <c r="D680" s="28">
        <f>C680/SUM(Data!$J$2:$J$2379)</f>
        <v>0.55750551912586233</v>
      </c>
    </row>
    <row r="681" spans="1:4" x14ac:dyDescent="0.3">
      <c r="A681" s="25">
        <v>680</v>
      </c>
      <c r="B681" s="25">
        <f>LARGE(Data!$J$2:$J$2379,A681)</f>
        <v>650</v>
      </c>
      <c r="C681" s="25">
        <f t="shared" si="10"/>
        <v>680470</v>
      </c>
      <c r="D681" s="28">
        <f>C681/SUM(Data!$J$2:$J$2379)</f>
        <v>0.5580385699149415</v>
      </c>
    </row>
    <row r="682" spans="1:4" x14ac:dyDescent="0.3">
      <c r="A682" s="25">
        <v>681</v>
      </c>
      <c r="B682" s="25">
        <f>LARGE(Data!$J$2:$J$2379,A682)</f>
        <v>650</v>
      </c>
      <c r="C682" s="25">
        <f t="shared" si="10"/>
        <v>681120</v>
      </c>
      <c r="D682" s="28">
        <f>C682/SUM(Data!$J$2:$J$2379)</f>
        <v>0.55857162070402067</v>
      </c>
    </row>
    <row r="683" spans="1:4" x14ac:dyDescent="0.3">
      <c r="A683" s="25">
        <v>682</v>
      </c>
      <c r="B683" s="25">
        <f>LARGE(Data!$J$2:$J$2379,A683)</f>
        <v>650</v>
      </c>
      <c r="C683" s="25">
        <f t="shared" si="10"/>
        <v>681770</v>
      </c>
      <c r="D683" s="28">
        <f>C683/SUM(Data!$J$2:$J$2379)</f>
        <v>0.55910467149309984</v>
      </c>
    </row>
    <row r="684" spans="1:4" x14ac:dyDescent="0.3">
      <c r="A684" s="25">
        <v>683</v>
      </c>
      <c r="B684" s="25">
        <f>LARGE(Data!$J$2:$J$2379,A684)</f>
        <v>650</v>
      </c>
      <c r="C684" s="25">
        <f t="shared" si="10"/>
        <v>682420</v>
      </c>
      <c r="D684" s="28">
        <f>C684/SUM(Data!$J$2:$J$2379)</f>
        <v>0.55963772228217901</v>
      </c>
    </row>
    <row r="685" spans="1:4" x14ac:dyDescent="0.3">
      <c r="A685" s="25">
        <v>684</v>
      </c>
      <c r="B685" s="25">
        <f>LARGE(Data!$J$2:$J$2379,A685)</f>
        <v>650</v>
      </c>
      <c r="C685" s="25">
        <f t="shared" si="10"/>
        <v>683070</v>
      </c>
      <c r="D685" s="28">
        <f>C685/SUM(Data!$J$2:$J$2379)</f>
        <v>0.56017077307125818</v>
      </c>
    </row>
    <row r="686" spans="1:4" x14ac:dyDescent="0.3">
      <c r="A686" s="25">
        <v>685</v>
      </c>
      <c r="B686" s="25">
        <f>LARGE(Data!$J$2:$J$2379,A686)</f>
        <v>650</v>
      </c>
      <c r="C686" s="25">
        <f t="shared" si="10"/>
        <v>683720</v>
      </c>
      <c r="D686" s="28">
        <f>C686/SUM(Data!$J$2:$J$2379)</f>
        <v>0.56070382386033746</v>
      </c>
    </row>
    <row r="687" spans="1:4" x14ac:dyDescent="0.3">
      <c r="A687" s="25">
        <v>686</v>
      </c>
      <c r="B687" s="25">
        <f>LARGE(Data!$J$2:$J$2379,A687)</f>
        <v>650</v>
      </c>
      <c r="C687" s="25">
        <f t="shared" si="10"/>
        <v>684370</v>
      </c>
      <c r="D687" s="28">
        <f>C687/SUM(Data!$J$2:$J$2379)</f>
        <v>0.56123687464941663</v>
      </c>
    </row>
    <row r="688" spans="1:4" x14ac:dyDescent="0.3">
      <c r="A688" s="25">
        <v>687</v>
      </c>
      <c r="B688" s="25">
        <f>LARGE(Data!$J$2:$J$2379,A688)</f>
        <v>650</v>
      </c>
      <c r="C688" s="25">
        <f t="shared" si="10"/>
        <v>685020</v>
      </c>
      <c r="D688" s="28">
        <f>C688/SUM(Data!$J$2:$J$2379)</f>
        <v>0.5617699254384958</v>
      </c>
    </row>
    <row r="689" spans="1:4" x14ac:dyDescent="0.3">
      <c r="A689" s="25">
        <v>688</v>
      </c>
      <c r="B689" s="25">
        <f>LARGE(Data!$J$2:$J$2379,A689)</f>
        <v>650</v>
      </c>
      <c r="C689" s="25">
        <f t="shared" si="10"/>
        <v>685670</v>
      </c>
      <c r="D689" s="28">
        <f>C689/SUM(Data!$J$2:$J$2379)</f>
        <v>0.56230297622757497</v>
      </c>
    </row>
    <row r="690" spans="1:4" x14ac:dyDescent="0.3">
      <c r="A690" s="25">
        <v>689</v>
      </c>
      <c r="B690" s="25">
        <f>LARGE(Data!$J$2:$J$2379,A690)</f>
        <v>650</v>
      </c>
      <c r="C690" s="25">
        <f t="shared" si="10"/>
        <v>686320</v>
      </c>
      <c r="D690" s="28">
        <f>C690/SUM(Data!$J$2:$J$2379)</f>
        <v>0.56283602701665414</v>
      </c>
    </row>
    <row r="691" spans="1:4" x14ac:dyDescent="0.3">
      <c r="A691" s="25">
        <v>690</v>
      </c>
      <c r="B691" s="25">
        <f>LARGE(Data!$J$2:$J$2379,A691)</f>
        <v>650</v>
      </c>
      <c r="C691" s="25">
        <f t="shared" si="10"/>
        <v>686970</v>
      </c>
      <c r="D691" s="28">
        <f>C691/SUM(Data!$J$2:$J$2379)</f>
        <v>0.56336907780573331</v>
      </c>
    </row>
    <row r="692" spans="1:4" x14ac:dyDescent="0.3">
      <c r="A692" s="25">
        <v>691</v>
      </c>
      <c r="B692" s="25">
        <f>LARGE(Data!$J$2:$J$2379,A692)</f>
        <v>650</v>
      </c>
      <c r="C692" s="25">
        <f t="shared" si="10"/>
        <v>687620</v>
      </c>
      <c r="D692" s="28">
        <f>C692/SUM(Data!$J$2:$J$2379)</f>
        <v>0.56390212859481248</v>
      </c>
    </row>
    <row r="693" spans="1:4" x14ac:dyDescent="0.3">
      <c r="A693" s="25">
        <v>692</v>
      </c>
      <c r="B693" s="25">
        <f>LARGE(Data!$J$2:$J$2379,A693)</f>
        <v>630</v>
      </c>
      <c r="C693" s="25">
        <f t="shared" si="10"/>
        <v>688250</v>
      </c>
      <c r="D693" s="28">
        <f>C693/SUM(Data!$J$2:$J$2379)</f>
        <v>0.5644187778211508</v>
      </c>
    </row>
    <row r="694" spans="1:4" x14ac:dyDescent="0.3">
      <c r="A694" s="25">
        <v>693</v>
      </c>
      <c r="B694" s="25">
        <f>LARGE(Data!$J$2:$J$2379,A694)</f>
        <v>630</v>
      </c>
      <c r="C694" s="25">
        <f t="shared" si="10"/>
        <v>688880</v>
      </c>
      <c r="D694" s="28">
        <f>C694/SUM(Data!$J$2:$J$2379)</f>
        <v>0.56493542704748911</v>
      </c>
    </row>
    <row r="695" spans="1:4" x14ac:dyDescent="0.3">
      <c r="A695" s="25">
        <v>694</v>
      </c>
      <c r="B695" s="25">
        <f>LARGE(Data!$J$2:$J$2379,A695)</f>
        <v>630</v>
      </c>
      <c r="C695" s="25">
        <f t="shared" si="10"/>
        <v>689510</v>
      </c>
      <c r="D695" s="28">
        <f>C695/SUM(Data!$J$2:$J$2379)</f>
        <v>0.56545207627382732</v>
      </c>
    </row>
    <row r="696" spans="1:4" x14ac:dyDescent="0.3">
      <c r="A696" s="25">
        <v>695</v>
      </c>
      <c r="B696" s="25">
        <f>LARGE(Data!$J$2:$J$2379,A696)</f>
        <v>630</v>
      </c>
      <c r="C696" s="25">
        <f t="shared" si="10"/>
        <v>690140</v>
      </c>
      <c r="D696" s="28">
        <f>C696/SUM(Data!$J$2:$J$2379)</f>
        <v>0.56596872550016564</v>
      </c>
    </row>
    <row r="697" spans="1:4" x14ac:dyDescent="0.3">
      <c r="A697" s="25">
        <v>696</v>
      </c>
      <c r="B697" s="25">
        <f>LARGE(Data!$J$2:$J$2379,A697)</f>
        <v>630</v>
      </c>
      <c r="C697" s="25">
        <f t="shared" si="10"/>
        <v>690770</v>
      </c>
      <c r="D697" s="28">
        <f>C697/SUM(Data!$J$2:$J$2379)</f>
        <v>0.56648537472650395</v>
      </c>
    </row>
    <row r="698" spans="1:4" x14ac:dyDescent="0.3">
      <c r="A698" s="25">
        <v>697</v>
      </c>
      <c r="B698" s="25">
        <f>LARGE(Data!$J$2:$J$2379,A698)</f>
        <v>600</v>
      </c>
      <c r="C698" s="25">
        <f t="shared" si="10"/>
        <v>691370</v>
      </c>
      <c r="D698" s="28">
        <f>C698/SUM(Data!$J$2:$J$2379)</f>
        <v>0.56697742160873088</v>
      </c>
    </row>
    <row r="699" spans="1:4" x14ac:dyDescent="0.3">
      <c r="A699" s="25">
        <v>698</v>
      </c>
      <c r="B699" s="25">
        <f>LARGE(Data!$J$2:$J$2379,A699)</f>
        <v>600</v>
      </c>
      <c r="C699" s="25">
        <f t="shared" si="10"/>
        <v>691970</v>
      </c>
      <c r="D699" s="28">
        <f>C699/SUM(Data!$J$2:$J$2379)</f>
        <v>0.56746946849095781</v>
      </c>
    </row>
    <row r="700" spans="1:4" x14ac:dyDescent="0.3">
      <c r="A700" s="25">
        <v>699</v>
      </c>
      <c r="B700" s="25">
        <f>LARGE(Data!$J$2:$J$2379,A700)</f>
        <v>600</v>
      </c>
      <c r="C700" s="25">
        <f t="shared" si="10"/>
        <v>692570</v>
      </c>
      <c r="D700" s="28">
        <f>C700/SUM(Data!$J$2:$J$2379)</f>
        <v>0.56796151537318473</v>
      </c>
    </row>
    <row r="701" spans="1:4" x14ac:dyDescent="0.3">
      <c r="A701" s="25">
        <v>700</v>
      </c>
      <c r="B701" s="25">
        <f>LARGE(Data!$J$2:$J$2379,A701)</f>
        <v>600</v>
      </c>
      <c r="C701" s="25">
        <f t="shared" si="10"/>
        <v>693170</v>
      </c>
      <c r="D701" s="28">
        <f>C701/SUM(Data!$J$2:$J$2379)</f>
        <v>0.56845356225541166</v>
      </c>
    </row>
    <row r="702" spans="1:4" x14ac:dyDescent="0.3">
      <c r="A702" s="25">
        <v>701</v>
      </c>
      <c r="B702" s="25">
        <f>LARGE(Data!$J$2:$J$2379,A702)</f>
        <v>600</v>
      </c>
      <c r="C702" s="25">
        <f t="shared" si="10"/>
        <v>693770</v>
      </c>
      <c r="D702" s="28">
        <f>C702/SUM(Data!$J$2:$J$2379)</f>
        <v>0.56894560913763859</v>
      </c>
    </row>
    <row r="703" spans="1:4" x14ac:dyDescent="0.3">
      <c r="A703" s="25">
        <v>702</v>
      </c>
      <c r="B703" s="25">
        <f>LARGE(Data!$J$2:$J$2379,A703)</f>
        <v>600</v>
      </c>
      <c r="C703" s="25">
        <f t="shared" si="10"/>
        <v>694370</v>
      </c>
      <c r="D703" s="28">
        <f>C703/SUM(Data!$J$2:$J$2379)</f>
        <v>0.56943765601986562</v>
      </c>
    </row>
    <row r="704" spans="1:4" x14ac:dyDescent="0.3">
      <c r="A704" s="25">
        <v>703</v>
      </c>
      <c r="B704" s="25">
        <f>LARGE(Data!$J$2:$J$2379,A704)</f>
        <v>600</v>
      </c>
      <c r="C704" s="25">
        <f t="shared" si="10"/>
        <v>694970</v>
      </c>
      <c r="D704" s="28">
        <f>C704/SUM(Data!$J$2:$J$2379)</f>
        <v>0.56992970290209255</v>
      </c>
    </row>
    <row r="705" spans="1:4" x14ac:dyDescent="0.3">
      <c r="A705" s="25">
        <v>704</v>
      </c>
      <c r="B705" s="25">
        <f>LARGE(Data!$J$2:$J$2379,A705)</f>
        <v>600</v>
      </c>
      <c r="C705" s="25">
        <f t="shared" si="10"/>
        <v>695570</v>
      </c>
      <c r="D705" s="28">
        <f>C705/SUM(Data!$J$2:$J$2379)</f>
        <v>0.57042174978431948</v>
      </c>
    </row>
    <row r="706" spans="1:4" x14ac:dyDescent="0.3">
      <c r="A706" s="25">
        <v>705</v>
      </c>
      <c r="B706" s="25">
        <f>LARGE(Data!$J$2:$J$2379,A706)</f>
        <v>600</v>
      </c>
      <c r="C706" s="25">
        <f t="shared" si="10"/>
        <v>696170</v>
      </c>
      <c r="D706" s="28">
        <f>C706/SUM(Data!$J$2:$J$2379)</f>
        <v>0.5709137966665464</v>
      </c>
    </row>
    <row r="707" spans="1:4" x14ac:dyDescent="0.3">
      <c r="A707" s="25">
        <v>706</v>
      </c>
      <c r="B707" s="25">
        <f>LARGE(Data!$J$2:$J$2379,A707)</f>
        <v>600</v>
      </c>
      <c r="C707" s="25">
        <f t="shared" ref="C707:C770" si="11">C706+B707</f>
        <v>696770</v>
      </c>
      <c r="D707" s="28">
        <f>C707/SUM(Data!$J$2:$J$2379)</f>
        <v>0.57140584354877333</v>
      </c>
    </row>
    <row r="708" spans="1:4" x14ac:dyDescent="0.3">
      <c r="A708" s="25">
        <v>707</v>
      </c>
      <c r="B708" s="25">
        <f>LARGE(Data!$J$2:$J$2379,A708)</f>
        <v>600</v>
      </c>
      <c r="C708" s="25">
        <f t="shared" si="11"/>
        <v>697370</v>
      </c>
      <c r="D708" s="28">
        <f>C708/SUM(Data!$J$2:$J$2379)</f>
        <v>0.57189789043100026</v>
      </c>
    </row>
    <row r="709" spans="1:4" x14ac:dyDescent="0.3">
      <c r="A709" s="25">
        <v>708</v>
      </c>
      <c r="B709" s="25">
        <f>LARGE(Data!$J$2:$J$2379,A709)</f>
        <v>600</v>
      </c>
      <c r="C709" s="25">
        <f t="shared" si="11"/>
        <v>697970</v>
      </c>
      <c r="D709" s="28">
        <f>C709/SUM(Data!$J$2:$J$2379)</f>
        <v>0.57238993731322718</v>
      </c>
    </row>
    <row r="710" spans="1:4" x14ac:dyDescent="0.3">
      <c r="A710" s="25">
        <v>709</v>
      </c>
      <c r="B710" s="25">
        <f>LARGE(Data!$J$2:$J$2379,A710)</f>
        <v>600</v>
      </c>
      <c r="C710" s="25">
        <f t="shared" si="11"/>
        <v>698570</v>
      </c>
      <c r="D710" s="28">
        <f>C710/SUM(Data!$J$2:$J$2379)</f>
        <v>0.57288198419545411</v>
      </c>
    </row>
    <row r="711" spans="1:4" x14ac:dyDescent="0.3">
      <c r="A711" s="25">
        <v>710</v>
      </c>
      <c r="B711" s="25">
        <f>LARGE(Data!$J$2:$J$2379,A711)</f>
        <v>600</v>
      </c>
      <c r="C711" s="25">
        <f t="shared" si="11"/>
        <v>699170</v>
      </c>
      <c r="D711" s="28">
        <f>C711/SUM(Data!$J$2:$J$2379)</f>
        <v>0.57337403107768103</v>
      </c>
    </row>
    <row r="712" spans="1:4" x14ac:dyDescent="0.3">
      <c r="A712" s="25">
        <v>711</v>
      </c>
      <c r="B712" s="25">
        <f>LARGE(Data!$J$2:$J$2379,A712)</f>
        <v>600</v>
      </c>
      <c r="C712" s="25">
        <f t="shared" si="11"/>
        <v>699770</v>
      </c>
      <c r="D712" s="28">
        <f>C712/SUM(Data!$J$2:$J$2379)</f>
        <v>0.57386607795990807</v>
      </c>
    </row>
    <row r="713" spans="1:4" x14ac:dyDescent="0.3">
      <c r="A713" s="25">
        <v>712</v>
      </c>
      <c r="B713" s="25">
        <f>LARGE(Data!$J$2:$J$2379,A713)</f>
        <v>600</v>
      </c>
      <c r="C713" s="25">
        <f t="shared" si="11"/>
        <v>700370</v>
      </c>
      <c r="D713" s="28">
        <f>C713/SUM(Data!$J$2:$J$2379)</f>
        <v>0.574358124842135</v>
      </c>
    </row>
    <row r="714" spans="1:4" x14ac:dyDescent="0.3">
      <c r="A714" s="25">
        <v>713</v>
      </c>
      <c r="B714" s="25">
        <f>LARGE(Data!$J$2:$J$2379,A714)</f>
        <v>600</v>
      </c>
      <c r="C714" s="25">
        <f t="shared" si="11"/>
        <v>700970</v>
      </c>
      <c r="D714" s="28">
        <f>C714/SUM(Data!$J$2:$J$2379)</f>
        <v>0.57485017172436192</v>
      </c>
    </row>
    <row r="715" spans="1:4" x14ac:dyDescent="0.3">
      <c r="A715" s="25">
        <v>714</v>
      </c>
      <c r="B715" s="25">
        <f>LARGE(Data!$J$2:$J$2379,A715)</f>
        <v>600</v>
      </c>
      <c r="C715" s="25">
        <f t="shared" si="11"/>
        <v>701570</v>
      </c>
      <c r="D715" s="28">
        <f>C715/SUM(Data!$J$2:$J$2379)</f>
        <v>0.57534221860658885</v>
      </c>
    </row>
    <row r="716" spans="1:4" x14ac:dyDescent="0.3">
      <c r="A716" s="25">
        <v>715</v>
      </c>
      <c r="B716" s="25">
        <f>LARGE(Data!$J$2:$J$2379,A716)</f>
        <v>600</v>
      </c>
      <c r="C716" s="25">
        <f t="shared" si="11"/>
        <v>702170</v>
      </c>
      <c r="D716" s="28">
        <f>C716/SUM(Data!$J$2:$J$2379)</f>
        <v>0.57583426548881578</v>
      </c>
    </row>
    <row r="717" spans="1:4" x14ac:dyDescent="0.3">
      <c r="A717" s="25">
        <v>716</v>
      </c>
      <c r="B717" s="25">
        <f>LARGE(Data!$J$2:$J$2379,A717)</f>
        <v>600</v>
      </c>
      <c r="C717" s="25">
        <f t="shared" si="11"/>
        <v>702770</v>
      </c>
      <c r="D717" s="28">
        <f>C717/SUM(Data!$J$2:$J$2379)</f>
        <v>0.5763263123710427</v>
      </c>
    </row>
    <row r="718" spans="1:4" x14ac:dyDescent="0.3">
      <c r="A718" s="25">
        <v>717</v>
      </c>
      <c r="B718" s="25">
        <f>LARGE(Data!$J$2:$J$2379,A718)</f>
        <v>600</v>
      </c>
      <c r="C718" s="25">
        <f t="shared" si="11"/>
        <v>703370</v>
      </c>
      <c r="D718" s="28">
        <f>C718/SUM(Data!$J$2:$J$2379)</f>
        <v>0.57681835925326963</v>
      </c>
    </row>
    <row r="719" spans="1:4" x14ac:dyDescent="0.3">
      <c r="A719" s="25">
        <v>718</v>
      </c>
      <c r="B719" s="25">
        <f>LARGE(Data!$J$2:$J$2379,A719)</f>
        <v>600</v>
      </c>
      <c r="C719" s="25">
        <f t="shared" si="11"/>
        <v>703970</v>
      </c>
      <c r="D719" s="28">
        <f>C719/SUM(Data!$J$2:$J$2379)</f>
        <v>0.57731040613549656</v>
      </c>
    </row>
    <row r="720" spans="1:4" x14ac:dyDescent="0.3">
      <c r="A720" s="25">
        <v>719</v>
      </c>
      <c r="B720" s="25">
        <f>LARGE(Data!$J$2:$J$2379,A720)</f>
        <v>600</v>
      </c>
      <c r="C720" s="25">
        <f t="shared" si="11"/>
        <v>704570</v>
      </c>
      <c r="D720" s="28">
        <f>C720/SUM(Data!$J$2:$J$2379)</f>
        <v>0.57780245301772348</v>
      </c>
    </row>
    <row r="721" spans="1:4" x14ac:dyDescent="0.3">
      <c r="A721" s="25">
        <v>720</v>
      </c>
      <c r="B721" s="25">
        <f>LARGE(Data!$J$2:$J$2379,A721)</f>
        <v>600</v>
      </c>
      <c r="C721" s="25">
        <f t="shared" si="11"/>
        <v>705170</v>
      </c>
      <c r="D721" s="28">
        <f>C721/SUM(Data!$J$2:$J$2379)</f>
        <v>0.57829449989995052</v>
      </c>
    </row>
    <row r="722" spans="1:4" x14ac:dyDescent="0.3">
      <c r="A722" s="25">
        <v>721</v>
      </c>
      <c r="B722" s="25">
        <f>LARGE(Data!$J$2:$J$2379,A722)</f>
        <v>600</v>
      </c>
      <c r="C722" s="25">
        <f t="shared" si="11"/>
        <v>705770</v>
      </c>
      <c r="D722" s="28">
        <f>C722/SUM(Data!$J$2:$J$2379)</f>
        <v>0.57878654678217745</v>
      </c>
    </row>
    <row r="723" spans="1:4" x14ac:dyDescent="0.3">
      <c r="A723" s="25">
        <v>722</v>
      </c>
      <c r="B723" s="25">
        <f>LARGE(Data!$J$2:$J$2379,A723)</f>
        <v>600</v>
      </c>
      <c r="C723" s="25">
        <f t="shared" si="11"/>
        <v>706370</v>
      </c>
      <c r="D723" s="28">
        <f>C723/SUM(Data!$J$2:$J$2379)</f>
        <v>0.57927859366440437</v>
      </c>
    </row>
    <row r="724" spans="1:4" x14ac:dyDescent="0.3">
      <c r="A724" s="25">
        <v>723</v>
      </c>
      <c r="B724" s="25">
        <f>LARGE(Data!$J$2:$J$2379,A724)</f>
        <v>600</v>
      </c>
      <c r="C724" s="25">
        <f t="shared" si="11"/>
        <v>706970</v>
      </c>
      <c r="D724" s="28">
        <f>C724/SUM(Data!$J$2:$J$2379)</f>
        <v>0.5797706405466313</v>
      </c>
    </row>
    <row r="725" spans="1:4" x14ac:dyDescent="0.3">
      <c r="A725" s="25">
        <v>724</v>
      </c>
      <c r="B725" s="25">
        <f>LARGE(Data!$J$2:$J$2379,A725)</f>
        <v>600</v>
      </c>
      <c r="C725" s="25">
        <f t="shared" si="11"/>
        <v>707570</v>
      </c>
      <c r="D725" s="28">
        <f>C725/SUM(Data!$J$2:$J$2379)</f>
        <v>0.58026268742885823</v>
      </c>
    </row>
    <row r="726" spans="1:4" x14ac:dyDescent="0.3">
      <c r="A726" s="25">
        <v>725</v>
      </c>
      <c r="B726" s="25">
        <f>LARGE(Data!$J$2:$J$2379,A726)</f>
        <v>600</v>
      </c>
      <c r="C726" s="25">
        <f t="shared" si="11"/>
        <v>708170</v>
      </c>
      <c r="D726" s="28">
        <f>C726/SUM(Data!$J$2:$J$2379)</f>
        <v>0.58075473431108515</v>
      </c>
    </row>
    <row r="727" spans="1:4" x14ac:dyDescent="0.3">
      <c r="A727" s="25">
        <v>726</v>
      </c>
      <c r="B727" s="25">
        <f>LARGE(Data!$J$2:$J$2379,A727)</f>
        <v>600</v>
      </c>
      <c r="C727" s="25">
        <f t="shared" si="11"/>
        <v>708770</v>
      </c>
      <c r="D727" s="28">
        <f>C727/SUM(Data!$J$2:$J$2379)</f>
        <v>0.58124678119331208</v>
      </c>
    </row>
    <row r="728" spans="1:4" x14ac:dyDescent="0.3">
      <c r="A728" s="25">
        <v>727</v>
      </c>
      <c r="B728" s="25">
        <f>LARGE(Data!$J$2:$J$2379,A728)</f>
        <v>600</v>
      </c>
      <c r="C728" s="25">
        <f t="shared" si="11"/>
        <v>709370</v>
      </c>
      <c r="D728" s="28">
        <f>C728/SUM(Data!$J$2:$J$2379)</f>
        <v>0.58173882807553901</v>
      </c>
    </row>
    <row r="729" spans="1:4" x14ac:dyDescent="0.3">
      <c r="A729" s="25">
        <v>728</v>
      </c>
      <c r="B729" s="25">
        <f>LARGE(Data!$J$2:$J$2379,A729)</f>
        <v>600</v>
      </c>
      <c r="C729" s="25">
        <f t="shared" si="11"/>
        <v>709970</v>
      </c>
      <c r="D729" s="28">
        <f>C729/SUM(Data!$J$2:$J$2379)</f>
        <v>0.58223087495776593</v>
      </c>
    </row>
    <row r="730" spans="1:4" x14ac:dyDescent="0.3">
      <c r="A730" s="25">
        <v>729</v>
      </c>
      <c r="B730" s="25">
        <f>LARGE(Data!$J$2:$J$2379,A730)</f>
        <v>600</v>
      </c>
      <c r="C730" s="25">
        <f t="shared" si="11"/>
        <v>710570</v>
      </c>
      <c r="D730" s="28">
        <f>C730/SUM(Data!$J$2:$J$2379)</f>
        <v>0.58272292183999297</v>
      </c>
    </row>
    <row r="731" spans="1:4" x14ac:dyDescent="0.3">
      <c r="A731" s="25">
        <v>730</v>
      </c>
      <c r="B731" s="25">
        <f>LARGE(Data!$J$2:$J$2379,A731)</f>
        <v>600</v>
      </c>
      <c r="C731" s="25">
        <f t="shared" si="11"/>
        <v>711170</v>
      </c>
      <c r="D731" s="28">
        <f>C731/SUM(Data!$J$2:$J$2379)</f>
        <v>0.5832149687222199</v>
      </c>
    </row>
    <row r="732" spans="1:4" x14ac:dyDescent="0.3">
      <c r="A732" s="25">
        <v>731</v>
      </c>
      <c r="B732" s="25">
        <f>LARGE(Data!$J$2:$J$2379,A732)</f>
        <v>600</v>
      </c>
      <c r="C732" s="25">
        <f t="shared" si="11"/>
        <v>711770</v>
      </c>
      <c r="D732" s="28">
        <f>C732/SUM(Data!$J$2:$J$2379)</f>
        <v>0.58370701560444682</v>
      </c>
    </row>
    <row r="733" spans="1:4" x14ac:dyDescent="0.3">
      <c r="A733" s="25">
        <v>732</v>
      </c>
      <c r="B733" s="25">
        <f>LARGE(Data!$J$2:$J$2379,A733)</f>
        <v>600</v>
      </c>
      <c r="C733" s="25">
        <f t="shared" si="11"/>
        <v>712370</v>
      </c>
      <c r="D733" s="28">
        <f>C733/SUM(Data!$J$2:$J$2379)</f>
        <v>0.58419906248667375</v>
      </c>
    </row>
    <row r="734" spans="1:4" x14ac:dyDescent="0.3">
      <c r="A734" s="25">
        <v>733</v>
      </c>
      <c r="B734" s="25">
        <f>LARGE(Data!$J$2:$J$2379,A734)</f>
        <v>600</v>
      </c>
      <c r="C734" s="25">
        <f t="shared" si="11"/>
        <v>712970</v>
      </c>
      <c r="D734" s="28">
        <f>C734/SUM(Data!$J$2:$J$2379)</f>
        <v>0.58469110936890067</v>
      </c>
    </row>
    <row r="735" spans="1:4" x14ac:dyDescent="0.3">
      <c r="A735" s="25">
        <v>734</v>
      </c>
      <c r="B735" s="25">
        <f>LARGE(Data!$J$2:$J$2379,A735)</f>
        <v>600</v>
      </c>
      <c r="C735" s="25">
        <f t="shared" si="11"/>
        <v>713570</v>
      </c>
      <c r="D735" s="28">
        <f>C735/SUM(Data!$J$2:$J$2379)</f>
        <v>0.5851831562511276</v>
      </c>
    </row>
    <row r="736" spans="1:4" x14ac:dyDescent="0.3">
      <c r="A736" s="25">
        <v>735</v>
      </c>
      <c r="B736" s="25">
        <f>LARGE(Data!$J$2:$J$2379,A736)</f>
        <v>600</v>
      </c>
      <c r="C736" s="25">
        <f t="shared" si="11"/>
        <v>714170</v>
      </c>
      <c r="D736" s="28">
        <f>C736/SUM(Data!$J$2:$J$2379)</f>
        <v>0.58567520313335453</v>
      </c>
    </row>
    <row r="737" spans="1:4" x14ac:dyDescent="0.3">
      <c r="A737" s="25">
        <v>736</v>
      </c>
      <c r="B737" s="25">
        <f>LARGE(Data!$J$2:$J$2379,A737)</f>
        <v>600</v>
      </c>
      <c r="C737" s="25">
        <f t="shared" si="11"/>
        <v>714770</v>
      </c>
      <c r="D737" s="28">
        <f>C737/SUM(Data!$J$2:$J$2379)</f>
        <v>0.58616725001558145</v>
      </c>
    </row>
    <row r="738" spans="1:4" x14ac:dyDescent="0.3">
      <c r="A738" s="25">
        <v>737</v>
      </c>
      <c r="B738" s="25">
        <f>LARGE(Data!$J$2:$J$2379,A738)</f>
        <v>600</v>
      </c>
      <c r="C738" s="25">
        <f t="shared" si="11"/>
        <v>715370</v>
      </c>
      <c r="D738" s="28">
        <f>C738/SUM(Data!$J$2:$J$2379)</f>
        <v>0.58665929689780838</v>
      </c>
    </row>
    <row r="739" spans="1:4" x14ac:dyDescent="0.3">
      <c r="A739" s="25">
        <v>738</v>
      </c>
      <c r="B739" s="25">
        <f>LARGE(Data!$J$2:$J$2379,A739)</f>
        <v>600</v>
      </c>
      <c r="C739" s="25">
        <f t="shared" si="11"/>
        <v>715970</v>
      </c>
      <c r="D739" s="28">
        <f>C739/SUM(Data!$J$2:$J$2379)</f>
        <v>0.58715134378003531</v>
      </c>
    </row>
    <row r="740" spans="1:4" x14ac:dyDescent="0.3">
      <c r="A740" s="25">
        <v>739</v>
      </c>
      <c r="B740" s="25">
        <f>LARGE(Data!$J$2:$J$2379,A740)</f>
        <v>600</v>
      </c>
      <c r="C740" s="25">
        <f t="shared" si="11"/>
        <v>716570</v>
      </c>
      <c r="D740" s="28">
        <f>C740/SUM(Data!$J$2:$J$2379)</f>
        <v>0.58764339066226234</v>
      </c>
    </row>
    <row r="741" spans="1:4" x14ac:dyDescent="0.3">
      <c r="A741" s="25">
        <v>740</v>
      </c>
      <c r="B741" s="25">
        <f>LARGE(Data!$J$2:$J$2379,A741)</f>
        <v>600</v>
      </c>
      <c r="C741" s="25">
        <f t="shared" si="11"/>
        <v>717170</v>
      </c>
      <c r="D741" s="28">
        <f>C741/SUM(Data!$J$2:$J$2379)</f>
        <v>0.58813543754448927</v>
      </c>
    </row>
    <row r="742" spans="1:4" x14ac:dyDescent="0.3">
      <c r="A742" s="25">
        <v>741</v>
      </c>
      <c r="B742" s="25">
        <f>LARGE(Data!$J$2:$J$2379,A742)</f>
        <v>600</v>
      </c>
      <c r="C742" s="25">
        <f t="shared" si="11"/>
        <v>717770</v>
      </c>
      <c r="D742" s="28">
        <f>C742/SUM(Data!$J$2:$J$2379)</f>
        <v>0.5886274844267162</v>
      </c>
    </row>
    <row r="743" spans="1:4" x14ac:dyDescent="0.3">
      <c r="A743" s="25">
        <v>742</v>
      </c>
      <c r="B743" s="25">
        <f>LARGE(Data!$J$2:$J$2379,A743)</f>
        <v>600</v>
      </c>
      <c r="C743" s="25">
        <f t="shared" si="11"/>
        <v>718370</v>
      </c>
      <c r="D743" s="28">
        <f>C743/SUM(Data!$J$2:$J$2379)</f>
        <v>0.58911953130894312</v>
      </c>
    </row>
    <row r="744" spans="1:4" x14ac:dyDescent="0.3">
      <c r="A744" s="25">
        <v>743</v>
      </c>
      <c r="B744" s="25">
        <f>LARGE(Data!$J$2:$J$2379,A744)</f>
        <v>600</v>
      </c>
      <c r="C744" s="25">
        <f t="shared" si="11"/>
        <v>718970</v>
      </c>
      <c r="D744" s="28">
        <f>C744/SUM(Data!$J$2:$J$2379)</f>
        <v>0.58961157819117005</v>
      </c>
    </row>
    <row r="745" spans="1:4" x14ac:dyDescent="0.3">
      <c r="A745" s="25">
        <v>744</v>
      </c>
      <c r="B745" s="25">
        <f>LARGE(Data!$J$2:$J$2379,A745)</f>
        <v>600</v>
      </c>
      <c r="C745" s="25">
        <f t="shared" si="11"/>
        <v>719570</v>
      </c>
      <c r="D745" s="28">
        <f>C745/SUM(Data!$J$2:$J$2379)</f>
        <v>0.59010362507339698</v>
      </c>
    </row>
    <row r="746" spans="1:4" x14ac:dyDescent="0.3">
      <c r="A746" s="25">
        <v>745</v>
      </c>
      <c r="B746" s="25">
        <f>LARGE(Data!$J$2:$J$2379,A746)</f>
        <v>585</v>
      </c>
      <c r="C746" s="25">
        <f t="shared" si="11"/>
        <v>720155</v>
      </c>
      <c r="D746" s="28">
        <f>C746/SUM(Data!$J$2:$J$2379)</f>
        <v>0.59058337078356826</v>
      </c>
    </row>
    <row r="747" spans="1:4" x14ac:dyDescent="0.3">
      <c r="A747" s="25">
        <v>746</v>
      </c>
      <c r="B747" s="25">
        <f>LARGE(Data!$J$2:$J$2379,A747)</f>
        <v>585</v>
      </c>
      <c r="C747" s="25">
        <f t="shared" si="11"/>
        <v>720740</v>
      </c>
      <c r="D747" s="28">
        <f>C747/SUM(Data!$J$2:$J$2379)</f>
        <v>0.59106311649373955</v>
      </c>
    </row>
    <row r="748" spans="1:4" x14ac:dyDescent="0.3">
      <c r="A748" s="25">
        <v>747</v>
      </c>
      <c r="B748" s="25">
        <f>LARGE(Data!$J$2:$J$2379,A748)</f>
        <v>585</v>
      </c>
      <c r="C748" s="25">
        <f t="shared" si="11"/>
        <v>721325</v>
      </c>
      <c r="D748" s="28">
        <f>C748/SUM(Data!$J$2:$J$2379)</f>
        <v>0.59154286220391084</v>
      </c>
    </row>
    <row r="749" spans="1:4" x14ac:dyDescent="0.3">
      <c r="A749" s="25">
        <v>748</v>
      </c>
      <c r="B749" s="25">
        <f>LARGE(Data!$J$2:$J$2379,A749)</f>
        <v>585</v>
      </c>
      <c r="C749" s="25">
        <f t="shared" si="11"/>
        <v>721910</v>
      </c>
      <c r="D749" s="28">
        <f>C749/SUM(Data!$J$2:$J$2379)</f>
        <v>0.59202260791408201</v>
      </c>
    </row>
    <row r="750" spans="1:4" x14ac:dyDescent="0.3">
      <c r="A750" s="25">
        <v>749</v>
      </c>
      <c r="B750" s="25">
        <f>LARGE(Data!$J$2:$J$2379,A750)</f>
        <v>585</v>
      </c>
      <c r="C750" s="25">
        <f t="shared" si="11"/>
        <v>722495</v>
      </c>
      <c r="D750" s="28">
        <f>C750/SUM(Data!$J$2:$J$2379)</f>
        <v>0.5925023536242533</v>
      </c>
    </row>
    <row r="751" spans="1:4" x14ac:dyDescent="0.3">
      <c r="A751" s="25">
        <v>750</v>
      </c>
      <c r="B751" s="25">
        <f>LARGE(Data!$J$2:$J$2379,A751)</f>
        <v>570</v>
      </c>
      <c r="C751" s="25">
        <f t="shared" si="11"/>
        <v>723065</v>
      </c>
      <c r="D751" s="28">
        <f>C751/SUM(Data!$J$2:$J$2379)</f>
        <v>0.59296979816236894</v>
      </c>
    </row>
    <row r="752" spans="1:4" x14ac:dyDescent="0.3">
      <c r="A752" s="25">
        <v>751</v>
      </c>
      <c r="B752" s="25">
        <f>LARGE(Data!$J$2:$J$2379,A752)</f>
        <v>570</v>
      </c>
      <c r="C752" s="25">
        <f t="shared" si="11"/>
        <v>723635</v>
      </c>
      <c r="D752" s="28">
        <f>C752/SUM(Data!$J$2:$J$2379)</f>
        <v>0.59343724270048448</v>
      </c>
    </row>
    <row r="753" spans="1:4" x14ac:dyDescent="0.3">
      <c r="A753" s="25">
        <v>752</v>
      </c>
      <c r="B753" s="25">
        <f>LARGE(Data!$J$2:$J$2379,A753)</f>
        <v>560</v>
      </c>
      <c r="C753" s="25">
        <f t="shared" si="11"/>
        <v>724195</v>
      </c>
      <c r="D753" s="28">
        <f>C753/SUM(Data!$J$2:$J$2379)</f>
        <v>0.5938964864572297</v>
      </c>
    </row>
    <row r="754" spans="1:4" x14ac:dyDescent="0.3">
      <c r="A754" s="25">
        <v>753</v>
      </c>
      <c r="B754" s="25">
        <f>LARGE(Data!$J$2:$J$2379,A754)</f>
        <v>560</v>
      </c>
      <c r="C754" s="25">
        <f t="shared" si="11"/>
        <v>724755</v>
      </c>
      <c r="D754" s="28">
        <f>C754/SUM(Data!$J$2:$J$2379)</f>
        <v>0.59435573021397481</v>
      </c>
    </row>
    <row r="755" spans="1:4" x14ac:dyDescent="0.3">
      <c r="A755" s="25">
        <v>754</v>
      </c>
      <c r="B755" s="25">
        <f>LARGE(Data!$J$2:$J$2379,A755)</f>
        <v>560</v>
      </c>
      <c r="C755" s="25">
        <f t="shared" si="11"/>
        <v>725315</v>
      </c>
      <c r="D755" s="28">
        <f>C755/SUM(Data!$J$2:$J$2379)</f>
        <v>0.59481497397071992</v>
      </c>
    </row>
    <row r="756" spans="1:4" x14ac:dyDescent="0.3">
      <c r="A756" s="25">
        <v>755</v>
      </c>
      <c r="B756" s="25">
        <f>LARGE(Data!$J$2:$J$2379,A756)</f>
        <v>560</v>
      </c>
      <c r="C756" s="25">
        <f t="shared" si="11"/>
        <v>725875</v>
      </c>
      <c r="D756" s="28">
        <f>C756/SUM(Data!$J$2:$J$2379)</f>
        <v>0.59527421772746503</v>
      </c>
    </row>
    <row r="757" spans="1:4" x14ac:dyDescent="0.3">
      <c r="A757" s="25">
        <v>756</v>
      </c>
      <c r="B757" s="25">
        <f>LARGE(Data!$J$2:$J$2379,A757)</f>
        <v>560</v>
      </c>
      <c r="C757" s="25">
        <f t="shared" si="11"/>
        <v>726435</v>
      </c>
      <c r="D757" s="28">
        <f>C757/SUM(Data!$J$2:$J$2379)</f>
        <v>0.59573346148421025</v>
      </c>
    </row>
    <row r="758" spans="1:4" x14ac:dyDescent="0.3">
      <c r="A758" s="25">
        <v>757</v>
      </c>
      <c r="B758" s="25">
        <f>LARGE(Data!$J$2:$J$2379,A758)</f>
        <v>560</v>
      </c>
      <c r="C758" s="25">
        <f t="shared" si="11"/>
        <v>726995</v>
      </c>
      <c r="D758" s="28">
        <f>C758/SUM(Data!$J$2:$J$2379)</f>
        <v>0.59619270524095536</v>
      </c>
    </row>
    <row r="759" spans="1:4" x14ac:dyDescent="0.3">
      <c r="A759" s="25">
        <v>758</v>
      </c>
      <c r="B759" s="25">
        <f>LARGE(Data!$J$2:$J$2379,A759)</f>
        <v>560</v>
      </c>
      <c r="C759" s="25">
        <f t="shared" si="11"/>
        <v>727555</v>
      </c>
      <c r="D759" s="28">
        <f>C759/SUM(Data!$J$2:$J$2379)</f>
        <v>0.59665194899770047</v>
      </c>
    </row>
    <row r="760" spans="1:4" x14ac:dyDescent="0.3">
      <c r="A760" s="25">
        <v>759</v>
      </c>
      <c r="B760" s="25">
        <f>LARGE(Data!$J$2:$J$2379,A760)</f>
        <v>560</v>
      </c>
      <c r="C760" s="25">
        <f t="shared" si="11"/>
        <v>728115</v>
      </c>
      <c r="D760" s="28">
        <f>C760/SUM(Data!$J$2:$J$2379)</f>
        <v>0.59711119275444569</v>
      </c>
    </row>
    <row r="761" spans="1:4" x14ac:dyDescent="0.3">
      <c r="A761" s="25">
        <v>760</v>
      </c>
      <c r="B761" s="25">
        <f>LARGE(Data!$J$2:$J$2379,A761)</f>
        <v>560</v>
      </c>
      <c r="C761" s="25">
        <f t="shared" si="11"/>
        <v>728675</v>
      </c>
      <c r="D761" s="28">
        <f>C761/SUM(Data!$J$2:$J$2379)</f>
        <v>0.59757043651119079</v>
      </c>
    </row>
    <row r="762" spans="1:4" x14ac:dyDescent="0.3">
      <c r="A762" s="25">
        <v>761</v>
      </c>
      <c r="B762" s="25">
        <f>LARGE(Data!$J$2:$J$2379,A762)</f>
        <v>560</v>
      </c>
      <c r="C762" s="25">
        <f t="shared" si="11"/>
        <v>729235</v>
      </c>
      <c r="D762" s="28">
        <f>C762/SUM(Data!$J$2:$J$2379)</f>
        <v>0.5980296802679359</v>
      </c>
    </row>
    <row r="763" spans="1:4" x14ac:dyDescent="0.3">
      <c r="A763" s="25">
        <v>762</v>
      </c>
      <c r="B763" s="25">
        <f>LARGE(Data!$J$2:$J$2379,A763)</f>
        <v>560</v>
      </c>
      <c r="C763" s="25">
        <f t="shared" si="11"/>
        <v>729795</v>
      </c>
      <c r="D763" s="28">
        <f>C763/SUM(Data!$J$2:$J$2379)</f>
        <v>0.59848892402468112</v>
      </c>
    </row>
    <row r="764" spans="1:4" x14ac:dyDescent="0.3">
      <c r="A764" s="25">
        <v>763</v>
      </c>
      <c r="B764" s="25">
        <f>LARGE(Data!$J$2:$J$2379,A764)</f>
        <v>560</v>
      </c>
      <c r="C764" s="25">
        <f t="shared" si="11"/>
        <v>730355</v>
      </c>
      <c r="D764" s="28">
        <f>C764/SUM(Data!$J$2:$J$2379)</f>
        <v>0.59894816778142623</v>
      </c>
    </row>
    <row r="765" spans="1:4" x14ac:dyDescent="0.3">
      <c r="A765" s="25">
        <v>764</v>
      </c>
      <c r="B765" s="25">
        <f>LARGE(Data!$J$2:$J$2379,A765)</f>
        <v>560</v>
      </c>
      <c r="C765" s="25">
        <f t="shared" si="11"/>
        <v>730915</v>
      </c>
      <c r="D765" s="28">
        <f>C765/SUM(Data!$J$2:$J$2379)</f>
        <v>0.59940741153817134</v>
      </c>
    </row>
    <row r="766" spans="1:4" x14ac:dyDescent="0.3">
      <c r="A766" s="25">
        <v>765</v>
      </c>
      <c r="B766" s="25">
        <f>LARGE(Data!$J$2:$J$2379,A766)</f>
        <v>560</v>
      </c>
      <c r="C766" s="25">
        <f t="shared" si="11"/>
        <v>731475</v>
      </c>
      <c r="D766" s="28">
        <f>C766/SUM(Data!$J$2:$J$2379)</f>
        <v>0.59986665529491645</v>
      </c>
    </row>
    <row r="767" spans="1:4" x14ac:dyDescent="0.3">
      <c r="A767" s="25">
        <v>766</v>
      </c>
      <c r="B767" s="25">
        <f>LARGE(Data!$J$2:$J$2379,A767)</f>
        <v>560</v>
      </c>
      <c r="C767" s="25">
        <f t="shared" si="11"/>
        <v>732035</v>
      </c>
      <c r="D767" s="28">
        <f>C767/SUM(Data!$J$2:$J$2379)</f>
        <v>0.60032589905166167</v>
      </c>
    </row>
    <row r="768" spans="1:4" x14ac:dyDescent="0.3">
      <c r="A768" s="25">
        <v>767</v>
      </c>
      <c r="B768" s="25">
        <f>LARGE(Data!$J$2:$J$2379,A768)</f>
        <v>560</v>
      </c>
      <c r="C768" s="25">
        <f t="shared" si="11"/>
        <v>732595</v>
      </c>
      <c r="D768" s="28">
        <f>C768/SUM(Data!$J$2:$J$2379)</f>
        <v>0.60078514280840678</v>
      </c>
    </row>
    <row r="769" spans="1:4" x14ac:dyDescent="0.3">
      <c r="A769" s="25">
        <v>768</v>
      </c>
      <c r="B769" s="25">
        <f>LARGE(Data!$J$2:$J$2379,A769)</f>
        <v>560</v>
      </c>
      <c r="C769" s="25">
        <f t="shared" si="11"/>
        <v>733155</v>
      </c>
      <c r="D769" s="28">
        <f>C769/SUM(Data!$J$2:$J$2379)</f>
        <v>0.60124438656515189</v>
      </c>
    </row>
    <row r="770" spans="1:4" x14ac:dyDescent="0.3">
      <c r="A770" s="25">
        <v>769</v>
      </c>
      <c r="B770" s="25">
        <f>LARGE(Data!$J$2:$J$2379,A770)</f>
        <v>560</v>
      </c>
      <c r="C770" s="25">
        <f t="shared" si="11"/>
        <v>733715</v>
      </c>
      <c r="D770" s="28">
        <f>C770/SUM(Data!$J$2:$J$2379)</f>
        <v>0.60170363032189711</v>
      </c>
    </row>
    <row r="771" spans="1:4" x14ac:dyDescent="0.3">
      <c r="A771" s="25">
        <v>770</v>
      </c>
      <c r="B771" s="25">
        <f>LARGE(Data!$J$2:$J$2379,A771)</f>
        <v>560</v>
      </c>
      <c r="C771" s="25">
        <f t="shared" ref="C771:C834" si="12">C770+B771</f>
        <v>734275</v>
      </c>
      <c r="D771" s="28">
        <f>C771/SUM(Data!$J$2:$J$2379)</f>
        <v>0.60216287407864222</v>
      </c>
    </row>
    <row r="772" spans="1:4" x14ac:dyDescent="0.3">
      <c r="A772" s="25">
        <v>771</v>
      </c>
      <c r="B772" s="25">
        <f>LARGE(Data!$J$2:$J$2379,A772)</f>
        <v>560</v>
      </c>
      <c r="C772" s="25">
        <f t="shared" si="12"/>
        <v>734835</v>
      </c>
      <c r="D772" s="28">
        <f>C772/SUM(Data!$J$2:$J$2379)</f>
        <v>0.60262211783538733</v>
      </c>
    </row>
    <row r="773" spans="1:4" x14ac:dyDescent="0.3">
      <c r="A773" s="25">
        <v>772</v>
      </c>
      <c r="B773" s="25">
        <f>LARGE(Data!$J$2:$J$2379,A773)</f>
        <v>560</v>
      </c>
      <c r="C773" s="25">
        <f t="shared" si="12"/>
        <v>735395</v>
      </c>
      <c r="D773" s="28">
        <f>C773/SUM(Data!$J$2:$J$2379)</f>
        <v>0.60308136159213255</v>
      </c>
    </row>
    <row r="774" spans="1:4" x14ac:dyDescent="0.3">
      <c r="A774" s="25">
        <v>773</v>
      </c>
      <c r="B774" s="25">
        <f>LARGE(Data!$J$2:$J$2379,A774)</f>
        <v>560</v>
      </c>
      <c r="C774" s="25">
        <f t="shared" si="12"/>
        <v>735955</v>
      </c>
      <c r="D774" s="28">
        <f>C774/SUM(Data!$J$2:$J$2379)</f>
        <v>0.60354060534887766</v>
      </c>
    </row>
    <row r="775" spans="1:4" x14ac:dyDescent="0.3">
      <c r="A775" s="25">
        <v>774</v>
      </c>
      <c r="B775" s="25">
        <f>LARGE(Data!$J$2:$J$2379,A775)</f>
        <v>560</v>
      </c>
      <c r="C775" s="25">
        <f t="shared" si="12"/>
        <v>736515</v>
      </c>
      <c r="D775" s="28">
        <f>C775/SUM(Data!$J$2:$J$2379)</f>
        <v>0.60399984910562277</v>
      </c>
    </row>
    <row r="776" spans="1:4" x14ac:dyDescent="0.3">
      <c r="A776" s="25">
        <v>775</v>
      </c>
      <c r="B776" s="25">
        <f>LARGE(Data!$J$2:$J$2379,A776)</f>
        <v>560</v>
      </c>
      <c r="C776" s="25">
        <f t="shared" si="12"/>
        <v>737075</v>
      </c>
      <c r="D776" s="28">
        <f>C776/SUM(Data!$J$2:$J$2379)</f>
        <v>0.60445909286236787</v>
      </c>
    </row>
    <row r="777" spans="1:4" x14ac:dyDescent="0.3">
      <c r="A777" s="25">
        <v>776</v>
      </c>
      <c r="B777" s="25">
        <f>LARGE(Data!$J$2:$J$2379,A777)</f>
        <v>560</v>
      </c>
      <c r="C777" s="25">
        <f t="shared" si="12"/>
        <v>737635</v>
      </c>
      <c r="D777" s="28">
        <f>C777/SUM(Data!$J$2:$J$2379)</f>
        <v>0.6049183366191131</v>
      </c>
    </row>
    <row r="778" spans="1:4" x14ac:dyDescent="0.3">
      <c r="A778" s="25">
        <v>777</v>
      </c>
      <c r="B778" s="25">
        <f>LARGE(Data!$J$2:$J$2379,A778)</f>
        <v>560</v>
      </c>
      <c r="C778" s="25">
        <f t="shared" si="12"/>
        <v>738195</v>
      </c>
      <c r="D778" s="28">
        <f>C778/SUM(Data!$J$2:$J$2379)</f>
        <v>0.6053775803758582</v>
      </c>
    </row>
    <row r="779" spans="1:4" x14ac:dyDescent="0.3">
      <c r="A779" s="25">
        <v>778</v>
      </c>
      <c r="B779" s="25">
        <f>LARGE(Data!$J$2:$J$2379,A779)</f>
        <v>560</v>
      </c>
      <c r="C779" s="25">
        <f t="shared" si="12"/>
        <v>738755</v>
      </c>
      <c r="D779" s="28">
        <f>C779/SUM(Data!$J$2:$J$2379)</f>
        <v>0.60583682413260331</v>
      </c>
    </row>
    <row r="780" spans="1:4" x14ac:dyDescent="0.3">
      <c r="A780" s="25">
        <v>779</v>
      </c>
      <c r="B780" s="25">
        <f>LARGE(Data!$J$2:$J$2379,A780)</f>
        <v>560</v>
      </c>
      <c r="C780" s="25">
        <f t="shared" si="12"/>
        <v>739315</v>
      </c>
      <c r="D780" s="28">
        <f>C780/SUM(Data!$J$2:$J$2379)</f>
        <v>0.60629606788934853</v>
      </c>
    </row>
    <row r="781" spans="1:4" x14ac:dyDescent="0.3">
      <c r="A781" s="25">
        <v>780</v>
      </c>
      <c r="B781" s="25">
        <f>LARGE(Data!$J$2:$J$2379,A781)</f>
        <v>560</v>
      </c>
      <c r="C781" s="25">
        <f t="shared" si="12"/>
        <v>739875</v>
      </c>
      <c r="D781" s="28">
        <f>C781/SUM(Data!$J$2:$J$2379)</f>
        <v>0.60675531164609364</v>
      </c>
    </row>
    <row r="782" spans="1:4" x14ac:dyDescent="0.3">
      <c r="A782" s="25">
        <v>781</v>
      </c>
      <c r="B782" s="25">
        <f>LARGE(Data!$J$2:$J$2379,A782)</f>
        <v>560</v>
      </c>
      <c r="C782" s="25">
        <f t="shared" si="12"/>
        <v>740435</v>
      </c>
      <c r="D782" s="28">
        <f>C782/SUM(Data!$J$2:$J$2379)</f>
        <v>0.60721455540283875</v>
      </c>
    </row>
    <row r="783" spans="1:4" x14ac:dyDescent="0.3">
      <c r="A783" s="25">
        <v>782</v>
      </c>
      <c r="B783" s="25">
        <f>LARGE(Data!$J$2:$J$2379,A783)</f>
        <v>560</v>
      </c>
      <c r="C783" s="25">
        <f t="shared" si="12"/>
        <v>740995</v>
      </c>
      <c r="D783" s="28">
        <f>C783/SUM(Data!$J$2:$J$2379)</f>
        <v>0.60767379915958397</v>
      </c>
    </row>
    <row r="784" spans="1:4" x14ac:dyDescent="0.3">
      <c r="A784" s="25">
        <v>783</v>
      </c>
      <c r="B784" s="25">
        <f>LARGE(Data!$J$2:$J$2379,A784)</f>
        <v>560</v>
      </c>
      <c r="C784" s="25">
        <f t="shared" si="12"/>
        <v>741555</v>
      </c>
      <c r="D784" s="28">
        <f>C784/SUM(Data!$J$2:$J$2379)</f>
        <v>0.60813304291632908</v>
      </c>
    </row>
    <row r="785" spans="1:4" x14ac:dyDescent="0.3">
      <c r="A785" s="25">
        <v>784</v>
      </c>
      <c r="B785" s="25">
        <f>LARGE(Data!$J$2:$J$2379,A785)</f>
        <v>560</v>
      </c>
      <c r="C785" s="25">
        <f t="shared" si="12"/>
        <v>742115</v>
      </c>
      <c r="D785" s="28">
        <f>C785/SUM(Data!$J$2:$J$2379)</f>
        <v>0.60859228667307419</v>
      </c>
    </row>
    <row r="786" spans="1:4" x14ac:dyDescent="0.3">
      <c r="A786" s="25">
        <v>785</v>
      </c>
      <c r="B786" s="25">
        <f>LARGE(Data!$J$2:$J$2379,A786)</f>
        <v>560</v>
      </c>
      <c r="C786" s="25">
        <f t="shared" si="12"/>
        <v>742675</v>
      </c>
      <c r="D786" s="28">
        <f>C786/SUM(Data!$J$2:$J$2379)</f>
        <v>0.6090515304298193</v>
      </c>
    </row>
    <row r="787" spans="1:4" x14ac:dyDescent="0.3">
      <c r="A787" s="25">
        <v>786</v>
      </c>
      <c r="B787" s="25">
        <f>LARGE(Data!$J$2:$J$2379,A787)</f>
        <v>560</v>
      </c>
      <c r="C787" s="25">
        <f t="shared" si="12"/>
        <v>743235</v>
      </c>
      <c r="D787" s="28">
        <f>C787/SUM(Data!$J$2:$J$2379)</f>
        <v>0.60951077418656452</v>
      </c>
    </row>
    <row r="788" spans="1:4" x14ac:dyDescent="0.3">
      <c r="A788" s="25">
        <v>787</v>
      </c>
      <c r="B788" s="25">
        <f>LARGE(Data!$J$2:$J$2379,A788)</f>
        <v>560</v>
      </c>
      <c r="C788" s="25">
        <f t="shared" si="12"/>
        <v>743795</v>
      </c>
      <c r="D788" s="28">
        <f>C788/SUM(Data!$J$2:$J$2379)</f>
        <v>0.60997001794330963</v>
      </c>
    </row>
    <row r="789" spans="1:4" x14ac:dyDescent="0.3">
      <c r="A789" s="25">
        <v>788</v>
      </c>
      <c r="B789" s="25">
        <f>LARGE(Data!$J$2:$J$2379,A789)</f>
        <v>560</v>
      </c>
      <c r="C789" s="25">
        <f t="shared" si="12"/>
        <v>744355</v>
      </c>
      <c r="D789" s="28">
        <f>C789/SUM(Data!$J$2:$J$2379)</f>
        <v>0.61042926170005474</v>
      </c>
    </row>
    <row r="790" spans="1:4" x14ac:dyDescent="0.3">
      <c r="A790" s="25">
        <v>789</v>
      </c>
      <c r="B790" s="25">
        <f>LARGE(Data!$J$2:$J$2379,A790)</f>
        <v>560</v>
      </c>
      <c r="C790" s="25">
        <f t="shared" si="12"/>
        <v>744915</v>
      </c>
      <c r="D790" s="28">
        <f>C790/SUM(Data!$J$2:$J$2379)</f>
        <v>0.61088850545679996</v>
      </c>
    </row>
    <row r="791" spans="1:4" x14ac:dyDescent="0.3">
      <c r="A791" s="25">
        <v>790</v>
      </c>
      <c r="B791" s="25">
        <f>LARGE(Data!$J$2:$J$2379,A791)</f>
        <v>560</v>
      </c>
      <c r="C791" s="25">
        <f t="shared" si="12"/>
        <v>745475</v>
      </c>
      <c r="D791" s="28">
        <f>C791/SUM(Data!$J$2:$J$2379)</f>
        <v>0.61134774921354507</v>
      </c>
    </row>
    <row r="792" spans="1:4" x14ac:dyDescent="0.3">
      <c r="A792" s="25">
        <v>791</v>
      </c>
      <c r="B792" s="25">
        <f>LARGE(Data!$J$2:$J$2379,A792)</f>
        <v>560</v>
      </c>
      <c r="C792" s="25">
        <f t="shared" si="12"/>
        <v>746035</v>
      </c>
      <c r="D792" s="28">
        <f>C792/SUM(Data!$J$2:$J$2379)</f>
        <v>0.61180699297029018</v>
      </c>
    </row>
    <row r="793" spans="1:4" x14ac:dyDescent="0.3">
      <c r="A793" s="25">
        <v>792</v>
      </c>
      <c r="B793" s="25">
        <f>LARGE(Data!$J$2:$J$2379,A793)</f>
        <v>560</v>
      </c>
      <c r="C793" s="25">
        <f t="shared" si="12"/>
        <v>746595</v>
      </c>
      <c r="D793" s="28">
        <f>C793/SUM(Data!$J$2:$J$2379)</f>
        <v>0.6122662367270354</v>
      </c>
    </row>
    <row r="794" spans="1:4" x14ac:dyDescent="0.3">
      <c r="A794" s="25">
        <v>793</v>
      </c>
      <c r="B794" s="25">
        <f>LARGE(Data!$J$2:$J$2379,A794)</f>
        <v>560</v>
      </c>
      <c r="C794" s="25">
        <f t="shared" si="12"/>
        <v>747155</v>
      </c>
      <c r="D794" s="28">
        <f>C794/SUM(Data!$J$2:$J$2379)</f>
        <v>0.6127254804837805</v>
      </c>
    </row>
    <row r="795" spans="1:4" x14ac:dyDescent="0.3">
      <c r="A795" s="25">
        <v>794</v>
      </c>
      <c r="B795" s="25">
        <f>LARGE(Data!$J$2:$J$2379,A795)</f>
        <v>560</v>
      </c>
      <c r="C795" s="25">
        <f t="shared" si="12"/>
        <v>747715</v>
      </c>
      <c r="D795" s="28">
        <f>C795/SUM(Data!$J$2:$J$2379)</f>
        <v>0.61318472424052561</v>
      </c>
    </row>
    <row r="796" spans="1:4" x14ac:dyDescent="0.3">
      <c r="A796" s="25">
        <v>795</v>
      </c>
      <c r="B796" s="25">
        <f>LARGE(Data!$J$2:$J$2379,A796)</f>
        <v>560</v>
      </c>
      <c r="C796" s="25">
        <f t="shared" si="12"/>
        <v>748275</v>
      </c>
      <c r="D796" s="28">
        <f>C796/SUM(Data!$J$2:$J$2379)</f>
        <v>0.61364396799727083</v>
      </c>
    </row>
    <row r="797" spans="1:4" x14ac:dyDescent="0.3">
      <c r="A797" s="25">
        <v>796</v>
      </c>
      <c r="B797" s="25">
        <f>LARGE(Data!$J$2:$J$2379,A797)</f>
        <v>560</v>
      </c>
      <c r="C797" s="25">
        <f t="shared" si="12"/>
        <v>748835</v>
      </c>
      <c r="D797" s="28">
        <f>C797/SUM(Data!$J$2:$J$2379)</f>
        <v>0.61410321175401594</v>
      </c>
    </row>
    <row r="798" spans="1:4" x14ac:dyDescent="0.3">
      <c r="A798" s="25">
        <v>797</v>
      </c>
      <c r="B798" s="25">
        <f>LARGE(Data!$J$2:$J$2379,A798)</f>
        <v>560</v>
      </c>
      <c r="C798" s="25">
        <f t="shared" si="12"/>
        <v>749395</v>
      </c>
      <c r="D798" s="28">
        <f>C798/SUM(Data!$J$2:$J$2379)</f>
        <v>0.61456245551076105</v>
      </c>
    </row>
    <row r="799" spans="1:4" x14ac:dyDescent="0.3">
      <c r="A799" s="25">
        <v>798</v>
      </c>
      <c r="B799" s="25">
        <f>LARGE(Data!$J$2:$J$2379,A799)</f>
        <v>560</v>
      </c>
      <c r="C799" s="25">
        <f t="shared" si="12"/>
        <v>749955</v>
      </c>
      <c r="D799" s="28">
        <f>C799/SUM(Data!$J$2:$J$2379)</f>
        <v>0.61502169926750616</v>
      </c>
    </row>
    <row r="800" spans="1:4" x14ac:dyDescent="0.3">
      <c r="A800" s="25">
        <v>799</v>
      </c>
      <c r="B800" s="25">
        <f>LARGE(Data!$J$2:$J$2379,A800)</f>
        <v>560</v>
      </c>
      <c r="C800" s="25">
        <f t="shared" si="12"/>
        <v>750515</v>
      </c>
      <c r="D800" s="28">
        <f>C800/SUM(Data!$J$2:$J$2379)</f>
        <v>0.61548094302425138</v>
      </c>
    </row>
    <row r="801" spans="1:4" x14ac:dyDescent="0.3">
      <c r="A801" s="25">
        <v>800</v>
      </c>
      <c r="B801" s="25">
        <f>LARGE(Data!$J$2:$J$2379,A801)</f>
        <v>560</v>
      </c>
      <c r="C801" s="25">
        <f t="shared" si="12"/>
        <v>751075</v>
      </c>
      <c r="D801" s="28">
        <f>C801/SUM(Data!$J$2:$J$2379)</f>
        <v>0.61594018678099649</v>
      </c>
    </row>
    <row r="802" spans="1:4" x14ac:dyDescent="0.3">
      <c r="A802" s="25">
        <v>801</v>
      </c>
      <c r="B802" s="25">
        <f>LARGE(Data!$J$2:$J$2379,A802)</f>
        <v>560</v>
      </c>
      <c r="C802" s="25">
        <f t="shared" si="12"/>
        <v>751635</v>
      </c>
      <c r="D802" s="28">
        <f>C802/SUM(Data!$J$2:$J$2379)</f>
        <v>0.6163994305377416</v>
      </c>
    </row>
    <row r="803" spans="1:4" x14ac:dyDescent="0.3">
      <c r="A803" s="25">
        <v>802</v>
      </c>
      <c r="B803" s="25">
        <f>LARGE(Data!$J$2:$J$2379,A803)</f>
        <v>560</v>
      </c>
      <c r="C803" s="25">
        <f t="shared" si="12"/>
        <v>752195</v>
      </c>
      <c r="D803" s="28">
        <f>C803/SUM(Data!$J$2:$J$2379)</f>
        <v>0.61685867429448682</v>
      </c>
    </row>
    <row r="804" spans="1:4" x14ac:dyDescent="0.3">
      <c r="A804" s="25">
        <v>803</v>
      </c>
      <c r="B804" s="25">
        <f>LARGE(Data!$J$2:$J$2379,A804)</f>
        <v>560</v>
      </c>
      <c r="C804" s="25">
        <f t="shared" si="12"/>
        <v>752755</v>
      </c>
      <c r="D804" s="28">
        <f>C804/SUM(Data!$J$2:$J$2379)</f>
        <v>0.61731791805123193</v>
      </c>
    </row>
    <row r="805" spans="1:4" x14ac:dyDescent="0.3">
      <c r="A805" s="25">
        <v>804</v>
      </c>
      <c r="B805" s="25">
        <f>LARGE(Data!$J$2:$J$2379,A805)</f>
        <v>560</v>
      </c>
      <c r="C805" s="25">
        <f t="shared" si="12"/>
        <v>753315</v>
      </c>
      <c r="D805" s="28">
        <f>C805/SUM(Data!$J$2:$J$2379)</f>
        <v>0.61777716180797704</v>
      </c>
    </row>
    <row r="806" spans="1:4" x14ac:dyDescent="0.3">
      <c r="A806" s="25">
        <v>805</v>
      </c>
      <c r="B806" s="25">
        <f>LARGE(Data!$J$2:$J$2379,A806)</f>
        <v>560</v>
      </c>
      <c r="C806" s="25">
        <f t="shared" si="12"/>
        <v>753875</v>
      </c>
      <c r="D806" s="28">
        <f>C806/SUM(Data!$J$2:$J$2379)</f>
        <v>0.61823640556472226</v>
      </c>
    </row>
    <row r="807" spans="1:4" x14ac:dyDescent="0.3">
      <c r="A807" s="25">
        <v>806</v>
      </c>
      <c r="B807" s="25">
        <f>LARGE(Data!$J$2:$J$2379,A807)</f>
        <v>560</v>
      </c>
      <c r="C807" s="25">
        <f t="shared" si="12"/>
        <v>754435</v>
      </c>
      <c r="D807" s="28">
        <f>C807/SUM(Data!$J$2:$J$2379)</f>
        <v>0.61869564932146737</v>
      </c>
    </row>
    <row r="808" spans="1:4" x14ac:dyDescent="0.3">
      <c r="A808" s="25">
        <v>807</v>
      </c>
      <c r="B808" s="25">
        <f>LARGE(Data!$J$2:$J$2379,A808)</f>
        <v>560</v>
      </c>
      <c r="C808" s="25">
        <f t="shared" si="12"/>
        <v>754995</v>
      </c>
      <c r="D808" s="28">
        <f>C808/SUM(Data!$J$2:$J$2379)</f>
        <v>0.61915489307821248</v>
      </c>
    </row>
    <row r="809" spans="1:4" x14ac:dyDescent="0.3">
      <c r="A809" s="25">
        <v>808</v>
      </c>
      <c r="B809" s="25">
        <f>LARGE(Data!$J$2:$J$2379,A809)</f>
        <v>560</v>
      </c>
      <c r="C809" s="25">
        <f t="shared" si="12"/>
        <v>755555</v>
      </c>
      <c r="D809" s="28">
        <f>C809/SUM(Data!$J$2:$J$2379)</f>
        <v>0.61961413683495759</v>
      </c>
    </row>
    <row r="810" spans="1:4" x14ac:dyDescent="0.3">
      <c r="A810" s="25">
        <v>809</v>
      </c>
      <c r="B810" s="25">
        <f>LARGE(Data!$J$2:$J$2379,A810)</f>
        <v>560</v>
      </c>
      <c r="C810" s="25">
        <f t="shared" si="12"/>
        <v>756115</v>
      </c>
      <c r="D810" s="28">
        <f>C810/SUM(Data!$J$2:$J$2379)</f>
        <v>0.62007338059170281</v>
      </c>
    </row>
    <row r="811" spans="1:4" x14ac:dyDescent="0.3">
      <c r="A811" s="25">
        <v>810</v>
      </c>
      <c r="B811" s="25">
        <f>LARGE(Data!$J$2:$J$2379,A811)</f>
        <v>560</v>
      </c>
      <c r="C811" s="25">
        <f t="shared" si="12"/>
        <v>756675</v>
      </c>
      <c r="D811" s="28">
        <f>C811/SUM(Data!$J$2:$J$2379)</f>
        <v>0.62053262434844791</v>
      </c>
    </row>
    <row r="812" spans="1:4" x14ac:dyDescent="0.3">
      <c r="A812" s="25">
        <v>811</v>
      </c>
      <c r="B812" s="25">
        <f>LARGE(Data!$J$2:$J$2379,A812)</f>
        <v>560</v>
      </c>
      <c r="C812" s="25">
        <f t="shared" si="12"/>
        <v>757235</v>
      </c>
      <c r="D812" s="28">
        <f>C812/SUM(Data!$J$2:$J$2379)</f>
        <v>0.62099186810519302</v>
      </c>
    </row>
    <row r="813" spans="1:4" x14ac:dyDescent="0.3">
      <c r="A813" s="25">
        <v>812</v>
      </c>
      <c r="B813" s="25">
        <f>LARGE(Data!$J$2:$J$2379,A813)</f>
        <v>560</v>
      </c>
      <c r="C813" s="25">
        <f t="shared" si="12"/>
        <v>757795</v>
      </c>
      <c r="D813" s="28">
        <f>C813/SUM(Data!$J$2:$J$2379)</f>
        <v>0.62145111186193824</v>
      </c>
    </row>
    <row r="814" spans="1:4" x14ac:dyDescent="0.3">
      <c r="A814" s="25">
        <v>813</v>
      </c>
      <c r="B814" s="25">
        <f>LARGE(Data!$J$2:$J$2379,A814)</f>
        <v>560</v>
      </c>
      <c r="C814" s="25">
        <f t="shared" si="12"/>
        <v>758355</v>
      </c>
      <c r="D814" s="28">
        <f>C814/SUM(Data!$J$2:$J$2379)</f>
        <v>0.62191035561868335</v>
      </c>
    </row>
    <row r="815" spans="1:4" x14ac:dyDescent="0.3">
      <c r="A815" s="25">
        <v>814</v>
      </c>
      <c r="B815" s="25">
        <f>LARGE(Data!$J$2:$J$2379,A815)</f>
        <v>560</v>
      </c>
      <c r="C815" s="25">
        <f t="shared" si="12"/>
        <v>758915</v>
      </c>
      <c r="D815" s="28">
        <f>C815/SUM(Data!$J$2:$J$2379)</f>
        <v>0.62236959937542846</v>
      </c>
    </row>
    <row r="816" spans="1:4" x14ac:dyDescent="0.3">
      <c r="A816" s="25">
        <v>815</v>
      </c>
      <c r="B816" s="25">
        <f>LARGE(Data!$J$2:$J$2379,A816)</f>
        <v>560</v>
      </c>
      <c r="C816" s="25">
        <f t="shared" si="12"/>
        <v>759475</v>
      </c>
      <c r="D816" s="28">
        <f>C816/SUM(Data!$J$2:$J$2379)</f>
        <v>0.62282884313217368</v>
      </c>
    </row>
    <row r="817" spans="1:4" x14ac:dyDescent="0.3">
      <c r="A817" s="25">
        <v>816</v>
      </c>
      <c r="B817" s="25">
        <f>LARGE(Data!$J$2:$J$2379,A817)</f>
        <v>560</v>
      </c>
      <c r="C817" s="25">
        <f t="shared" si="12"/>
        <v>760035</v>
      </c>
      <c r="D817" s="28">
        <f>C817/SUM(Data!$J$2:$J$2379)</f>
        <v>0.62328808688891879</v>
      </c>
    </row>
    <row r="818" spans="1:4" x14ac:dyDescent="0.3">
      <c r="A818" s="25">
        <v>817</v>
      </c>
      <c r="B818" s="25">
        <f>LARGE(Data!$J$2:$J$2379,A818)</f>
        <v>560</v>
      </c>
      <c r="C818" s="25">
        <f t="shared" si="12"/>
        <v>760595</v>
      </c>
      <c r="D818" s="28">
        <f>C818/SUM(Data!$J$2:$J$2379)</f>
        <v>0.6237473306456639</v>
      </c>
    </row>
    <row r="819" spans="1:4" x14ac:dyDescent="0.3">
      <c r="A819" s="25">
        <v>818</v>
      </c>
      <c r="B819" s="25">
        <f>LARGE(Data!$J$2:$J$2379,A819)</f>
        <v>560</v>
      </c>
      <c r="C819" s="25">
        <f t="shared" si="12"/>
        <v>761155</v>
      </c>
      <c r="D819" s="28">
        <f>C819/SUM(Data!$J$2:$J$2379)</f>
        <v>0.62420657440240901</v>
      </c>
    </row>
    <row r="820" spans="1:4" x14ac:dyDescent="0.3">
      <c r="A820" s="25">
        <v>819</v>
      </c>
      <c r="B820" s="25">
        <f>LARGE(Data!$J$2:$J$2379,A820)</f>
        <v>560</v>
      </c>
      <c r="C820" s="25">
        <f t="shared" si="12"/>
        <v>761715</v>
      </c>
      <c r="D820" s="28">
        <f>C820/SUM(Data!$J$2:$J$2379)</f>
        <v>0.62466581815915423</v>
      </c>
    </row>
    <row r="821" spans="1:4" x14ac:dyDescent="0.3">
      <c r="A821" s="25">
        <v>820</v>
      </c>
      <c r="B821" s="25">
        <f>LARGE(Data!$J$2:$J$2379,A821)</f>
        <v>560</v>
      </c>
      <c r="C821" s="25">
        <f t="shared" si="12"/>
        <v>762275</v>
      </c>
      <c r="D821" s="28">
        <f>C821/SUM(Data!$J$2:$J$2379)</f>
        <v>0.62512506191589934</v>
      </c>
    </row>
    <row r="822" spans="1:4" x14ac:dyDescent="0.3">
      <c r="A822" s="25">
        <v>821</v>
      </c>
      <c r="B822" s="25">
        <f>LARGE(Data!$J$2:$J$2379,A822)</f>
        <v>560</v>
      </c>
      <c r="C822" s="25">
        <f t="shared" si="12"/>
        <v>762835</v>
      </c>
      <c r="D822" s="28">
        <f>C822/SUM(Data!$J$2:$J$2379)</f>
        <v>0.62558430567264445</v>
      </c>
    </row>
    <row r="823" spans="1:4" x14ac:dyDescent="0.3">
      <c r="A823" s="25">
        <v>822</v>
      </c>
      <c r="B823" s="25">
        <f>LARGE(Data!$J$2:$J$2379,A823)</f>
        <v>560</v>
      </c>
      <c r="C823" s="25">
        <f t="shared" si="12"/>
        <v>763395</v>
      </c>
      <c r="D823" s="28">
        <f>C823/SUM(Data!$J$2:$J$2379)</f>
        <v>0.62604354942938967</v>
      </c>
    </row>
    <row r="824" spans="1:4" x14ac:dyDescent="0.3">
      <c r="A824" s="25">
        <v>823</v>
      </c>
      <c r="B824" s="25">
        <f>LARGE(Data!$J$2:$J$2379,A824)</f>
        <v>560</v>
      </c>
      <c r="C824" s="25">
        <f t="shared" si="12"/>
        <v>763955</v>
      </c>
      <c r="D824" s="28">
        <f>C824/SUM(Data!$J$2:$J$2379)</f>
        <v>0.62650279318613478</v>
      </c>
    </row>
    <row r="825" spans="1:4" x14ac:dyDescent="0.3">
      <c r="A825" s="25">
        <v>824</v>
      </c>
      <c r="B825" s="25">
        <f>LARGE(Data!$J$2:$J$2379,A825)</f>
        <v>560</v>
      </c>
      <c r="C825" s="25">
        <f t="shared" si="12"/>
        <v>764515</v>
      </c>
      <c r="D825" s="28">
        <f>C825/SUM(Data!$J$2:$J$2379)</f>
        <v>0.62696203694287989</v>
      </c>
    </row>
    <row r="826" spans="1:4" x14ac:dyDescent="0.3">
      <c r="A826" s="25">
        <v>825</v>
      </c>
      <c r="B826" s="25">
        <f>LARGE(Data!$J$2:$J$2379,A826)</f>
        <v>560</v>
      </c>
      <c r="C826" s="25">
        <f t="shared" si="12"/>
        <v>765075</v>
      </c>
      <c r="D826" s="28">
        <f>C826/SUM(Data!$J$2:$J$2379)</f>
        <v>0.62742128069962511</v>
      </c>
    </row>
    <row r="827" spans="1:4" x14ac:dyDescent="0.3">
      <c r="A827" s="25">
        <v>826</v>
      </c>
      <c r="B827" s="25">
        <f>LARGE(Data!$J$2:$J$2379,A827)</f>
        <v>560</v>
      </c>
      <c r="C827" s="25">
        <f t="shared" si="12"/>
        <v>765635</v>
      </c>
      <c r="D827" s="28">
        <f>C827/SUM(Data!$J$2:$J$2379)</f>
        <v>0.62788052445637021</v>
      </c>
    </row>
    <row r="828" spans="1:4" x14ac:dyDescent="0.3">
      <c r="A828" s="25">
        <v>827</v>
      </c>
      <c r="B828" s="25">
        <f>LARGE(Data!$J$2:$J$2379,A828)</f>
        <v>560</v>
      </c>
      <c r="C828" s="25">
        <f t="shared" si="12"/>
        <v>766195</v>
      </c>
      <c r="D828" s="28">
        <f>C828/SUM(Data!$J$2:$J$2379)</f>
        <v>0.62833976821311532</v>
      </c>
    </row>
    <row r="829" spans="1:4" x14ac:dyDescent="0.3">
      <c r="A829" s="25">
        <v>828</v>
      </c>
      <c r="B829" s="25">
        <f>LARGE(Data!$J$2:$J$2379,A829)</f>
        <v>560</v>
      </c>
      <c r="C829" s="25">
        <f t="shared" si="12"/>
        <v>766755</v>
      </c>
      <c r="D829" s="28">
        <f>C829/SUM(Data!$J$2:$J$2379)</f>
        <v>0.62879901196986043</v>
      </c>
    </row>
    <row r="830" spans="1:4" x14ac:dyDescent="0.3">
      <c r="A830" s="25">
        <v>829</v>
      </c>
      <c r="B830" s="25">
        <f>LARGE(Data!$J$2:$J$2379,A830)</f>
        <v>560</v>
      </c>
      <c r="C830" s="25">
        <f t="shared" si="12"/>
        <v>767315</v>
      </c>
      <c r="D830" s="28">
        <f>C830/SUM(Data!$J$2:$J$2379)</f>
        <v>0.62925825572660565</v>
      </c>
    </row>
    <row r="831" spans="1:4" x14ac:dyDescent="0.3">
      <c r="A831" s="25">
        <v>830</v>
      </c>
      <c r="B831" s="25">
        <f>LARGE(Data!$J$2:$J$2379,A831)</f>
        <v>560</v>
      </c>
      <c r="C831" s="25">
        <f t="shared" si="12"/>
        <v>767875</v>
      </c>
      <c r="D831" s="28">
        <f>C831/SUM(Data!$J$2:$J$2379)</f>
        <v>0.62971749948335076</v>
      </c>
    </row>
    <row r="832" spans="1:4" x14ac:dyDescent="0.3">
      <c r="A832" s="25">
        <v>831</v>
      </c>
      <c r="B832" s="25">
        <f>LARGE(Data!$J$2:$J$2379,A832)</f>
        <v>560</v>
      </c>
      <c r="C832" s="25">
        <f t="shared" si="12"/>
        <v>768435</v>
      </c>
      <c r="D832" s="28">
        <f>C832/SUM(Data!$J$2:$J$2379)</f>
        <v>0.63017674324009587</v>
      </c>
    </row>
    <row r="833" spans="1:4" x14ac:dyDescent="0.3">
      <c r="A833" s="25">
        <v>832</v>
      </c>
      <c r="B833" s="25">
        <f>LARGE(Data!$J$2:$J$2379,A833)</f>
        <v>560</v>
      </c>
      <c r="C833" s="25">
        <f t="shared" si="12"/>
        <v>768995</v>
      </c>
      <c r="D833" s="28">
        <f>C833/SUM(Data!$J$2:$J$2379)</f>
        <v>0.63063598699684109</v>
      </c>
    </row>
    <row r="834" spans="1:4" x14ac:dyDescent="0.3">
      <c r="A834" s="25">
        <v>833</v>
      </c>
      <c r="B834" s="25">
        <f>LARGE(Data!$J$2:$J$2379,A834)</f>
        <v>560</v>
      </c>
      <c r="C834" s="25">
        <f t="shared" si="12"/>
        <v>769555</v>
      </c>
      <c r="D834" s="28">
        <f>C834/SUM(Data!$J$2:$J$2379)</f>
        <v>0.6310952307535862</v>
      </c>
    </row>
    <row r="835" spans="1:4" x14ac:dyDescent="0.3">
      <c r="A835" s="25">
        <v>834</v>
      </c>
      <c r="B835" s="25">
        <f>LARGE(Data!$J$2:$J$2379,A835)</f>
        <v>540</v>
      </c>
      <c r="C835" s="25">
        <f t="shared" ref="C835:C898" si="13">C834+B835</f>
        <v>770095</v>
      </c>
      <c r="D835" s="28">
        <f>C835/SUM(Data!$J$2:$J$2379)</f>
        <v>0.63153807294759046</v>
      </c>
    </row>
    <row r="836" spans="1:4" x14ac:dyDescent="0.3">
      <c r="A836" s="25">
        <v>835</v>
      </c>
      <c r="B836" s="25">
        <f>LARGE(Data!$J$2:$J$2379,A836)</f>
        <v>540</v>
      </c>
      <c r="C836" s="25">
        <f t="shared" si="13"/>
        <v>770635</v>
      </c>
      <c r="D836" s="28">
        <f>C836/SUM(Data!$J$2:$J$2379)</f>
        <v>0.63198091514159471</v>
      </c>
    </row>
    <row r="837" spans="1:4" x14ac:dyDescent="0.3">
      <c r="A837" s="25">
        <v>836</v>
      </c>
      <c r="B837" s="25">
        <f>LARGE(Data!$J$2:$J$2379,A837)</f>
        <v>540</v>
      </c>
      <c r="C837" s="25">
        <f t="shared" si="13"/>
        <v>771175</v>
      </c>
      <c r="D837" s="28">
        <f>C837/SUM(Data!$J$2:$J$2379)</f>
        <v>0.63242375733559897</v>
      </c>
    </row>
    <row r="838" spans="1:4" x14ac:dyDescent="0.3">
      <c r="A838" s="25">
        <v>837</v>
      </c>
      <c r="B838" s="25">
        <f>LARGE(Data!$J$2:$J$2379,A838)</f>
        <v>540</v>
      </c>
      <c r="C838" s="25">
        <f t="shared" si="13"/>
        <v>771715</v>
      </c>
      <c r="D838" s="28">
        <f>C838/SUM(Data!$J$2:$J$2379)</f>
        <v>0.63286659952960322</v>
      </c>
    </row>
    <row r="839" spans="1:4" x14ac:dyDescent="0.3">
      <c r="A839" s="25">
        <v>838</v>
      </c>
      <c r="B839" s="25">
        <f>LARGE(Data!$J$2:$J$2379,A839)</f>
        <v>540</v>
      </c>
      <c r="C839" s="25">
        <f t="shared" si="13"/>
        <v>772255</v>
      </c>
      <c r="D839" s="28">
        <f>C839/SUM(Data!$J$2:$J$2379)</f>
        <v>0.63330944172360748</v>
      </c>
    </row>
    <row r="840" spans="1:4" x14ac:dyDescent="0.3">
      <c r="A840" s="25">
        <v>839</v>
      </c>
      <c r="B840" s="25">
        <f>LARGE(Data!$J$2:$J$2379,A840)</f>
        <v>540</v>
      </c>
      <c r="C840" s="25">
        <f t="shared" si="13"/>
        <v>772795</v>
      </c>
      <c r="D840" s="28">
        <f>C840/SUM(Data!$J$2:$J$2379)</f>
        <v>0.63375228391761163</v>
      </c>
    </row>
    <row r="841" spans="1:4" x14ac:dyDescent="0.3">
      <c r="A841" s="25">
        <v>840</v>
      </c>
      <c r="B841" s="25">
        <f>LARGE(Data!$J$2:$J$2379,A841)</f>
        <v>540</v>
      </c>
      <c r="C841" s="25">
        <f t="shared" si="13"/>
        <v>773335</v>
      </c>
      <c r="D841" s="28">
        <f>C841/SUM(Data!$J$2:$J$2379)</f>
        <v>0.63419512611161588</v>
      </c>
    </row>
    <row r="842" spans="1:4" x14ac:dyDescent="0.3">
      <c r="A842" s="25">
        <v>841</v>
      </c>
      <c r="B842" s="25">
        <f>LARGE(Data!$J$2:$J$2379,A842)</f>
        <v>520</v>
      </c>
      <c r="C842" s="25">
        <f t="shared" si="13"/>
        <v>773855</v>
      </c>
      <c r="D842" s="28">
        <f>C842/SUM(Data!$J$2:$J$2379)</f>
        <v>0.63462156674287928</v>
      </c>
    </row>
    <row r="843" spans="1:4" x14ac:dyDescent="0.3">
      <c r="A843" s="25">
        <v>842</v>
      </c>
      <c r="B843" s="25">
        <f>LARGE(Data!$J$2:$J$2379,A843)</f>
        <v>520</v>
      </c>
      <c r="C843" s="25">
        <f t="shared" si="13"/>
        <v>774375</v>
      </c>
      <c r="D843" s="28">
        <f>C843/SUM(Data!$J$2:$J$2379)</f>
        <v>0.63504800737414258</v>
      </c>
    </row>
    <row r="844" spans="1:4" x14ac:dyDescent="0.3">
      <c r="A844" s="25">
        <v>843</v>
      </c>
      <c r="B844" s="25">
        <f>LARGE(Data!$J$2:$J$2379,A844)</f>
        <v>520</v>
      </c>
      <c r="C844" s="25">
        <f t="shared" si="13"/>
        <v>774895</v>
      </c>
      <c r="D844" s="28">
        <f>C844/SUM(Data!$J$2:$J$2379)</f>
        <v>0.63547444800540598</v>
      </c>
    </row>
    <row r="845" spans="1:4" x14ac:dyDescent="0.3">
      <c r="A845" s="25">
        <v>844</v>
      </c>
      <c r="B845" s="25">
        <f>LARGE(Data!$J$2:$J$2379,A845)</f>
        <v>520</v>
      </c>
      <c r="C845" s="25">
        <f t="shared" si="13"/>
        <v>775415</v>
      </c>
      <c r="D845" s="28">
        <f>C845/SUM(Data!$J$2:$J$2379)</f>
        <v>0.63590088863666927</v>
      </c>
    </row>
    <row r="846" spans="1:4" x14ac:dyDescent="0.3">
      <c r="A846" s="25">
        <v>845</v>
      </c>
      <c r="B846" s="25">
        <f>LARGE(Data!$J$2:$J$2379,A846)</f>
        <v>520</v>
      </c>
      <c r="C846" s="25">
        <f t="shared" si="13"/>
        <v>775935</v>
      </c>
      <c r="D846" s="28">
        <f>C846/SUM(Data!$J$2:$J$2379)</f>
        <v>0.63632732926793267</v>
      </c>
    </row>
    <row r="847" spans="1:4" x14ac:dyDescent="0.3">
      <c r="A847" s="25">
        <v>846</v>
      </c>
      <c r="B847" s="25">
        <f>LARGE(Data!$J$2:$J$2379,A847)</f>
        <v>520</v>
      </c>
      <c r="C847" s="25">
        <f t="shared" si="13"/>
        <v>776455</v>
      </c>
      <c r="D847" s="28">
        <f>C847/SUM(Data!$J$2:$J$2379)</f>
        <v>0.63675376989919596</v>
      </c>
    </row>
    <row r="848" spans="1:4" x14ac:dyDescent="0.3">
      <c r="A848" s="25">
        <v>847</v>
      </c>
      <c r="B848" s="25">
        <f>LARGE(Data!$J$2:$J$2379,A848)</f>
        <v>520</v>
      </c>
      <c r="C848" s="25">
        <f t="shared" si="13"/>
        <v>776975</v>
      </c>
      <c r="D848" s="28">
        <f>C848/SUM(Data!$J$2:$J$2379)</f>
        <v>0.63718021053045937</v>
      </c>
    </row>
    <row r="849" spans="1:4" x14ac:dyDescent="0.3">
      <c r="A849" s="25">
        <v>848</v>
      </c>
      <c r="B849" s="25">
        <f>LARGE(Data!$J$2:$J$2379,A849)</f>
        <v>520</v>
      </c>
      <c r="C849" s="25">
        <f t="shared" si="13"/>
        <v>777495</v>
      </c>
      <c r="D849" s="28">
        <f>C849/SUM(Data!$J$2:$J$2379)</f>
        <v>0.63760665116172266</v>
      </c>
    </row>
    <row r="850" spans="1:4" x14ac:dyDescent="0.3">
      <c r="A850" s="25">
        <v>849</v>
      </c>
      <c r="B850" s="25">
        <f>LARGE(Data!$J$2:$J$2379,A850)</f>
        <v>520</v>
      </c>
      <c r="C850" s="25">
        <f t="shared" si="13"/>
        <v>778015</v>
      </c>
      <c r="D850" s="28">
        <f>C850/SUM(Data!$J$2:$J$2379)</f>
        <v>0.63803309179298606</v>
      </c>
    </row>
    <row r="851" spans="1:4" x14ac:dyDescent="0.3">
      <c r="A851" s="25">
        <v>850</v>
      </c>
      <c r="B851" s="25">
        <f>LARGE(Data!$J$2:$J$2379,A851)</f>
        <v>520</v>
      </c>
      <c r="C851" s="25">
        <f t="shared" si="13"/>
        <v>778535</v>
      </c>
      <c r="D851" s="28">
        <f>C851/SUM(Data!$J$2:$J$2379)</f>
        <v>0.63845953242424935</v>
      </c>
    </row>
    <row r="852" spans="1:4" x14ac:dyDescent="0.3">
      <c r="A852" s="25">
        <v>851</v>
      </c>
      <c r="B852" s="25">
        <f>LARGE(Data!$J$2:$J$2379,A852)</f>
        <v>520</v>
      </c>
      <c r="C852" s="25">
        <f t="shared" si="13"/>
        <v>779055</v>
      </c>
      <c r="D852" s="28">
        <f>C852/SUM(Data!$J$2:$J$2379)</f>
        <v>0.63888597305551276</v>
      </c>
    </row>
    <row r="853" spans="1:4" x14ac:dyDescent="0.3">
      <c r="A853" s="25">
        <v>852</v>
      </c>
      <c r="B853" s="25">
        <f>LARGE(Data!$J$2:$J$2379,A853)</f>
        <v>520</v>
      </c>
      <c r="C853" s="25">
        <f t="shared" si="13"/>
        <v>779575</v>
      </c>
      <c r="D853" s="28">
        <f>C853/SUM(Data!$J$2:$J$2379)</f>
        <v>0.63931241368677605</v>
      </c>
    </row>
    <row r="854" spans="1:4" x14ac:dyDescent="0.3">
      <c r="A854" s="25">
        <v>853</v>
      </c>
      <c r="B854" s="25">
        <f>LARGE(Data!$J$2:$J$2379,A854)</f>
        <v>520</v>
      </c>
      <c r="C854" s="25">
        <f t="shared" si="13"/>
        <v>780095</v>
      </c>
      <c r="D854" s="28">
        <f>C854/SUM(Data!$J$2:$J$2379)</f>
        <v>0.63973885431803945</v>
      </c>
    </row>
    <row r="855" spans="1:4" x14ac:dyDescent="0.3">
      <c r="A855" s="25">
        <v>854</v>
      </c>
      <c r="B855" s="25">
        <f>LARGE(Data!$J$2:$J$2379,A855)</f>
        <v>520</v>
      </c>
      <c r="C855" s="25">
        <f t="shared" si="13"/>
        <v>780615</v>
      </c>
      <c r="D855" s="28">
        <f>C855/SUM(Data!$J$2:$J$2379)</f>
        <v>0.64016529494930274</v>
      </c>
    </row>
    <row r="856" spans="1:4" x14ac:dyDescent="0.3">
      <c r="A856" s="25">
        <v>855</v>
      </c>
      <c r="B856" s="25">
        <f>LARGE(Data!$J$2:$J$2379,A856)</f>
        <v>520</v>
      </c>
      <c r="C856" s="25">
        <f t="shared" si="13"/>
        <v>781135</v>
      </c>
      <c r="D856" s="28">
        <f>C856/SUM(Data!$J$2:$J$2379)</f>
        <v>0.64059173558056615</v>
      </c>
    </row>
    <row r="857" spans="1:4" x14ac:dyDescent="0.3">
      <c r="A857" s="25">
        <v>856</v>
      </c>
      <c r="B857" s="25">
        <f>LARGE(Data!$J$2:$J$2379,A857)</f>
        <v>520</v>
      </c>
      <c r="C857" s="25">
        <f t="shared" si="13"/>
        <v>781655</v>
      </c>
      <c r="D857" s="28">
        <f>C857/SUM(Data!$J$2:$J$2379)</f>
        <v>0.64101817621182944</v>
      </c>
    </row>
    <row r="858" spans="1:4" x14ac:dyDescent="0.3">
      <c r="A858" s="25">
        <v>857</v>
      </c>
      <c r="B858" s="25">
        <f>LARGE(Data!$J$2:$J$2379,A858)</f>
        <v>520</v>
      </c>
      <c r="C858" s="25">
        <f t="shared" si="13"/>
        <v>782175</v>
      </c>
      <c r="D858" s="28">
        <f>C858/SUM(Data!$J$2:$J$2379)</f>
        <v>0.64144461684309284</v>
      </c>
    </row>
    <row r="859" spans="1:4" x14ac:dyDescent="0.3">
      <c r="A859" s="25">
        <v>858</v>
      </c>
      <c r="B859" s="25">
        <f>LARGE(Data!$J$2:$J$2379,A859)</f>
        <v>520</v>
      </c>
      <c r="C859" s="25">
        <f t="shared" si="13"/>
        <v>782695</v>
      </c>
      <c r="D859" s="28">
        <f>C859/SUM(Data!$J$2:$J$2379)</f>
        <v>0.64187105747435613</v>
      </c>
    </row>
    <row r="860" spans="1:4" x14ac:dyDescent="0.3">
      <c r="A860" s="25">
        <v>859</v>
      </c>
      <c r="B860" s="25">
        <f>LARGE(Data!$J$2:$J$2379,A860)</f>
        <v>520</v>
      </c>
      <c r="C860" s="25">
        <f t="shared" si="13"/>
        <v>783215</v>
      </c>
      <c r="D860" s="28">
        <f>C860/SUM(Data!$J$2:$J$2379)</f>
        <v>0.64229749810561954</v>
      </c>
    </row>
    <row r="861" spans="1:4" x14ac:dyDescent="0.3">
      <c r="A861" s="25">
        <v>860</v>
      </c>
      <c r="B861" s="25">
        <f>LARGE(Data!$J$2:$J$2379,A861)</f>
        <v>520</v>
      </c>
      <c r="C861" s="25">
        <f t="shared" si="13"/>
        <v>783735</v>
      </c>
      <c r="D861" s="28">
        <f>C861/SUM(Data!$J$2:$J$2379)</f>
        <v>0.64272393873688283</v>
      </c>
    </row>
    <row r="862" spans="1:4" x14ac:dyDescent="0.3">
      <c r="A862" s="25">
        <v>861</v>
      </c>
      <c r="B862" s="25">
        <f>LARGE(Data!$J$2:$J$2379,A862)</f>
        <v>520</v>
      </c>
      <c r="C862" s="25">
        <f t="shared" si="13"/>
        <v>784255</v>
      </c>
      <c r="D862" s="28">
        <f>C862/SUM(Data!$J$2:$J$2379)</f>
        <v>0.64315037936814623</v>
      </c>
    </row>
    <row r="863" spans="1:4" x14ac:dyDescent="0.3">
      <c r="A863" s="25">
        <v>862</v>
      </c>
      <c r="B863" s="25">
        <f>LARGE(Data!$J$2:$J$2379,A863)</f>
        <v>520</v>
      </c>
      <c r="C863" s="25">
        <f t="shared" si="13"/>
        <v>784775</v>
      </c>
      <c r="D863" s="28">
        <f>C863/SUM(Data!$J$2:$J$2379)</f>
        <v>0.64357681999940952</v>
      </c>
    </row>
    <row r="864" spans="1:4" x14ac:dyDescent="0.3">
      <c r="A864" s="25">
        <v>863</v>
      </c>
      <c r="B864" s="25">
        <f>LARGE(Data!$J$2:$J$2379,A864)</f>
        <v>520</v>
      </c>
      <c r="C864" s="25">
        <f t="shared" si="13"/>
        <v>785295</v>
      </c>
      <c r="D864" s="28">
        <f>C864/SUM(Data!$J$2:$J$2379)</f>
        <v>0.64400326063067292</v>
      </c>
    </row>
    <row r="865" spans="1:4" x14ac:dyDescent="0.3">
      <c r="A865" s="25">
        <v>864</v>
      </c>
      <c r="B865" s="25">
        <f>LARGE(Data!$J$2:$J$2379,A865)</f>
        <v>520</v>
      </c>
      <c r="C865" s="25">
        <f t="shared" si="13"/>
        <v>785815</v>
      </c>
      <c r="D865" s="28">
        <f>C865/SUM(Data!$J$2:$J$2379)</f>
        <v>0.64442970126193622</v>
      </c>
    </row>
    <row r="866" spans="1:4" x14ac:dyDescent="0.3">
      <c r="A866" s="25">
        <v>865</v>
      </c>
      <c r="B866" s="25">
        <f>LARGE(Data!$J$2:$J$2379,A866)</f>
        <v>520</v>
      </c>
      <c r="C866" s="25">
        <f t="shared" si="13"/>
        <v>786335</v>
      </c>
      <c r="D866" s="28">
        <f>C866/SUM(Data!$J$2:$J$2379)</f>
        <v>0.64485614189319962</v>
      </c>
    </row>
    <row r="867" spans="1:4" x14ac:dyDescent="0.3">
      <c r="A867" s="25">
        <v>866</v>
      </c>
      <c r="B867" s="25">
        <f>LARGE(Data!$J$2:$J$2379,A867)</f>
        <v>520</v>
      </c>
      <c r="C867" s="25">
        <f t="shared" si="13"/>
        <v>786855</v>
      </c>
      <c r="D867" s="28">
        <f>C867/SUM(Data!$J$2:$J$2379)</f>
        <v>0.64528258252446291</v>
      </c>
    </row>
    <row r="868" spans="1:4" x14ac:dyDescent="0.3">
      <c r="A868" s="25">
        <v>867</v>
      </c>
      <c r="B868" s="25">
        <f>LARGE(Data!$J$2:$J$2379,A868)</f>
        <v>520</v>
      </c>
      <c r="C868" s="25">
        <f t="shared" si="13"/>
        <v>787375</v>
      </c>
      <c r="D868" s="28">
        <f>C868/SUM(Data!$J$2:$J$2379)</f>
        <v>0.64570902315572631</v>
      </c>
    </row>
    <row r="869" spans="1:4" x14ac:dyDescent="0.3">
      <c r="A869" s="25">
        <v>868</v>
      </c>
      <c r="B869" s="25">
        <f>LARGE(Data!$J$2:$J$2379,A869)</f>
        <v>520</v>
      </c>
      <c r="C869" s="25">
        <f t="shared" si="13"/>
        <v>787895</v>
      </c>
      <c r="D869" s="28">
        <f>C869/SUM(Data!$J$2:$J$2379)</f>
        <v>0.64613546378698961</v>
      </c>
    </row>
    <row r="870" spans="1:4" x14ac:dyDescent="0.3">
      <c r="A870" s="25">
        <v>869</v>
      </c>
      <c r="B870" s="25">
        <f>LARGE(Data!$J$2:$J$2379,A870)</f>
        <v>520</v>
      </c>
      <c r="C870" s="25">
        <f t="shared" si="13"/>
        <v>788415</v>
      </c>
      <c r="D870" s="28">
        <f>C870/SUM(Data!$J$2:$J$2379)</f>
        <v>0.64656190441825301</v>
      </c>
    </row>
    <row r="871" spans="1:4" x14ac:dyDescent="0.3">
      <c r="A871" s="25">
        <v>870</v>
      </c>
      <c r="B871" s="25">
        <f>LARGE(Data!$J$2:$J$2379,A871)</f>
        <v>520</v>
      </c>
      <c r="C871" s="25">
        <f t="shared" si="13"/>
        <v>788935</v>
      </c>
      <c r="D871" s="28">
        <f>C871/SUM(Data!$J$2:$J$2379)</f>
        <v>0.6469883450495163</v>
      </c>
    </row>
    <row r="872" spans="1:4" x14ac:dyDescent="0.3">
      <c r="A872" s="25">
        <v>871</v>
      </c>
      <c r="B872" s="25">
        <f>LARGE(Data!$J$2:$J$2379,A872)</f>
        <v>520</v>
      </c>
      <c r="C872" s="25">
        <f t="shared" si="13"/>
        <v>789455</v>
      </c>
      <c r="D872" s="28">
        <f>C872/SUM(Data!$J$2:$J$2379)</f>
        <v>0.6474147856807797</v>
      </c>
    </row>
    <row r="873" spans="1:4" x14ac:dyDescent="0.3">
      <c r="A873" s="25">
        <v>872</v>
      </c>
      <c r="B873" s="25">
        <f>LARGE(Data!$J$2:$J$2379,A873)</f>
        <v>520</v>
      </c>
      <c r="C873" s="25">
        <f t="shared" si="13"/>
        <v>789975</v>
      </c>
      <c r="D873" s="28">
        <f>C873/SUM(Data!$J$2:$J$2379)</f>
        <v>0.64784122631204299</v>
      </c>
    </row>
    <row r="874" spans="1:4" x14ac:dyDescent="0.3">
      <c r="A874" s="25">
        <v>873</v>
      </c>
      <c r="B874" s="25">
        <f>LARGE(Data!$J$2:$J$2379,A874)</f>
        <v>520</v>
      </c>
      <c r="C874" s="25">
        <f t="shared" si="13"/>
        <v>790495</v>
      </c>
      <c r="D874" s="28">
        <f>C874/SUM(Data!$J$2:$J$2379)</f>
        <v>0.6482676669433064</v>
      </c>
    </row>
    <row r="875" spans="1:4" x14ac:dyDescent="0.3">
      <c r="A875" s="25">
        <v>874</v>
      </c>
      <c r="B875" s="25">
        <f>LARGE(Data!$J$2:$J$2379,A875)</f>
        <v>520</v>
      </c>
      <c r="C875" s="25">
        <f t="shared" si="13"/>
        <v>791015</v>
      </c>
      <c r="D875" s="28">
        <f>C875/SUM(Data!$J$2:$J$2379)</f>
        <v>0.64869410757456969</v>
      </c>
    </row>
    <row r="876" spans="1:4" x14ac:dyDescent="0.3">
      <c r="A876" s="25">
        <v>875</v>
      </c>
      <c r="B876" s="25">
        <f>LARGE(Data!$J$2:$J$2379,A876)</f>
        <v>520</v>
      </c>
      <c r="C876" s="25">
        <f t="shared" si="13"/>
        <v>791535</v>
      </c>
      <c r="D876" s="28">
        <f>C876/SUM(Data!$J$2:$J$2379)</f>
        <v>0.64912054820583309</v>
      </c>
    </row>
    <row r="877" spans="1:4" x14ac:dyDescent="0.3">
      <c r="A877" s="25">
        <v>876</v>
      </c>
      <c r="B877" s="25">
        <f>LARGE(Data!$J$2:$J$2379,A877)</f>
        <v>520</v>
      </c>
      <c r="C877" s="25">
        <f t="shared" si="13"/>
        <v>792055</v>
      </c>
      <c r="D877" s="28">
        <f>C877/SUM(Data!$J$2:$J$2379)</f>
        <v>0.64954698883709638</v>
      </c>
    </row>
    <row r="878" spans="1:4" x14ac:dyDescent="0.3">
      <c r="A878" s="25">
        <v>877</v>
      </c>
      <c r="B878" s="25">
        <f>LARGE(Data!$J$2:$J$2379,A878)</f>
        <v>520</v>
      </c>
      <c r="C878" s="25">
        <f t="shared" si="13"/>
        <v>792575</v>
      </c>
      <c r="D878" s="28">
        <f>C878/SUM(Data!$J$2:$J$2379)</f>
        <v>0.64997342946835979</v>
      </c>
    </row>
    <row r="879" spans="1:4" x14ac:dyDescent="0.3">
      <c r="A879" s="25">
        <v>878</v>
      </c>
      <c r="B879" s="25">
        <f>LARGE(Data!$J$2:$J$2379,A879)</f>
        <v>520</v>
      </c>
      <c r="C879" s="25">
        <f t="shared" si="13"/>
        <v>793095</v>
      </c>
      <c r="D879" s="28">
        <f>C879/SUM(Data!$J$2:$J$2379)</f>
        <v>0.65039987009962308</v>
      </c>
    </row>
    <row r="880" spans="1:4" x14ac:dyDescent="0.3">
      <c r="A880" s="25">
        <v>879</v>
      </c>
      <c r="B880" s="25">
        <f>LARGE(Data!$J$2:$J$2379,A880)</f>
        <v>520</v>
      </c>
      <c r="C880" s="25">
        <f t="shared" si="13"/>
        <v>793615</v>
      </c>
      <c r="D880" s="28">
        <f>C880/SUM(Data!$J$2:$J$2379)</f>
        <v>0.65082631073088648</v>
      </c>
    </row>
    <row r="881" spans="1:4" x14ac:dyDescent="0.3">
      <c r="A881" s="25">
        <v>880</v>
      </c>
      <c r="B881" s="25">
        <f>LARGE(Data!$J$2:$J$2379,A881)</f>
        <v>520</v>
      </c>
      <c r="C881" s="25">
        <f t="shared" si="13"/>
        <v>794135</v>
      </c>
      <c r="D881" s="28">
        <f>C881/SUM(Data!$J$2:$J$2379)</f>
        <v>0.65125275136214977</v>
      </c>
    </row>
    <row r="882" spans="1:4" x14ac:dyDescent="0.3">
      <c r="A882" s="25">
        <v>881</v>
      </c>
      <c r="B882" s="25">
        <f>LARGE(Data!$J$2:$J$2379,A882)</f>
        <v>520</v>
      </c>
      <c r="C882" s="25">
        <f t="shared" si="13"/>
        <v>794655</v>
      </c>
      <c r="D882" s="28">
        <f>C882/SUM(Data!$J$2:$J$2379)</f>
        <v>0.65167919199341318</v>
      </c>
    </row>
    <row r="883" spans="1:4" x14ac:dyDescent="0.3">
      <c r="A883" s="25">
        <v>882</v>
      </c>
      <c r="B883" s="25">
        <f>LARGE(Data!$J$2:$J$2379,A883)</f>
        <v>520</v>
      </c>
      <c r="C883" s="25">
        <f t="shared" si="13"/>
        <v>795175</v>
      </c>
      <c r="D883" s="28">
        <f>C883/SUM(Data!$J$2:$J$2379)</f>
        <v>0.65210563262467647</v>
      </c>
    </row>
    <row r="884" spans="1:4" x14ac:dyDescent="0.3">
      <c r="A884" s="25">
        <v>883</v>
      </c>
      <c r="B884" s="25">
        <f>LARGE(Data!$J$2:$J$2379,A884)</f>
        <v>520</v>
      </c>
      <c r="C884" s="25">
        <f t="shared" si="13"/>
        <v>795695</v>
      </c>
      <c r="D884" s="28">
        <f>C884/SUM(Data!$J$2:$J$2379)</f>
        <v>0.65253207325593987</v>
      </c>
    </row>
    <row r="885" spans="1:4" x14ac:dyDescent="0.3">
      <c r="A885" s="25">
        <v>884</v>
      </c>
      <c r="B885" s="25">
        <f>LARGE(Data!$J$2:$J$2379,A885)</f>
        <v>520</v>
      </c>
      <c r="C885" s="25">
        <f t="shared" si="13"/>
        <v>796215</v>
      </c>
      <c r="D885" s="28">
        <f>C885/SUM(Data!$J$2:$J$2379)</f>
        <v>0.65295851388720316</v>
      </c>
    </row>
    <row r="886" spans="1:4" x14ac:dyDescent="0.3">
      <c r="A886" s="25">
        <v>885</v>
      </c>
      <c r="B886" s="25">
        <f>LARGE(Data!$J$2:$J$2379,A886)</f>
        <v>520</v>
      </c>
      <c r="C886" s="25">
        <f t="shared" si="13"/>
        <v>796735</v>
      </c>
      <c r="D886" s="28">
        <f>C886/SUM(Data!$J$2:$J$2379)</f>
        <v>0.65338495451846657</v>
      </c>
    </row>
    <row r="887" spans="1:4" x14ac:dyDescent="0.3">
      <c r="A887" s="25">
        <v>886</v>
      </c>
      <c r="B887" s="25">
        <f>LARGE(Data!$J$2:$J$2379,A887)</f>
        <v>520</v>
      </c>
      <c r="C887" s="25">
        <f t="shared" si="13"/>
        <v>797255</v>
      </c>
      <c r="D887" s="28">
        <f>C887/SUM(Data!$J$2:$J$2379)</f>
        <v>0.65381139514972986</v>
      </c>
    </row>
    <row r="888" spans="1:4" x14ac:dyDescent="0.3">
      <c r="A888" s="25">
        <v>887</v>
      </c>
      <c r="B888" s="25">
        <f>LARGE(Data!$J$2:$J$2379,A888)</f>
        <v>520</v>
      </c>
      <c r="C888" s="25">
        <f t="shared" si="13"/>
        <v>797775</v>
      </c>
      <c r="D888" s="28">
        <f>C888/SUM(Data!$J$2:$J$2379)</f>
        <v>0.65423783578099326</v>
      </c>
    </row>
    <row r="889" spans="1:4" x14ac:dyDescent="0.3">
      <c r="A889" s="25">
        <v>888</v>
      </c>
      <c r="B889" s="25">
        <f>LARGE(Data!$J$2:$J$2379,A889)</f>
        <v>520</v>
      </c>
      <c r="C889" s="25">
        <f t="shared" si="13"/>
        <v>798295</v>
      </c>
      <c r="D889" s="28">
        <f>C889/SUM(Data!$J$2:$J$2379)</f>
        <v>0.65466427641225655</v>
      </c>
    </row>
    <row r="890" spans="1:4" x14ac:dyDescent="0.3">
      <c r="A890" s="25">
        <v>889</v>
      </c>
      <c r="B890" s="25">
        <f>LARGE(Data!$J$2:$J$2379,A890)</f>
        <v>520</v>
      </c>
      <c r="C890" s="25">
        <f t="shared" si="13"/>
        <v>798815</v>
      </c>
      <c r="D890" s="28">
        <f>C890/SUM(Data!$J$2:$J$2379)</f>
        <v>0.65509071704351995</v>
      </c>
    </row>
    <row r="891" spans="1:4" x14ac:dyDescent="0.3">
      <c r="A891" s="25">
        <v>890</v>
      </c>
      <c r="B891" s="25">
        <f>LARGE(Data!$J$2:$J$2379,A891)</f>
        <v>520</v>
      </c>
      <c r="C891" s="25">
        <f t="shared" si="13"/>
        <v>799335</v>
      </c>
      <c r="D891" s="28">
        <f>C891/SUM(Data!$J$2:$J$2379)</f>
        <v>0.65551715767478325</v>
      </c>
    </row>
    <row r="892" spans="1:4" x14ac:dyDescent="0.3">
      <c r="A892" s="25">
        <v>891</v>
      </c>
      <c r="B892" s="25">
        <f>LARGE(Data!$J$2:$J$2379,A892)</f>
        <v>520</v>
      </c>
      <c r="C892" s="25">
        <f t="shared" si="13"/>
        <v>799855</v>
      </c>
      <c r="D892" s="28">
        <f>C892/SUM(Data!$J$2:$J$2379)</f>
        <v>0.65594359830604665</v>
      </c>
    </row>
    <row r="893" spans="1:4" x14ac:dyDescent="0.3">
      <c r="A893" s="25">
        <v>892</v>
      </c>
      <c r="B893" s="25">
        <f>LARGE(Data!$J$2:$J$2379,A893)</f>
        <v>520</v>
      </c>
      <c r="C893" s="25">
        <f t="shared" si="13"/>
        <v>800375</v>
      </c>
      <c r="D893" s="28">
        <f>C893/SUM(Data!$J$2:$J$2379)</f>
        <v>0.65637003893730994</v>
      </c>
    </row>
    <row r="894" spans="1:4" x14ac:dyDescent="0.3">
      <c r="A894" s="25">
        <v>893</v>
      </c>
      <c r="B894" s="25">
        <f>LARGE(Data!$J$2:$J$2379,A894)</f>
        <v>520</v>
      </c>
      <c r="C894" s="25">
        <f t="shared" si="13"/>
        <v>800895</v>
      </c>
      <c r="D894" s="28">
        <f>C894/SUM(Data!$J$2:$J$2379)</f>
        <v>0.65679647956857334</v>
      </c>
    </row>
    <row r="895" spans="1:4" x14ac:dyDescent="0.3">
      <c r="A895" s="25">
        <v>894</v>
      </c>
      <c r="B895" s="25">
        <f>LARGE(Data!$J$2:$J$2379,A895)</f>
        <v>520</v>
      </c>
      <c r="C895" s="25">
        <f t="shared" si="13"/>
        <v>801415</v>
      </c>
      <c r="D895" s="28">
        <f>C895/SUM(Data!$J$2:$J$2379)</f>
        <v>0.65722292019983664</v>
      </c>
    </row>
    <row r="896" spans="1:4" x14ac:dyDescent="0.3">
      <c r="A896" s="25">
        <v>895</v>
      </c>
      <c r="B896" s="25">
        <f>LARGE(Data!$J$2:$J$2379,A896)</f>
        <v>520</v>
      </c>
      <c r="C896" s="25">
        <f t="shared" si="13"/>
        <v>801935</v>
      </c>
      <c r="D896" s="28">
        <f>C896/SUM(Data!$J$2:$J$2379)</f>
        <v>0.65764936083110004</v>
      </c>
    </row>
    <row r="897" spans="1:4" x14ac:dyDescent="0.3">
      <c r="A897" s="25">
        <v>896</v>
      </c>
      <c r="B897" s="25">
        <f>LARGE(Data!$J$2:$J$2379,A897)</f>
        <v>520</v>
      </c>
      <c r="C897" s="25">
        <f t="shared" si="13"/>
        <v>802455</v>
      </c>
      <c r="D897" s="28">
        <f>C897/SUM(Data!$J$2:$J$2379)</f>
        <v>0.65807580146236333</v>
      </c>
    </row>
    <row r="898" spans="1:4" x14ac:dyDescent="0.3">
      <c r="A898" s="25">
        <v>897</v>
      </c>
      <c r="B898" s="25">
        <f>LARGE(Data!$J$2:$J$2379,A898)</f>
        <v>520</v>
      </c>
      <c r="C898" s="25">
        <f t="shared" si="13"/>
        <v>802975</v>
      </c>
      <c r="D898" s="28">
        <f>C898/SUM(Data!$J$2:$J$2379)</f>
        <v>0.65850224209362673</v>
      </c>
    </row>
    <row r="899" spans="1:4" x14ac:dyDescent="0.3">
      <c r="A899" s="25">
        <v>898</v>
      </c>
      <c r="B899" s="25">
        <f>LARGE(Data!$J$2:$J$2379,A899)</f>
        <v>520</v>
      </c>
      <c r="C899" s="25">
        <f t="shared" ref="C899:C962" si="14">C898+B899</f>
        <v>803495</v>
      </c>
      <c r="D899" s="28">
        <f>C899/SUM(Data!$J$2:$J$2379)</f>
        <v>0.65892868272489002</v>
      </c>
    </row>
    <row r="900" spans="1:4" x14ac:dyDescent="0.3">
      <c r="A900" s="25">
        <v>899</v>
      </c>
      <c r="B900" s="25">
        <f>LARGE(Data!$J$2:$J$2379,A900)</f>
        <v>520</v>
      </c>
      <c r="C900" s="25">
        <f t="shared" si="14"/>
        <v>804015</v>
      </c>
      <c r="D900" s="28">
        <f>C900/SUM(Data!$J$2:$J$2379)</f>
        <v>0.65935512335615343</v>
      </c>
    </row>
    <row r="901" spans="1:4" x14ac:dyDescent="0.3">
      <c r="A901" s="25">
        <v>900</v>
      </c>
      <c r="B901" s="25">
        <f>LARGE(Data!$J$2:$J$2379,A901)</f>
        <v>520</v>
      </c>
      <c r="C901" s="25">
        <f t="shared" si="14"/>
        <v>804535</v>
      </c>
      <c r="D901" s="28">
        <f>C901/SUM(Data!$J$2:$J$2379)</f>
        <v>0.65978156398741672</v>
      </c>
    </row>
    <row r="902" spans="1:4" x14ac:dyDescent="0.3">
      <c r="A902" s="25">
        <v>901</v>
      </c>
      <c r="B902" s="25">
        <f>LARGE(Data!$J$2:$J$2379,A902)</f>
        <v>520</v>
      </c>
      <c r="C902" s="25">
        <f t="shared" si="14"/>
        <v>805055</v>
      </c>
      <c r="D902" s="28">
        <f>C902/SUM(Data!$J$2:$J$2379)</f>
        <v>0.66020800461868012</v>
      </c>
    </row>
    <row r="903" spans="1:4" x14ac:dyDescent="0.3">
      <c r="A903" s="25">
        <v>902</v>
      </c>
      <c r="B903" s="25">
        <f>LARGE(Data!$J$2:$J$2379,A903)</f>
        <v>520</v>
      </c>
      <c r="C903" s="25">
        <f t="shared" si="14"/>
        <v>805575</v>
      </c>
      <c r="D903" s="28">
        <f>C903/SUM(Data!$J$2:$J$2379)</f>
        <v>0.66063444524994341</v>
      </c>
    </row>
    <row r="904" spans="1:4" x14ac:dyDescent="0.3">
      <c r="A904" s="25">
        <v>903</v>
      </c>
      <c r="B904" s="25">
        <f>LARGE(Data!$J$2:$J$2379,A904)</f>
        <v>520</v>
      </c>
      <c r="C904" s="25">
        <f t="shared" si="14"/>
        <v>806095</v>
      </c>
      <c r="D904" s="28">
        <f>C904/SUM(Data!$J$2:$J$2379)</f>
        <v>0.66106088588120682</v>
      </c>
    </row>
    <row r="905" spans="1:4" x14ac:dyDescent="0.3">
      <c r="A905" s="25">
        <v>904</v>
      </c>
      <c r="B905" s="25">
        <f>LARGE(Data!$J$2:$J$2379,A905)</f>
        <v>520</v>
      </c>
      <c r="C905" s="25">
        <f t="shared" si="14"/>
        <v>806615</v>
      </c>
      <c r="D905" s="28">
        <f>C905/SUM(Data!$J$2:$J$2379)</f>
        <v>0.66148732651247011</v>
      </c>
    </row>
    <row r="906" spans="1:4" x14ac:dyDescent="0.3">
      <c r="A906" s="25">
        <v>905</v>
      </c>
      <c r="B906" s="25">
        <f>LARGE(Data!$J$2:$J$2379,A906)</f>
        <v>520</v>
      </c>
      <c r="C906" s="25">
        <f t="shared" si="14"/>
        <v>807135</v>
      </c>
      <c r="D906" s="28">
        <f>C906/SUM(Data!$J$2:$J$2379)</f>
        <v>0.6619137671437334</v>
      </c>
    </row>
    <row r="907" spans="1:4" x14ac:dyDescent="0.3">
      <c r="A907" s="25">
        <v>906</v>
      </c>
      <c r="B907" s="25">
        <f>LARGE(Data!$J$2:$J$2379,A907)</f>
        <v>520</v>
      </c>
      <c r="C907" s="25">
        <f t="shared" si="14"/>
        <v>807655</v>
      </c>
      <c r="D907" s="28">
        <f>C907/SUM(Data!$J$2:$J$2379)</f>
        <v>0.6623402077749968</v>
      </c>
    </row>
    <row r="908" spans="1:4" x14ac:dyDescent="0.3">
      <c r="A908" s="25">
        <v>907</v>
      </c>
      <c r="B908" s="25">
        <f>LARGE(Data!$J$2:$J$2379,A908)</f>
        <v>520</v>
      </c>
      <c r="C908" s="25">
        <f t="shared" si="14"/>
        <v>808175</v>
      </c>
      <c r="D908" s="28">
        <f>C908/SUM(Data!$J$2:$J$2379)</f>
        <v>0.66276664840626009</v>
      </c>
    </row>
    <row r="909" spans="1:4" x14ac:dyDescent="0.3">
      <c r="A909" s="25">
        <v>908</v>
      </c>
      <c r="B909" s="25">
        <f>LARGE(Data!$J$2:$J$2379,A909)</f>
        <v>520</v>
      </c>
      <c r="C909" s="25">
        <f t="shared" si="14"/>
        <v>808695</v>
      </c>
      <c r="D909" s="28">
        <f>C909/SUM(Data!$J$2:$J$2379)</f>
        <v>0.6631930890375235</v>
      </c>
    </row>
    <row r="910" spans="1:4" x14ac:dyDescent="0.3">
      <c r="A910" s="25">
        <v>909</v>
      </c>
      <c r="B910" s="25">
        <f>LARGE(Data!$J$2:$J$2379,A910)</f>
        <v>520</v>
      </c>
      <c r="C910" s="25">
        <f t="shared" si="14"/>
        <v>809215</v>
      </c>
      <c r="D910" s="28">
        <f>C910/SUM(Data!$J$2:$J$2379)</f>
        <v>0.66361952966878679</v>
      </c>
    </row>
    <row r="911" spans="1:4" x14ac:dyDescent="0.3">
      <c r="A911" s="25">
        <v>910</v>
      </c>
      <c r="B911" s="25">
        <f>LARGE(Data!$J$2:$J$2379,A911)</f>
        <v>520</v>
      </c>
      <c r="C911" s="25">
        <f t="shared" si="14"/>
        <v>809735</v>
      </c>
      <c r="D911" s="28">
        <f>C911/SUM(Data!$J$2:$J$2379)</f>
        <v>0.66404597030005019</v>
      </c>
    </row>
    <row r="912" spans="1:4" x14ac:dyDescent="0.3">
      <c r="A912" s="25">
        <v>911</v>
      </c>
      <c r="B912" s="25">
        <f>LARGE(Data!$J$2:$J$2379,A912)</f>
        <v>520</v>
      </c>
      <c r="C912" s="25">
        <f t="shared" si="14"/>
        <v>810255</v>
      </c>
      <c r="D912" s="28">
        <f>C912/SUM(Data!$J$2:$J$2379)</f>
        <v>0.66447241093131348</v>
      </c>
    </row>
    <row r="913" spans="1:4" x14ac:dyDescent="0.3">
      <c r="A913" s="25">
        <v>912</v>
      </c>
      <c r="B913" s="25">
        <f>LARGE(Data!$J$2:$J$2379,A913)</f>
        <v>520</v>
      </c>
      <c r="C913" s="25">
        <f t="shared" si="14"/>
        <v>810775</v>
      </c>
      <c r="D913" s="28">
        <f>C913/SUM(Data!$J$2:$J$2379)</f>
        <v>0.66489885156257689</v>
      </c>
    </row>
    <row r="914" spans="1:4" x14ac:dyDescent="0.3">
      <c r="A914" s="25">
        <v>913</v>
      </c>
      <c r="B914" s="25">
        <f>LARGE(Data!$J$2:$J$2379,A914)</f>
        <v>520</v>
      </c>
      <c r="C914" s="25">
        <f t="shared" si="14"/>
        <v>811295</v>
      </c>
      <c r="D914" s="28">
        <f>C914/SUM(Data!$J$2:$J$2379)</f>
        <v>0.66532529219384018</v>
      </c>
    </row>
    <row r="915" spans="1:4" x14ac:dyDescent="0.3">
      <c r="A915" s="25">
        <v>914</v>
      </c>
      <c r="B915" s="25">
        <f>LARGE(Data!$J$2:$J$2379,A915)</f>
        <v>520</v>
      </c>
      <c r="C915" s="25">
        <f t="shared" si="14"/>
        <v>811815</v>
      </c>
      <c r="D915" s="28">
        <f>C915/SUM(Data!$J$2:$J$2379)</f>
        <v>0.66575173282510358</v>
      </c>
    </row>
    <row r="916" spans="1:4" x14ac:dyDescent="0.3">
      <c r="A916" s="25">
        <v>915</v>
      </c>
      <c r="B916" s="25">
        <f>LARGE(Data!$J$2:$J$2379,A916)</f>
        <v>520</v>
      </c>
      <c r="C916" s="25">
        <f t="shared" si="14"/>
        <v>812335</v>
      </c>
      <c r="D916" s="28">
        <f>C916/SUM(Data!$J$2:$J$2379)</f>
        <v>0.66617817345636687</v>
      </c>
    </row>
    <row r="917" spans="1:4" x14ac:dyDescent="0.3">
      <c r="A917" s="25">
        <v>916</v>
      </c>
      <c r="B917" s="25">
        <f>LARGE(Data!$J$2:$J$2379,A917)</f>
        <v>520</v>
      </c>
      <c r="C917" s="25">
        <f t="shared" si="14"/>
        <v>812855</v>
      </c>
      <c r="D917" s="28">
        <f>C917/SUM(Data!$J$2:$J$2379)</f>
        <v>0.66660461408763028</v>
      </c>
    </row>
    <row r="918" spans="1:4" x14ac:dyDescent="0.3">
      <c r="A918" s="25">
        <v>917</v>
      </c>
      <c r="B918" s="25">
        <f>LARGE(Data!$J$2:$J$2379,A918)</f>
        <v>520</v>
      </c>
      <c r="C918" s="25">
        <f t="shared" si="14"/>
        <v>813375</v>
      </c>
      <c r="D918" s="28">
        <f>C918/SUM(Data!$J$2:$J$2379)</f>
        <v>0.66703105471889357</v>
      </c>
    </row>
    <row r="919" spans="1:4" x14ac:dyDescent="0.3">
      <c r="A919" s="25">
        <v>918</v>
      </c>
      <c r="B919" s="25">
        <f>LARGE(Data!$J$2:$J$2379,A919)</f>
        <v>520</v>
      </c>
      <c r="C919" s="25">
        <f t="shared" si="14"/>
        <v>813895</v>
      </c>
      <c r="D919" s="28">
        <f>C919/SUM(Data!$J$2:$J$2379)</f>
        <v>0.66745749535015697</v>
      </c>
    </row>
    <row r="920" spans="1:4" x14ac:dyDescent="0.3">
      <c r="A920" s="25">
        <v>919</v>
      </c>
      <c r="B920" s="25">
        <f>LARGE(Data!$J$2:$J$2379,A920)</f>
        <v>520</v>
      </c>
      <c r="C920" s="25">
        <f t="shared" si="14"/>
        <v>814415</v>
      </c>
      <c r="D920" s="28">
        <f>C920/SUM(Data!$J$2:$J$2379)</f>
        <v>0.66788393598142026</v>
      </c>
    </row>
    <row r="921" spans="1:4" x14ac:dyDescent="0.3">
      <c r="A921" s="25">
        <v>920</v>
      </c>
      <c r="B921" s="25">
        <f>LARGE(Data!$J$2:$J$2379,A921)</f>
        <v>520</v>
      </c>
      <c r="C921" s="25">
        <f t="shared" si="14"/>
        <v>814935</v>
      </c>
      <c r="D921" s="28">
        <f>C921/SUM(Data!$J$2:$J$2379)</f>
        <v>0.66831037661268367</v>
      </c>
    </row>
    <row r="922" spans="1:4" x14ac:dyDescent="0.3">
      <c r="A922" s="25">
        <v>921</v>
      </c>
      <c r="B922" s="25">
        <f>LARGE(Data!$J$2:$J$2379,A922)</f>
        <v>520</v>
      </c>
      <c r="C922" s="25">
        <f t="shared" si="14"/>
        <v>815455</v>
      </c>
      <c r="D922" s="28">
        <f>C922/SUM(Data!$J$2:$J$2379)</f>
        <v>0.66873681724394696</v>
      </c>
    </row>
    <row r="923" spans="1:4" x14ac:dyDescent="0.3">
      <c r="A923" s="25">
        <v>922</v>
      </c>
      <c r="B923" s="25">
        <f>LARGE(Data!$J$2:$J$2379,A923)</f>
        <v>520</v>
      </c>
      <c r="C923" s="25">
        <f t="shared" si="14"/>
        <v>815975</v>
      </c>
      <c r="D923" s="28">
        <f>C923/SUM(Data!$J$2:$J$2379)</f>
        <v>0.66916325787521036</v>
      </c>
    </row>
    <row r="924" spans="1:4" x14ac:dyDescent="0.3">
      <c r="A924" s="25">
        <v>923</v>
      </c>
      <c r="B924" s="25">
        <f>LARGE(Data!$J$2:$J$2379,A924)</f>
        <v>520</v>
      </c>
      <c r="C924" s="25">
        <f t="shared" si="14"/>
        <v>816495</v>
      </c>
      <c r="D924" s="28">
        <f>C924/SUM(Data!$J$2:$J$2379)</f>
        <v>0.66958969850647365</v>
      </c>
    </row>
    <row r="925" spans="1:4" x14ac:dyDescent="0.3">
      <c r="A925" s="25">
        <v>924</v>
      </c>
      <c r="B925" s="25">
        <f>LARGE(Data!$J$2:$J$2379,A925)</f>
        <v>520</v>
      </c>
      <c r="C925" s="25">
        <f t="shared" si="14"/>
        <v>817015</v>
      </c>
      <c r="D925" s="28">
        <f>C925/SUM(Data!$J$2:$J$2379)</f>
        <v>0.67001613913773705</v>
      </c>
    </row>
    <row r="926" spans="1:4" x14ac:dyDescent="0.3">
      <c r="A926" s="25">
        <v>925</v>
      </c>
      <c r="B926" s="25">
        <f>LARGE(Data!$J$2:$J$2379,A926)</f>
        <v>520</v>
      </c>
      <c r="C926" s="25">
        <f t="shared" si="14"/>
        <v>817535</v>
      </c>
      <c r="D926" s="28">
        <f>C926/SUM(Data!$J$2:$J$2379)</f>
        <v>0.67044257976900035</v>
      </c>
    </row>
    <row r="927" spans="1:4" x14ac:dyDescent="0.3">
      <c r="A927" s="25">
        <v>926</v>
      </c>
      <c r="B927" s="25">
        <f>LARGE(Data!$J$2:$J$2379,A927)</f>
        <v>520</v>
      </c>
      <c r="C927" s="25">
        <f t="shared" si="14"/>
        <v>818055</v>
      </c>
      <c r="D927" s="28">
        <f>C927/SUM(Data!$J$2:$J$2379)</f>
        <v>0.67086902040026375</v>
      </c>
    </row>
    <row r="928" spans="1:4" x14ac:dyDescent="0.3">
      <c r="A928" s="25">
        <v>927</v>
      </c>
      <c r="B928" s="25">
        <f>LARGE(Data!$J$2:$J$2379,A928)</f>
        <v>520</v>
      </c>
      <c r="C928" s="25">
        <f t="shared" si="14"/>
        <v>818575</v>
      </c>
      <c r="D928" s="28">
        <f>C928/SUM(Data!$J$2:$J$2379)</f>
        <v>0.67129546103152704</v>
      </c>
    </row>
    <row r="929" spans="1:4" x14ac:dyDescent="0.3">
      <c r="A929" s="25">
        <v>928</v>
      </c>
      <c r="B929" s="25">
        <f>LARGE(Data!$J$2:$J$2379,A929)</f>
        <v>520</v>
      </c>
      <c r="C929" s="25">
        <f t="shared" si="14"/>
        <v>819095</v>
      </c>
      <c r="D929" s="28">
        <f>C929/SUM(Data!$J$2:$J$2379)</f>
        <v>0.67172190166279044</v>
      </c>
    </row>
    <row r="930" spans="1:4" x14ac:dyDescent="0.3">
      <c r="A930" s="25">
        <v>929</v>
      </c>
      <c r="B930" s="25">
        <f>LARGE(Data!$J$2:$J$2379,A930)</f>
        <v>520</v>
      </c>
      <c r="C930" s="25">
        <f t="shared" si="14"/>
        <v>819615</v>
      </c>
      <c r="D930" s="28">
        <f>C930/SUM(Data!$J$2:$J$2379)</f>
        <v>0.67214834229405374</v>
      </c>
    </row>
    <row r="931" spans="1:4" x14ac:dyDescent="0.3">
      <c r="A931" s="25">
        <v>930</v>
      </c>
      <c r="B931" s="25">
        <f>LARGE(Data!$J$2:$J$2379,A931)</f>
        <v>520</v>
      </c>
      <c r="C931" s="25">
        <f t="shared" si="14"/>
        <v>820135</v>
      </c>
      <c r="D931" s="28">
        <f>C931/SUM(Data!$J$2:$J$2379)</f>
        <v>0.67257478292531714</v>
      </c>
    </row>
    <row r="932" spans="1:4" x14ac:dyDescent="0.3">
      <c r="A932" s="25">
        <v>931</v>
      </c>
      <c r="B932" s="25">
        <f>LARGE(Data!$J$2:$J$2379,A932)</f>
        <v>520</v>
      </c>
      <c r="C932" s="25">
        <f t="shared" si="14"/>
        <v>820655</v>
      </c>
      <c r="D932" s="28">
        <f>C932/SUM(Data!$J$2:$J$2379)</f>
        <v>0.67300122355658043</v>
      </c>
    </row>
    <row r="933" spans="1:4" x14ac:dyDescent="0.3">
      <c r="A933" s="25">
        <v>932</v>
      </c>
      <c r="B933" s="25">
        <f>LARGE(Data!$J$2:$J$2379,A933)</f>
        <v>520</v>
      </c>
      <c r="C933" s="25">
        <f t="shared" si="14"/>
        <v>821175</v>
      </c>
      <c r="D933" s="28">
        <f>C933/SUM(Data!$J$2:$J$2379)</f>
        <v>0.67342766418784383</v>
      </c>
    </row>
    <row r="934" spans="1:4" x14ac:dyDescent="0.3">
      <c r="A934" s="25">
        <v>933</v>
      </c>
      <c r="B934" s="25">
        <f>LARGE(Data!$J$2:$J$2379,A934)</f>
        <v>520</v>
      </c>
      <c r="C934" s="25">
        <f t="shared" si="14"/>
        <v>821695</v>
      </c>
      <c r="D934" s="28">
        <f>C934/SUM(Data!$J$2:$J$2379)</f>
        <v>0.67385410481910712</v>
      </c>
    </row>
    <row r="935" spans="1:4" x14ac:dyDescent="0.3">
      <c r="A935" s="25">
        <v>934</v>
      </c>
      <c r="B935" s="25">
        <f>LARGE(Data!$J$2:$J$2379,A935)</f>
        <v>520</v>
      </c>
      <c r="C935" s="25">
        <f t="shared" si="14"/>
        <v>822215</v>
      </c>
      <c r="D935" s="28">
        <f>C935/SUM(Data!$J$2:$J$2379)</f>
        <v>0.67428054545037053</v>
      </c>
    </row>
    <row r="936" spans="1:4" x14ac:dyDescent="0.3">
      <c r="A936" s="25">
        <v>935</v>
      </c>
      <c r="B936" s="25">
        <f>LARGE(Data!$J$2:$J$2379,A936)</f>
        <v>520</v>
      </c>
      <c r="C936" s="25">
        <f t="shared" si="14"/>
        <v>822735</v>
      </c>
      <c r="D936" s="28">
        <f>C936/SUM(Data!$J$2:$J$2379)</f>
        <v>0.67470698608163382</v>
      </c>
    </row>
    <row r="937" spans="1:4" x14ac:dyDescent="0.3">
      <c r="A937" s="25">
        <v>936</v>
      </c>
      <c r="B937" s="25">
        <f>LARGE(Data!$J$2:$J$2379,A937)</f>
        <v>520</v>
      </c>
      <c r="C937" s="25">
        <f t="shared" si="14"/>
        <v>823255</v>
      </c>
      <c r="D937" s="28">
        <f>C937/SUM(Data!$J$2:$J$2379)</f>
        <v>0.67513342671289722</v>
      </c>
    </row>
    <row r="938" spans="1:4" x14ac:dyDescent="0.3">
      <c r="A938" s="25">
        <v>937</v>
      </c>
      <c r="B938" s="25">
        <f>LARGE(Data!$J$2:$J$2379,A938)</f>
        <v>520</v>
      </c>
      <c r="C938" s="25">
        <f t="shared" si="14"/>
        <v>823775</v>
      </c>
      <c r="D938" s="28">
        <f>C938/SUM(Data!$J$2:$J$2379)</f>
        <v>0.67555986734416051</v>
      </c>
    </row>
    <row r="939" spans="1:4" x14ac:dyDescent="0.3">
      <c r="A939" s="25">
        <v>938</v>
      </c>
      <c r="B939" s="25">
        <f>LARGE(Data!$J$2:$J$2379,A939)</f>
        <v>520</v>
      </c>
      <c r="C939" s="25">
        <f t="shared" si="14"/>
        <v>824295</v>
      </c>
      <c r="D939" s="28">
        <f>C939/SUM(Data!$J$2:$J$2379)</f>
        <v>0.67598630797542392</v>
      </c>
    </row>
    <row r="940" spans="1:4" x14ac:dyDescent="0.3">
      <c r="A940" s="25">
        <v>939</v>
      </c>
      <c r="B940" s="25">
        <f>LARGE(Data!$J$2:$J$2379,A940)</f>
        <v>520</v>
      </c>
      <c r="C940" s="25">
        <f t="shared" si="14"/>
        <v>824815</v>
      </c>
      <c r="D940" s="28">
        <f>C940/SUM(Data!$J$2:$J$2379)</f>
        <v>0.67641274860668721</v>
      </c>
    </row>
    <row r="941" spans="1:4" x14ac:dyDescent="0.3">
      <c r="A941" s="25">
        <v>940</v>
      </c>
      <c r="B941" s="25">
        <f>LARGE(Data!$J$2:$J$2379,A941)</f>
        <v>520</v>
      </c>
      <c r="C941" s="25">
        <f t="shared" si="14"/>
        <v>825335</v>
      </c>
      <c r="D941" s="28">
        <f>C941/SUM(Data!$J$2:$J$2379)</f>
        <v>0.67683918923795061</v>
      </c>
    </row>
    <row r="942" spans="1:4" x14ac:dyDescent="0.3">
      <c r="A942" s="25">
        <v>941</v>
      </c>
      <c r="B942" s="25">
        <f>LARGE(Data!$J$2:$J$2379,A942)</f>
        <v>520</v>
      </c>
      <c r="C942" s="25">
        <f t="shared" si="14"/>
        <v>825855</v>
      </c>
      <c r="D942" s="28">
        <f>C942/SUM(Data!$J$2:$J$2379)</f>
        <v>0.6772656298692139</v>
      </c>
    </row>
    <row r="943" spans="1:4" x14ac:dyDescent="0.3">
      <c r="A943" s="25">
        <v>942</v>
      </c>
      <c r="B943" s="25">
        <f>LARGE(Data!$J$2:$J$2379,A943)</f>
        <v>520</v>
      </c>
      <c r="C943" s="25">
        <f t="shared" si="14"/>
        <v>826375</v>
      </c>
      <c r="D943" s="28">
        <f>C943/SUM(Data!$J$2:$J$2379)</f>
        <v>0.67769207050047731</v>
      </c>
    </row>
    <row r="944" spans="1:4" x14ac:dyDescent="0.3">
      <c r="A944" s="25">
        <v>943</v>
      </c>
      <c r="B944" s="25">
        <f>LARGE(Data!$J$2:$J$2379,A944)</f>
        <v>520</v>
      </c>
      <c r="C944" s="25">
        <f t="shared" si="14"/>
        <v>826895</v>
      </c>
      <c r="D944" s="28">
        <f>C944/SUM(Data!$J$2:$J$2379)</f>
        <v>0.6781185111317406</v>
      </c>
    </row>
    <row r="945" spans="1:4" x14ac:dyDescent="0.3">
      <c r="A945" s="25">
        <v>944</v>
      </c>
      <c r="B945" s="25">
        <f>LARGE(Data!$J$2:$J$2379,A945)</f>
        <v>520</v>
      </c>
      <c r="C945" s="25">
        <f t="shared" si="14"/>
        <v>827415</v>
      </c>
      <c r="D945" s="28">
        <f>C945/SUM(Data!$J$2:$J$2379)</f>
        <v>0.678544951763004</v>
      </c>
    </row>
    <row r="946" spans="1:4" x14ac:dyDescent="0.3">
      <c r="A946" s="25">
        <v>945</v>
      </c>
      <c r="B946" s="25">
        <f>LARGE(Data!$J$2:$J$2379,A946)</f>
        <v>520</v>
      </c>
      <c r="C946" s="25">
        <f t="shared" si="14"/>
        <v>827935</v>
      </c>
      <c r="D946" s="28">
        <f>C946/SUM(Data!$J$2:$J$2379)</f>
        <v>0.67897139239426729</v>
      </c>
    </row>
    <row r="947" spans="1:4" x14ac:dyDescent="0.3">
      <c r="A947" s="25">
        <v>946</v>
      </c>
      <c r="B947" s="25">
        <f>LARGE(Data!$J$2:$J$2379,A947)</f>
        <v>520</v>
      </c>
      <c r="C947" s="25">
        <f t="shared" si="14"/>
        <v>828455</v>
      </c>
      <c r="D947" s="28">
        <f>C947/SUM(Data!$J$2:$J$2379)</f>
        <v>0.6793978330255307</v>
      </c>
    </row>
    <row r="948" spans="1:4" x14ac:dyDescent="0.3">
      <c r="A948" s="25">
        <v>947</v>
      </c>
      <c r="B948" s="25">
        <f>LARGE(Data!$J$2:$J$2379,A948)</f>
        <v>520</v>
      </c>
      <c r="C948" s="25">
        <f t="shared" si="14"/>
        <v>828975</v>
      </c>
      <c r="D948" s="28">
        <f>C948/SUM(Data!$J$2:$J$2379)</f>
        <v>0.67982427365679399</v>
      </c>
    </row>
    <row r="949" spans="1:4" x14ac:dyDescent="0.3">
      <c r="A949" s="25">
        <v>948</v>
      </c>
      <c r="B949" s="25">
        <f>LARGE(Data!$J$2:$J$2379,A949)</f>
        <v>520</v>
      </c>
      <c r="C949" s="25">
        <f t="shared" si="14"/>
        <v>829495</v>
      </c>
      <c r="D949" s="28">
        <f>C949/SUM(Data!$J$2:$J$2379)</f>
        <v>0.68025071428805739</v>
      </c>
    </row>
    <row r="950" spans="1:4" x14ac:dyDescent="0.3">
      <c r="A950" s="25">
        <v>949</v>
      </c>
      <c r="B950" s="25">
        <f>LARGE(Data!$J$2:$J$2379,A950)</f>
        <v>520</v>
      </c>
      <c r="C950" s="25">
        <f t="shared" si="14"/>
        <v>830015</v>
      </c>
      <c r="D950" s="28">
        <f>C950/SUM(Data!$J$2:$J$2379)</f>
        <v>0.68067715491932068</v>
      </c>
    </row>
    <row r="951" spans="1:4" x14ac:dyDescent="0.3">
      <c r="A951" s="25">
        <v>950</v>
      </c>
      <c r="B951" s="25">
        <f>LARGE(Data!$J$2:$J$2379,A951)</f>
        <v>520</v>
      </c>
      <c r="C951" s="25">
        <f t="shared" si="14"/>
        <v>830535</v>
      </c>
      <c r="D951" s="28">
        <f>C951/SUM(Data!$J$2:$J$2379)</f>
        <v>0.68110359555058408</v>
      </c>
    </row>
    <row r="952" spans="1:4" x14ac:dyDescent="0.3">
      <c r="A952" s="25">
        <v>951</v>
      </c>
      <c r="B952" s="25">
        <f>LARGE(Data!$J$2:$J$2379,A952)</f>
        <v>520</v>
      </c>
      <c r="C952" s="25">
        <f t="shared" si="14"/>
        <v>831055</v>
      </c>
      <c r="D952" s="28">
        <f>C952/SUM(Data!$J$2:$J$2379)</f>
        <v>0.68153003618184738</v>
      </c>
    </row>
    <row r="953" spans="1:4" x14ac:dyDescent="0.3">
      <c r="A953" s="25">
        <v>952</v>
      </c>
      <c r="B953" s="25">
        <f>LARGE(Data!$J$2:$J$2379,A953)</f>
        <v>520</v>
      </c>
      <c r="C953" s="25">
        <f t="shared" si="14"/>
        <v>831575</v>
      </c>
      <c r="D953" s="28">
        <f>C953/SUM(Data!$J$2:$J$2379)</f>
        <v>0.68195647681311078</v>
      </c>
    </row>
    <row r="954" spans="1:4" x14ac:dyDescent="0.3">
      <c r="A954" s="25">
        <v>953</v>
      </c>
      <c r="B954" s="25">
        <f>LARGE(Data!$J$2:$J$2379,A954)</f>
        <v>520</v>
      </c>
      <c r="C954" s="25">
        <f t="shared" si="14"/>
        <v>832095</v>
      </c>
      <c r="D954" s="28">
        <f>C954/SUM(Data!$J$2:$J$2379)</f>
        <v>0.68238291744437407</v>
      </c>
    </row>
    <row r="955" spans="1:4" x14ac:dyDescent="0.3">
      <c r="A955" s="25">
        <v>954</v>
      </c>
      <c r="B955" s="25">
        <f>LARGE(Data!$J$2:$J$2379,A955)</f>
        <v>520</v>
      </c>
      <c r="C955" s="25">
        <f t="shared" si="14"/>
        <v>832615</v>
      </c>
      <c r="D955" s="28">
        <f>C955/SUM(Data!$J$2:$J$2379)</f>
        <v>0.68280935807563747</v>
      </c>
    </row>
    <row r="956" spans="1:4" x14ac:dyDescent="0.3">
      <c r="A956" s="25">
        <v>955</v>
      </c>
      <c r="B956" s="25">
        <f>LARGE(Data!$J$2:$J$2379,A956)</f>
        <v>520</v>
      </c>
      <c r="C956" s="25">
        <f t="shared" si="14"/>
        <v>833135</v>
      </c>
      <c r="D956" s="28">
        <f>C956/SUM(Data!$J$2:$J$2379)</f>
        <v>0.68323579870690077</v>
      </c>
    </row>
    <row r="957" spans="1:4" x14ac:dyDescent="0.3">
      <c r="A957" s="25">
        <v>956</v>
      </c>
      <c r="B957" s="25">
        <f>LARGE(Data!$J$2:$J$2379,A957)</f>
        <v>520</v>
      </c>
      <c r="C957" s="25">
        <f t="shared" si="14"/>
        <v>833655</v>
      </c>
      <c r="D957" s="28">
        <f>C957/SUM(Data!$J$2:$J$2379)</f>
        <v>0.68366223933816417</v>
      </c>
    </row>
    <row r="958" spans="1:4" x14ac:dyDescent="0.3">
      <c r="A958" s="25">
        <v>957</v>
      </c>
      <c r="B958" s="25">
        <f>LARGE(Data!$J$2:$J$2379,A958)</f>
        <v>520</v>
      </c>
      <c r="C958" s="25">
        <f t="shared" si="14"/>
        <v>834175</v>
      </c>
      <c r="D958" s="28">
        <f>C958/SUM(Data!$J$2:$J$2379)</f>
        <v>0.68408867996942746</v>
      </c>
    </row>
    <row r="959" spans="1:4" x14ac:dyDescent="0.3">
      <c r="A959" s="25">
        <v>958</v>
      </c>
      <c r="B959" s="25">
        <f>LARGE(Data!$J$2:$J$2379,A959)</f>
        <v>520</v>
      </c>
      <c r="C959" s="25">
        <f t="shared" si="14"/>
        <v>834695</v>
      </c>
      <c r="D959" s="28">
        <f>C959/SUM(Data!$J$2:$J$2379)</f>
        <v>0.68451512060069086</v>
      </c>
    </row>
    <row r="960" spans="1:4" x14ac:dyDescent="0.3">
      <c r="A960" s="25">
        <v>959</v>
      </c>
      <c r="B960" s="25">
        <f>LARGE(Data!$J$2:$J$2379,A960)</f>
        <v>520</v>
      </c>
      <c r="C960" s="25">
        <f t="shared" si="14"/>
        <v>835215</v>
      </c>
      <c r="D960" s="28">
        <f>C960/SUM(Data!$J$2:$J$2379)</f>
        <v>0.68494156123195415</v>
      </c>
    </row>
    <row r="961" spans="1:4" x14ac:dyDescent="0.3">
      <c r="A961" s="25">
        <v>960</v>
      </c>
      <c r="B961" s="25">
        <f>LARGE(Data!$J$2:$J$2379,A961)</f>
        <v>520</v>
      </c>
      <c r="C961" s="25">
        <f t="shared" si="14"/>
        <v>835735</v>
      </c>
      <c r="D961" s="28">
        <f>C961/SUM(Data!$J$2:$J$2379)</f>
        <v>0.68536800186321756</v>
      </c>
    </row>
    <row r="962" spans="1:4" x14ac:dyDescent="0.3">
      <c r="A962" s="25">
        <v>961</v>
      </c>
      <c r="B962" s="25">
        <f>LARGE(Data!$J$2:$J$2379,A962)</f>
        <v>520</v>
      </c>
      <c r="C962" s="25">
        <f t="shared" si="14"/>
        <v>836255</v>
      </c>
      <c r="D962" s="28">
        <f>C962/SUM(Data!$J$2:$J$2379)</f>
        <v>0.68579444249448085</v>
      </c>
    </row>
    <row r="963" spans="1:4" x14ac:dyDescent="0.3">
      <c r="A963" s="25">
        <v>962</v>
      </c>
      <c r="B963" s="25">
        <f>LARGE(Data!$J$2:$J$2379,A963)</f>
        <v>520</v>
      </c>
      <c r="C963" s="25">
        <f t="shared" ref="C963:C1026" si="15">C962+B963</f>
        <v>836775</v>
      </c>
      <c r="D963" s="28">
        <f>C963/SUM(Data!$J$2:$J$2379)</f>
        <v>0.68622088312574425</v>
      </c>
    </row>
    <row r="964" spans="1:4" x14ac:dyDescent="0.3">
      <c r="A964" s="25">
        <v>963</v>
      </c>
      <c r="B964" s="25">
        <f>LARGE(Data!$J$2:$J$2379,A964)</f>
        <v>520</v>
      </c>
      <c r="C964" s="25">
        <f t="shared" si="15"/>
        <v>837295</v>
      </c>
      <c r="D964" s="28">
        <f>C964/SUM(Data!$J$2:$J$2379)</f>
        <v>0.68664732375700754</v>
      </c>
    </row>
    <row r="965" spans="1:4" x14ac:dyDescent="0.3">
      <c r="A965" s="25">
        <v>964</v>
      </c>
      <c r="B965" s="25">
        <f>LARGE(Data!$J$2:$J$2379,A965)</f>
        <v>520</v>
      </c>
      <c r="C965" s="25">
        <f t="shared" si="15"/>
        <v>837815</v>
      </c>
      <c r="D965" s="28">
        <f>C965/SUM(Data!$J$2:$J$2379)</f>
        <v>0.68707376438827095</v>
      </c>
    </row>
    <row r="966" spans="1:4" x14ac:dyDescent="0.3">
      <c r="A966" s="25">
        <v>965</v>
      </c>
      <c r="B966" s="25">
        <f>LARGE(Data!$J$2:$J$2379,A966)</f>
        <v>520</v>
      </c>
      <c r="C966" s="25">
        <f t="shared" si="15"/>
        <v>838335</v>
      </c>
      <c r="D966" s="28">
        <f>C966/SUM(Data!$J$2:$J$2379)</f>
        <v>0.68750020501953424</v>
      </c>
    </row>
    <row r="967" spans="1:4" x14ac:dyDescent="0.3">
      <c r="A967" s="25">
        <v>966</v>
      </c>
      <c r="B967" s="25">
        <f>LARGE(Data!$J$2:$J$2379,A967)</f>
        <v>520</v>
      </c>
      <c r="C967" s="25">
        <f t="shared" si="15"/>
        <v>838855</v>
      </c>
      <c r="D967" s="28">
        <f>C967/SUM(Data!$J$2:$J$2379)</f>
        <v>0.68792664565079764</v>
      </c>
    </row>
    <row r="968" spans="1:4" x14ac:dyDescent="0.3">
      <c r="A968" s="25">
        <v>967</v>
      </c>
      <c r="B968" s="25">
        <f>LARGE(Data!$J$2:$J$2379,A968)</f>
        <v>520</v>
      </c>
      <c r="C968" s="25">
        <f t="shared" si="15"/>
        <v>839375</v>
      </c>
      <c r="D968" s="28">
        <f>C968/SUM(Data!$J$2:$J$2379)</f>
        <v>0.68835308628206093</v>
      </c>
    </row>
    <row r="969" spans="1:4" x14ac:dyDescent="0.3">
      <c r="A969" s="25">
        <v>968</v>
      </c>
      <c r="B969" s="25">
        <f>LARGE(Data!$J$2:$J$2379,A969)</f>
        <v>520</v>
      </c>
      <c r="C969" s="25">
        <f t="shared" si="15"/>
        <v>839895</v>
      </c>
      <c r="D969" s="28">
        <f>C969/SUM(Data!$J$2:$J$2379)</f>
        <v>0.68877952691332434</v>
      </c>
    </row>
    <row r="970" spans="1:4" x14ac:dyDescent="0.3">
      <c r="A970" s="25">
        <v>969</v>
      </c>
      <c r="B970" s="25">
        <f>LARGE(Data!$J$2:$J$2379,A970)</f>
        <v>520</v>
      </c>
      <c r="C970" s="25">
        <f t="shared" si="15"/>
        <v>840415</v>
      </c>
      <c r="D970" s="28">
        <f>C970/SUM(Data!$J$2:$J$2379)</f>
        <v>0.68920596754458763</v>
      </c>
    </row>
    <row r="971" spans="1:4" x14ac:dyDescent="0.3">
      <c r="A971" s="25">
        <v>970</v>
      </c>
      <c r="B971" s="25">
        <f>LARGE(Data!$J$2:$J$2379,A971)</f>
        <v>520</v>
      </c>
      <c r="C971" s="25">
        <f t="shared" si="15"/>
        <v>840935</v>
      </c>
      <c r="D971" s="28">
        <f>C971/SUM(Data!$J$2:$J$2379)</f>
        <v>0.68963240817585103</v>
      </c>
    </row>
    <row r="972" spans="1:4" x14ac:dyDescent="0.3">
      <c r="A972" s="25">
        <v>971</v>
      </c>
      <c r="B972" s="25">
        <f>LARGE(Data!$J$2:$J$2379,A972)</f>
        <v>520</v>
      </c>
      <c r="C972" s="25">
        <f t="shared" si="15"/>
        <v>841455</v>
      </c>
      <c r="D972" s="28">
        <f>C972/SUM(Data!$J$2:$J$2379)</f>
        <v>0.69005884880711432</v>
      </c>
    </row>
    <row r="973" spans="1:4" x14ac:dyDescent="0.3">
      <c r="A973" s="25">
        <v>972</v>
      </c>
      <c r="B973" s="25">
        <f>LARGE(Data!$J$2:$J$2379,A973)</f>
        <v>520</v>
      </c>
      <c r="C973" s="25">
        <f t="shared" si="15"/>
        <v>841975</v>
      </c>
      <c r="D973" s="28">
        <f>C973/SUM(Data!$J$2:$J$2379)</f>
        <v>0.69048528943837773</v>
      </c>
    </row>
    <row r="974" spans="1:4" x14ac:dyDescent="0.3">
      <c r="A974" s="25">
        <v>973</v>
      </c>
      <c r="B974" s="25">
        <f>LARGE(Data!$J$2:$J$2379,A974)</f>
        <v>520</v>
      </c>
      <c r="C974" s="25">
        <f t="shared" si="15"/>
        <v>842495</v>
      </c>
      <c r="D974" s="28">
        <f>C974/SUM(Data!$J$2:$J$2379)</f>
        <v>0.69091173006964102</v>
      </c>
    </row>
    <row r="975" spans="1:4" x14ac:dyDescent="0.3">
      <c r="A975" s="25">
        <v>974</v>
      </c>
      <c r="B975" s="25">
        <f>LARGE(Data!$J$2:$J$2379,A975)</f>
        <v>520</v>
      </c>
      <c r="C975" s="25">
        <f t="shared" si="15"/>
        <v>843015</v>
      </c>
      <c r="D975" s="28">
        <f>C975/SUM(Data!$J$2:$J$2379)</f>
        <v>0.69133817070090442</v>
      </c>
    </row>
    <row r="976" spans="1:4" x14ac:dyDescent="0.3">
      <c r="A976" s="25">
        <v>975</v>
      </c>
      <c r="B976" s="25">
        <f>LARGE(Data!$J$2:$J$2379,A976)</f>
        <v>520</v>
      </c>
      <c r="C976" s="25">
        <f t="shared" si="15"/>
        <v>843535</v>
      </c>
      <c r="D976" s="28">
        <f>C976/SUM(Data!$J$2:$J$2379)</f>
        <v>0.69176461133216771</v>
      </c>
    </row>
    <row r="977" spans="1:4" x14ac:dyDescent="0.3">
      <c r="A977" s="25">
        <v>976</v>
      </c>
      <c r="B977" s="25">
        <f>LARGE(Data!$J$2:$J$2379,A977)</f>
        <v>520</v>
      </c>
      <c r="C977" s="25">
        <f t="shared" si="15"/>
        <v>844055</v>
      </c>
      <c r="D977" s="28">
        <f>C977/SUM(Data!$J$2:$J$2379)</f>
        <v>0.69219105196343111</v>
      </c>
    </row>
    <row r="978" spans="1:4" x14ac:dyDescent="0.3">
      <c r="A978" s="25">
        <v>977</v>
      </c>
      <c r="B978" s="25">
        <f>LARGE(Data!$J$2:$J$2379,A978)</f>
        <v>520</v>
      </c>
      <c r="C978" s="25">
        <f t="shared" si="15"/>
        <v>844575</v>
      </c>
      <c r="D978" s="28">
        <f>C978/SUM(Data!$J$2:$J$2379)</f>
        <v>0.69261749259469441</v>
      </c>
    </row>
    <row r="979" spans="1:4" x14ac:dyDescent="0.3">
      <c r="A979" s="25">
        <v>978</v>
      </c>
      <c r="B979" s="25">
        <f>LARGE(Data!$J$2:$J$2379,A979)</f>
        <v>520</v>
      </c>
      <c r="C979" s="25">
        <f t="shared" si="15"/>
        <v>845095</v>
      </c>
      <c r="D979" s="28">
        <f>C979/SUM(Data!$J$2:$J$2379)</f>
        <v>0.69304393322595781</v>
      </c>
    </row>
    <row r="980" spans="1:4" x14ac:dyDescent="0.3">
      <c r="A980" s="25">
        <v>979</v>
      </c>
      <c r="B980" s="25">
        <f>LARGE(Data!$J$2:$J$2379,A980)</f>
        <v>520</v>
      </c>
      <c r="C980" s="25">
        <f t="shared" si="15"/>
        <v>845615</v>
      </c>
      <c r="D980" s="28">
        <f>C980/SUM(Data!$J$2:$J$2379)</f>
        <v>0.6934703738572211</v>
      </c>
    </row>
    <row r="981" spans="1:4" x14ac:dyDescent="0.3">
      <c r="A981" s="25">
        <v>980</v>
      </c>
      <c r="B981" s="25">
        <f>LARGE(Data!$J$2:$J$2379,A981)</f>
        <v>520</v>
      </c>
      <c r="C981" s="25">
        <f t="shared" si="15"/>
        <v>846135</v>
      </c>
      <c r="D981" s="28">
        <f>C981/SUM(Data!$J$2:$J$2379)</f>
        <v>0.6938968144884845</v>
      </c>
    </row>
    <row r="982" spans="1:4" x14ac:dyDescent="0.3">
      <c r="A982" s="25">
        <v>981</v>
      </c>
      <c r="B982" s="25">
        <f>LARGE(Data!$J$2:$J$2379,A982)</f>
        <v>520</v>
      </c>
      <c r="C982" s="25">
        <f t="shared" si="15"/>
        <v>846655</v>
      </c>
      <c r="D982" s="28">
        <f>C982/SUM(Data!$J$2:$J$2379)</f>
        <v>0.6943232551197478</v>
      </c>
    </row>
    <row r="983" spans="1:4" x14ac:dyDescent="0.3">
      <c r="A983" s="25">
        <v>982</v>
      </c>
      <c r="B983" s="25">
        <f>LARGE(Data!$J$2:$J$2379,A983)</f>
        <v>500</v>
      </c>
      <c r="C983" s="25">
        <f t="shared" si="15"/>
        <v>847155</v>
      </c>
      <c r="D983" s="28">
        <f>C983/SUM(Data!$J$2:$J$2379)</f>
        <v>0.69473329418827023</v>
      </c>
    </row>
    <row r="984" spans="1:4" x14ac:dyDescent="0.3">
      <c r="A984" s="25">
        <v>983</v>
      </c>
      <c r="B984" s="25">
        <f>LARGE(Data!$J$2:$J$2379,A984)</f>
        <v>500</v>
      </c>
      <c r="C984" s="25">
        <f t="shared" si="15"/>
        <v>847655</v>
      </c>
      <c r="D984" s="28">
        <f>C984/SUM(Data!$J$2:$J$2379)</f>
        <v>0.69514333325679267</v>
      </c>
    </row>
    <row r="985" spans="1:4" x14ac:dyDescent="0.3">
      <c r="A985" s="25">
        <v>984</v>
      </c>
      <c r="B985" s="25">
        <f>LARGE(Data!$J$2:$J$2379,A985)</f>
        <v>500</v>
      </c>
      <c r="C985" s="25">
        <f t="shared" si="15"/>
        <v>848155</v>
      </c>
      <c r="D985" s="28">
        <f>C985/SUM(Data!$J$2:$J$2379)</f>
        <v>0.69555337232531511</v>
      </c>
    </row>
    <row r="986" spans="1:4" x14ac:dyDescent="0.3">
      <c r="A986" s="25">
        <v>985</v>
      </c>
      <c r="B986" s="25">
        <f>LARGE(Data!$J$2:$J$2379,A986)</f>
        <v>500</v>
      </c>
      <c r="C986" s="25">
        <f t="shared" si="15"/>
        <v>848655</v>
      </c>
      <c r="D986" s="28">
        <f>C986/SUM(Data!$J$2:$J$2379)</f>
        <v>0.69596341139383755</v>
      </c>
    </row>
    <row r="987" spans="1:4" x14ac:dyDescent="0.3">
      <c r="A987" s="25">
        <v>986</v>
      </c>
      <c r="B987" s="25">
        <f>LARGE(Data!$J$2:$J$2379,A987)</f>
        <v>500</v>
      </c>
      <c r="C987" s="25">
        <f t="shared" si="15"/>
        <v>849155</v>
      </c>
      <c r="D987" s="28">
        <f>C987/SUM(Data!$J$2:$J$2379)</f>
        <v>0.6963734504623601</v>
      </c>
    </row>
    <row r="988" spans="1:4" x14ac:dyDescent="0.3">
      <c r="A988" s="25">
        <v>987</v>
      </c>
      <c r="B988" s="25">
        <f>LARGE(Data!$J$2:$J$2379,A988)</f>
        <v>500</v>
      </c>
      <c r="C988" s="25">
        <f t="shared" si="15"/>
        <v>849655</v>
      </c>
      <c r="D988" s="28">
        <f>C988/SUM(Data!$J$2:$J$2379)</f>
        <v>0.69678348953088254</v>
      </c>
    </row>
    <row r="989" spans="1:4" x14ac:dyDescent="0.3">
      <c r="A989" s="25">
        <v>988</v>
      </c>
      <c r="B989" s="25">
        <f>LARGE(Data!$J$2:$J$2379,A989)</f>
        <v>500</v>
      </c>
      <c r="C989" s="25">
        <f t="shared" si="15"/>
        <v>850155</v>
      </c>
      <c r="D989" s="28">
        <f>C989/SUM(Data!$J$2:$J$2379)</f>
        <v>0.69719352859940498</v>
      </c>
    </row>
    <row r="990" spans="1:4" x14ac:dyDescent="0.3">
      <c r="A990" s="25">
        <v>989</v>
      </c>
      <c r="B990" s="25">
        <f>LARGE(Data!$J$2:$J$2379,A990)</f>
        <v>500</v>
      </c>
      <c r="C990" s="25">
        <f t="shared" si="15"/>
        <v>850655</v>
      </c>
      <c r="D990" s="28">
        <f>C990/SUM(Data!$J$2:$J$2379)</f>
        <v>0.69760356766792742</v>
      </c>
    </row>
    <row r="991" spans="1:4" x14ac:dyDescent="0.3">
      <c r="A991" s="25">
        <v>990</v>
      </c>
      <c r="B991" s="25">
        <f>LARGE(Data!$J$2:$J$2379,A991)</f>
        <v>500</v>
      </c>
      <c r="C991" s="25">
        <f t="shared" si="15"/>
        <v>851155</v>
      </c>
      <c r="D991" s="28">
        <f>C991/SUM(Data!$J$2:$J$2379)</f>
        <v>0.69801360673644985</v>
      </c>
    </row>
    <row r="992" spans="1:4" x14ac:dyDescent="0.3">
      <c r="A992" s="25">
        <v>991</v>
      </c>
      <c r="B992" s="25">
        <f>LARGE(Data!$J$2:$J$2379,A992)</f>
        <v>500</v>
      </c>
      <c r="C992" s="25">
        <f t="shared" si="15"/>
        <v>851655</v>
      </c>
      <c r="D992" s="28">
        <f>C992/SUM(Data!$J$2:$J$2379)</f>
        <v>0.69842364580497229</v>
      </c>
    </row>
    <row r="993" spans="1:4" x14ac:dyDescent="0.3">
      <c r="A993" s="25">
        <v>992</v>
      </c>
      <c r="B993" s="25">
        <f>LARGE(Data!$J$2:$J$2379,A993)</f>
        <v>500</v>
      </c>
      <c r="C993" s="25">
        <f t="shared" si="15"/>
        <v>852155</v>
      </c>
      <c r="D993" s="28">
        <f>C993/SUM(Data!$J$2:$J$2379)</f>
        <v>0.69883368487349473</v>
      </c>
    </row>
    <row r="994" spans="1:4" x14ac:dyDescent="0.3">
      <c r="A994" s="25">
        <v>993</v>
      </c>
      <c r="B994" s="25">
        <f>LARGE(Data!$J$2:$J$2379,A994)</f>
        <v>500</v>
      </c>
      <c r="C994" s="25">
        <f t="shared" si="15"/>
        <v>852655</v>
      </c>
      <c r="D994" s="28">
        <f>C994/SUM(Data!$J$2:$J$2379)</f>
        <v>0.69924372394201717</v>
      </c>
    </row>
    <row r="995" spans="1:4" x14ac:dyDescent="0.3">
      <c r="A995" s="25">
        <v>994</v>
      </c>
      <c r="B995" s="25">
        <f>LARGE(Data!$J$2:$J$2379,A995)</f>
        <v>500</v>
      </c>
      <c r="C995" s="25">
        <f t="shared" si="15"/>
        <v>853155</v>
      </c>
      <c r="D995" s="28">
        <f>C995/SUM(Data!$J$2:$J$2379)</f>
        <v>0.69965376301053961</v>
      </c>
    </row>
    <row r="996" spans="1:4" x14ac:dyDescent="0.3">
      <c r="A996" s="25">
        <v>995</v>
      </c>
      <c r="B996" s="25">
        <f>LARGE(Data!$J$2:$J$2379,A996)</f>
        <v>500</v>
      </c>
      <c r="C996" s="25">
        <f t="shared" si="15"/>
        <v>853655</v>
      </c>
      <c r="D996" s="28">
        <f>C996/SUM(Data!$J$2:$J$2379)</f>
        <v>0.70006380207906205</v>
      </c>
    </row>
    <row r="997" spans="1:4" x14ac:dyDescent="0.3">
      <c r="A997" s="25">
        <v>996</v>
      </c>
      <c r="B997" s="25">
        <f>LARGE(Data!$J$2:$J$2379,A997)</f>
        <v>500</v>
      </c>
      <c r="C997" s="25">
        <f t="shared" si="15"/>
        <v>854155</v>
      </c>
      <c r="D997" s="28">
        <f>C997/SUM(Data!$J$2:$J$2379)</f>
        <v>0.7004738411475846</v>
      </c>
    </row>
    <row r="998" spans="1:4" x14ac:dyDescent="0.3">
      <c r="A998" s="25">
        <v>997</v>
      </c>
      <c r="B998" s="25">
        <f>LARGE(Data!$J$2:$J$2379,A998)</f>
        <v>500</v>
      </c>
      <c r="C998" s="25">
        <f t="shared" si="15"/>
        <v>854655</v>
      </c>
      <c r="D998" s="28">
        <f>C998/SUM(Data!$J$2:$J$2379)</f>
        <v>0.70088388021610704</v>
      </c>
    </row>
    <row r="999" spans="1:4" x14ac:dyDescent="0.3">
      <c r="A999" s="25">
        <v>998</v>
      </c>
      <c r="B999" s="25">
        <f>LARGE(Data!$J$2:$J$2379,A999)</f>
        <v>500</v>
      </c>
      <c r="C999" s="25">
        <f t="shared" si="15"/>
        <v>855155</v>
      </c>
      <c r="D999" s="28">
        <f>C999/SUM(Data!$J$2:$J$2379)</f>
        <v>0.70129391928462947</v>
      </c>
    </row>
    <row r="1000" spans="1:4" x14ac:dyDescent="0.3">
      <c r="A1000" s="25">
        <v>999</v>
      </c>
      <c r="B1000" s="25">
        <f>LARGE(Data!$J$2:$J$2379,A1000)</f>
        <v>500</v>
      </c>
      <c r="C1000" s="25">
        <f t="shared" si="15"/>
        <v>855655</v>
      </c>
      <c r="D1000" s="28">
        <f>C1000/SUM(Data!$J$2:$J$2379)</f>
        <v>0.70170395835315191</v>
      </c>
    </row>
    <row r="1001" spans="1:4" x14ac:dyDescent="0.3">
      <c r="A1001" s="25">
        <v>1000</v>
      </c>
      <c r="B1001" s="25">
        <f>LARGE(Data!$J$2:$J$2379,A1001)</f>
        <v>500</v>
      </c>
      <c r="C1001" s="25">
        <f t="shared" si="15"/>
        <v>856155</v>
      </c>
      <c r="D1001" s="28">
        <f>C1001/SUM(Data!$J$2:$J$2379)</f>
        <v>0.70211399742167435</v>
      </c>
    </row>
    <row r="1002" spans="1:4" x14ac:dyDescent="0.3">
      <c r="A1002" s="25">
        <v>1001</v>
      </c>
      <c r="B1002" s="25">
        <f>LARGE(Data!$J$2:$J$2379,A1002)</f>
        <v>500</v>
      </c>
      <c r="C1002" s="25">
        <f t="shared" si="15"/>
        <v>856655</v>
      </c>
      <c r="D1002" s="28">
        <f>C1002/SUM(Data!$J$2:$J$2379)</f>
        <v>0.70252403649019679</v>
      </c>
    </row>
    <row r="1003" spans="1:4" x14ac:dyDescent="0.3">
      <c r="A1003" s="25">
        <v>1002</v>
      </c>
      <c r="B1003" s="25">
        <f>LARGE(Data!$J$2:$J$2379,A1003)</f>
        <v>500</v>
      </c>
      <c r="C1003" s="25">
        <f t="shared" si="15"/>
        <v>857155</v>
      </c>
      <c r="D1003" s="28">
        <f>C1003/SUM(Data!$J$2:$J$2379)</f>
        <v>0.70293407555871923</v>
      </c>
    </row>
    <row r="1004" spans="1:4" x14ac:dyDescent="0.3">
      <c r="A1004" s="25">
        <v>1003</v>
      </c>
      <c r="B1004" s="25">
        <f>LARGE(Data!$J$2:$J$2379,A1004)</f>
        <v>500</v>
      </c>
      <c r="C1004" s="25">
        <f t="shared" si="15"/>
        <v>857655</v>
      </c>
      <c r="D1004" s="28">
        <f>C1004/SUM(Data!$J$2:$J$2379)</f>
        <v>0.70334411462724167</v>
      </c>
    </row>
    <row r="1005" spans="1:4" x14ac:dyDescent="0.3">
      <c r="A1005" s="25">
        <v>1004</v>
      </c>
      <c r="B1005" s="25">
        <f>LARGE(Data!$J$2:$J$2379,A1005)</f>
        <v>500</v>
      </c>
      <c r="C1005" s="25">
        <f t="shared" si="15"/>
        <v>858155</v>
      </c>
      <c r="D1005" s="28">
        <f>C1005/SUM(Data!$J$2:$J$2379)</f>
        <v>0.70375415369576411</v>
      </c>
    </row>
    <row r="1006" spans="1:4" x14ac:dyDescent="0.3">
      <c r="A1006" s="25">
        <v>1005</v>
      </c>
      <c r="B1006" s="25">
        <f>LARGE(Data!$J$2:$J$2379,A1006)</f>
        <v>500</v>
      </c>
      <c r="C1006" s="25">
        <f t="shared" si="15"/>
        <v>858655</v>
      </c>
      <c r="D1006" s="28">
        <f>C1006/SUM(Data!$J$2:$J$2379)</f>
        <v>0.70416419276428655</v>
      </c>
    </row>
    <row r="1007" spans="1:4" x14ac:dyDescent="0.3">
      <c r="A1007" s="25">
        <v>1006</v>
      </c>
      <c r="B1007" s="25">
        <f>LARGE(Data!$J$2:$J$2379,A1007)</f>
        <v>500</v>
      </c>
      <c r="C1007" s="25">
        <f t="shared" si="15"/>
        <v>859155</v>
      </c>
      <c r="D1007" s="28">
        <f>C1007/SUM(Data!$J$2:$J$2379)</f>
        <v>0.70457423183280898</v>
      </c>
    </row>
    <row r="1008" spans="1:4" x14ac:dyDescent="0.3">
      <c r="A1008" s="25">
        <v>1007</v>
      </c>
      <c r="B1008" s="25">
        <f>LARGE(Data!$J$2:$J$2379,A1008)</f>
        <v>500</v>
      </c>
      <c r="C1008" s="25">
        <f t="shared" si="15"/>
        <v>859655</v>
      </c>
      <c r="D1008" s="28">
        <f>C1008/SUM(Data!$J$2:$J$2379)</f>
        <v>0.70498427090133153</v>
      </c>
    </row>
    <row r="1009" spans="1:4" x14ac:dyDescent="0.3">
      <c r="A1009" s="25">
        <v>1008</v>
      </c>
      <c r="B1009" s="25">
        <f>LARGE(Data!$J$2:$J$2379,A1009)</f>
        <v>500</v>
      </c>
      <c r="C1009" s="25">
        <f t="shared" si="15"/>
        <v>860155</v>
      </c>
      <c r="D1009" s="28">
        <f>C1009/SUM(Data!$J$2:$J$2379)</f>
        <v>0.70539430996985397</v>
      </c>
    </row>
    <row r="1010" spans="1:4" x14ac:dyDescent="0.3">
      <c r="A1010" s="25">
        <v>1009</v>
      </c>
      <c r="B1010" s="25">
        <f>LARGE(Data!$J$2:$J$2379,A1010)</f>
        <v>500</v>
      </c>
      <c r="C1010" s="25">
        <f t="shared" si="15"/>
        <v>860655</v>
      </c>
      <c r="D1010" s="28">
        <f>C1010/SUM(Data!$J$2:$J$2379)</f>
        <v>0.70580434903837641</v>
      </c>
    </row>
    <row r="1011" spans="1:4" x14ac:dyDescent="0.3">
      <c r="A1011" s="25">
        <v>1010</v>
      </c>
      <c r="B1011" s="25">
        <f>LARGE(Data!$J$2:$J$2379,A1011)</f>
        <v>500</v>
      </c>
      <c r="C1011" s="25">
        <f t="shared" si="15"/>
        <v>861155</v>
      </c>
      <c r="D1011" s="28">
        <f>C1011/SUM(Data!$J$2:$J$2379)</f>
        <v>0.70621438810689885</v>
      </c>
    </row>
    <row r="1012" spans="1:4" x14ac:dyDescent="0.3">
      <c r="A1012" s="25">
        <v>1011</v>
      </c>
      <c r="B1012" s="25">
        <f>LARGE(Data!$J$2:$J$2379,A1012)</f>
        <v>500</v>
      </c>
      <c r="C1012" s="25">
        <f t="shared" si="15"/>
        <v>861655</v>
      </c>
      <c r="D1012" s="28">
        <f>C1012/SUM(Data!$J$2:$J$2379)</f>
        <v>0.70662442717542129</v>
      </c>
    </row>
    <row r="1013" spans="1:4" x14ac:dyDescent="0.3">
      <c r="A1013" s="25">
        <v>1012</v>
      </c>
      <c r="B1013" s="25">
        <f>LARGE(Data!$J$2:$J$2379,A1013)</f>
        <v>500</v>
      </c>
      <c r="C1013" s="25">
        <f t="shared" si="15"/>
        <v>862155</v>
      </c>
      <c r="D1013" s="28">
        <f>C1013/SUM(Data!$J$2:$J$2379)</f>
        <v>0.70703446624394373</v>
      </c>
    </row>
    <row r="1014" spans="1:4" x14ac:dyDescent="0.3">
      <c r="A1014" s="25">
        <v>1013</v>
      </c>
      <c r="B1014" s="25">
        <f>LARGE(Data!$J$2:$J$2379,A1014)</f>
        <v>500</v>
      </c>
      <c r="C1014" s="25">
        <f t="shared" si="15"/>
        <v>862655</v>
      </c>
      <c r="D1014" s="28">
        <f>C1014/SUM(Data!$J$2:$J$2379)</f>
        <v>0.70744450531246617</v>
      </c>
    </row>
    <row r="1015" spans="1:4" x14ac:dyDescent="0.3">
      <c r="A1015" s="25">
        <v>1014</v>
      </c>
      <c r="B1015" s="25">
        <f>LARGE(Data!$J$2:$J$2379,A1015)</f>
        <v>500</v>
      </c>
      <c r="C1015" s="25">
        <f t="shared" si="15"/>
        <v>863155</v>
      </c>
      <c r="D1015" s="28">
        <f>C1015/SUM(Data!$J$2:$J$2379)</f>
        <v>0.7078545443809886</v>
      </c>
    </row>
    <row r="1016" spans="1:4" x14ac:dyDescent="0.3">
      <c r="A1016" s="25">
        <v>1015</v>
      </c>
      <c r="B1016" s="25">
        <f>LARGE(Data!$J$2:$J$2379,A1016)</f>
        <v>500</v>
      </c>
      <c r="C1016" s="25">
        <f t="shared" si="15"/>
        <v>863655</v>
      </c>
      <c r="D1016" s="28">
        <f>C1016/SUM(Data!$J$2:$J$2379)</f>
        <v>0.70826458344951104</v>
      </c>
    </row>
    <row r="1017" spans="1:4" x14ac:dyDescent="0.3">
      <c r="A1017" s="25">
        <v>1016</v>
      </c>
      <c r="B1017" s="25">
        <f>LARGE(Data!$J$2:$J$2379,A1017)</f>
        <v>500</v>
      </c>
      <c r="C1017" s="25">
        <f t="shared" si="15"/>
        <v>864155</v>
      </c>
      <c r="D1017" s="28">
        <f>C1017/SUM(Data!$J$2:$J$2379)</f>
        <v>0.70867462251803348</v>
      </c>
    </row>
    <row r="1018" spans="1:4" x14ac:dyDescent="0.3">
      <c r="A1018" s="25">
        <v>1017</v>
      </c>
      <c r="B1018" s="25">
        <f>LARGE(Data!$J$2:$J$2379,A1018)</f>
        <v>500</v>
      </c>
      <c r="C1018" s="25">
        <f t="shared" si="15"/>
        <v>864655</v>
      </c>
      <c r="D1018" s="28">
        <f>C1018/SUM(Data!$J$2:$J$2379)</f>
        <v>0.70908466158655592</v>
      </c>
    </row>
    <row r="1019" spans="1:4" x14ac:dyDescent="0.3">
      <c r="A1019" s="25">
        <v>1018</v>
      </c>
      <c r="B1019" s="25">
        <f>LARGE(Data!$J$2:$J$2379,A1019)</f>
        <v>500</v>
      </c>
      <c r="C1019" s="25">
        <f t="shared" si="15"/>
        <v>865155</v>
      </c>
      <c r="D1019" s="28">
        <f>C1019/SUM(Data!$J$2:$J$2379)</f>
        <v>0.70949470065507847</v>
      </c>
    </row>
    <row r="1020" spans="1:4" x14ac:dyDescent="0.3">
      <c r="A1020" s="25">
        <v>1019</v>
      </c>
      <c r="B1020" s="25">
        <f>LARGE(Data!$J$2:$J$2379,A1020)</f>
        <v>500</v>
      </c>
      <c r="C1020" s="25">
        <f t="shared" si="15"/>
        <v>865655</v>
      </c>
      <c r="D1020" s="28">
        <f>C1020/SUM(Data!$J$2:$J$2379)</f>
        <v>0.70990473972360091</v>
      </c>
    </row>
    <row r="1021" spans="1:4" x14ac:dyDescent="0.3">
      <c r="A1021" s="25">
        <v>1020</v>
      </c>
      <c r="B1021" s="25">
        <f>LARGE(Data!$J$2:$J$2379,A1021)</f>
        <v>500</v>
      </c>
      <c r="C1021" s="25">
        <f t="shared" si="15"/>
        <v>866155</v>
      </c>
      <c r="D1021" s="28">
        <f>C1021/SUM(Data!$J$2:$J$2379)</f>
        <v>0.71031477879212335</v>
      </c>
    </row>
    <row r="1022" spans="1:4" x14ac:dyDescent="0.3">
      <c r="A1022" s="25">
        <v>1021</v>
      </c>
      <c r="B1022" s="25">
        <f>LARGE(Data!$J$2:$J$2379,A1022)</f>
        <v>500</v>
      </c>
      <c r="C1022" s="25">
        <f t="shared" si="15"/>
        <v>866655</v>
      </c>
      <c r="D1022" s="28">
        <f>C1022/SUM(Data!$J$2:$J$2379)</f>
        <v>0.71072481786064579</v>
      </c>
    </row>
    <row r="1023" spans="1:4" x14ac:dyDescent="0.3">
      <c r="A1023" s="25">
        <v>1022</v>
      </c>
      <c r="B1023" s="25">
        <f>LARGE(Data!$J$2:$J$2379,A1023)</f>
        <v>500</v>
      </c>
      <c r="C1023" s="25">
        <f t="shared" si="15"/>
        <v>867155</v>
      </c>
      <c r="D1023" s="28">
        <f>C1023/SUM(Data!$J$2:$J$2379)</f>
        <v>0.71113485692916822</v>
      </c>
    </row>
    <row r="1024" spans="1:4" x14ac:dyDescent="0.3">
      <c r="A1024" s="25">
        <v>1023</v>
      </c>
      <c r="B1024" s="25">
        <f>LARGE(Data!$J$2:$J$2379,A1024)</f>
        <v>500</v>
      </c>
      <c r="C1024" s="25">
        <f t="shared" si="15"/>
        <v>867655</v>
      </c>
      <c r="D1024" s="28">
        <f>C1024/SUM(Data!$J$2:$J$2379)</f>
        <v>0.71154489599769066</v>
      </c>
    </row>
    <row r="1025" spans="1:4" x14ac:dyDescent="0.3">
      <c r="A1025" s="25">
        <v>1024</v>
      </c>
      <c r="B1025" s="25">
        <f>LARGE(Data!$J$2:$J$2379,A1025)</f>
        <v>500</v>
      </c>
      <c r="C1025" s="25">
        <f t="shared" si="15"/>
        <v>868155</v>
      </c>
      <c r="D1025" s="28">
        <f>C1025/SUM(Data!$J$2:$J$2379)</f>
        <v>0.7119549350662131</v>
      </c>
    </row>
    <row r="1026" spans="1:4" x14ac:dyDescent="0.3">
      <c r="A1026" s="25">
        <v>1025</v>
      </c>
      <c r="B1026" s="25">
        <f>LARGE(Data!$J$2:$J$2379,A1026)</f>
        <v>500</v>
      </c>
      <c r="C1026" s="25">
        <f t="shared" si="15"/>
        <v>868655</v>
      </c>
      <c r="D1026" s="28">
        <f>C1026/SUM(Data!$J$2:$J$2379)</f>
        <v>0.71236497413473554</v>
      </c>
    </row>
    <row r="1027" spans="1:4" x14ac:dyDescent="0.3">
      <c r="A1027" s="25">
        <v>1026</v>
      </c>
      <c r="B1027" s="25">
        <f>LARGE(Data!$J$2:$J$2379,A1027)</f>
        <v>500</v>
      </c>
      <c r="C1027" s="25">
        <f t="shared" ref="C1027:C1090" si="16">C1026+B1027</f>
        <v>869155</v>
      </c>
      <c r="D1027" s="28">
        <f>C1027/SUM(Data!$J$2:$J$2379)</f>
        <v>0.71277501320325798</v>
      </c>
    </row>
    <row r="1028" spans="1:4" x14ac:dyDescent="0.3">
      <c r="A1028" s="25">
        <v>1027</v>
      </c>
      <c r="B1028" s="25">
        <f>LARGE(Data!$J$2:$J$2379,A1028)</f>
        <v>500</v>
      </c>
      <c r="C1028" s="25">
        <f t="shared" si="16"/>
        <v>869655</v>
      </c>
      <c r="D1028" s="28">
        <f>C1028/SUM(Data!$J$2:$J$2379)</f>
        <v>0.71318505227178042</v>
      </c>
    </row>
    <row r="1029" spans="1:4" x14ac:dyDescent="0.3">
      <c r="A1029" s="25">
        <v>1028</v>
      </c>
      <c r="B1029" s="25">
        <f>LARGE(Data!$J$2:$J$2379,A1029)</f>
        <v>500</v>
      </c>
      <c r="C1029" s="25">
        <f t="shared" si="16"/>
        <v>870155</v>
      </c>
      <c r="D1029" s="28">
        <f>C1029/SUM(Data!$J$2:$J$2379)</f>
        <v>0.71359509134030286</v>
      </c>
    </row>
    <row r="1030" spans="1:4" x14ac:dyDescent="0.3">
      <c r="A1030" s="25">
        <v>1029</v>
      </c>
      <c r="B1030" s="25">
        <f>LARGE(Data!$J$2:$J$2379,A1030)</f>
        <v>500</v>
      </c>
      <c r="C1030" s="25">
        <f t="shared" si="16"/>
        <v>870655</v>
      </c>
      <c r="D1030" s="28">
        <f>C1030/SUM(Data!$J$2:$J$2379)</f>
        <v>0.71400513040882541</v>
      </c>
    </row>
    <row r="1031" spans="1:4" x14ac:dyDescent="0.3">
      <c r="A1031" s="25">
        <v>1030</v>
      </c>
      <c r="B1031" s="25">
        <f>LARGE(Data!$J$2:$J$2379,A1031)</f>
        <v>500</v>
      </c>
      <c r="C1031" s="25">
        <f t="shared" si="16"/>
        <v>871155</v>
      </c>
      <c r="D1031" s="28">
        <f>C1031/SUM(Data!$J$2:$J$2379)</f>
        <v>0.71441516947734784</v>
      </c>
    </row>
    <row r="1032" spans="1:4" x14ac:dyDescent="0.3">
      <c r="A1032" s="25">
        <v>1031</v>
      </c>
      <c r="B1032" s="25">
        <f>LARGE(Data!$J$2:$J$2379,A1032)</f>
        <v>500</v>
      </c>
      <c r="C1032" s="25">
        <f t="shared" si="16"/>
        <v>871655</v>
      </c>
      <c r="D1032" s="28">
        <f>C1032/SUM(Data!$J$2:$J$2379)</f>
        <v>0.71482520854587028</v>
      </c>
    </row>
    <row r="1033" spans="1:4" x14ac:dyDescent="0.3">
      <c r="A1033" s="25">
        <v>1032</v>
      </c>
      <c r="B1033" s="25">
        <f>LARGE(Data!$J$2:$J$2379,A1033)</f>
        <v>500</v>
      </c>
      <c r="C1033" s="25">
        <f t="shared" si="16"/>
        <v>872155</v>
      </c>
      <c r="D1033" s="28">
        <f>C1033/SUM(Data!$J$2:$J$2379)</f>
        <v>0.71523524761439272</v>
      </c>
    </row>
    <row r="1034" spans="1:4" x14ac:dyDescent="0.3">
      <c r="A1034" s="25">
        <v>1033</v>
      </c>
      <c r="B1034" s="25">
        <f>LARGE(Data!$J$2:$J$2379,A1034)</f>
        <v>500</v>
      </c>
      <c r="C1034" s="25">
        <f t="shared" si="16"/>
        <v>872655</v>
      </c>
      <c r="D1034" s="28">
        <f>C1034/SUM(Data!$J$2:$J$2379)</f>
        <v>0.71564528668291516</v>
      </c>
    </row>
    <row r="1035" spans="1:4" x14ac:dyDescent="0.3">
      <c r="A1035" s="25">
        <v>1034</v>
      </c>
      <c r="B1035" s="25">
        <f>LARGE(Data!$J$2:$J$2379,A1035)</f>
        <v>500</v>
      </c>
      <c r="C1035" s="25">
        <f t="shared" si="16"/>
        <v>873155</v>
      </c>
      <c r="D1035" s="28">
        <f>C1035/SUM(Data!$J$2:$J$2379)</f>
        <v>0.7160553257514376</v>
      </c>
    </row>
    <row r="1036" spans="1:4" x14ac:dyDescent="0.3">
      <c r="A1036" s="25">
        <v>1035</v>
      </c>
      <c r="B1036" s="25">
        <f>LARGE(Data!$J$2:$J$2379,A1036)</f>
        <v>500</v>
      </c>
      <c r="C1036" s="25">
        <f t="shared" si="16"/>
        <v>873655</v>
      </c>
      <c r="D1036" s="28">
        <f>C1036/SUM(Data!$J$2:$J$2379)</f>
        <v>0.71646536481996004</v>
      </c>
    </row>
    <row r="1037" spans="1:4" x14ac:dyDescent="0.3">
      <c r="A1037" s="25">
        <v>1036</v>
      </c>
      <c r="B1037" s="25">
        <f>LARGE(Data!$J$2:$J$2379,A1037)</f>
        <v>500</v>
      </c>
      <c r="C1037" s="25">
        <f t="shared" si="16"/>
        <v>874155</v>
      </c>
      <c r="D1037" s="28">
        <f>C1037/SUM(Data!$J$2:$J$2379)</f>
        <v>0.71687540388848248</v>
      </c>
    </row>
    <row r="1038" spans="1:4" x14ac:dyDescent="0.3">
      <c r="A1038" s="25">
        <v>1037</v>
      </c>
      <c r="B1038" s="25">
        <f>LARGE(Data!$J$2:$J$2379,A1038)</f>
        <v>500</v>
      </c>
      <c r="C1038" s="25">
        <f t="shared" si="16"/>
        <v>874655</v>
      </c>
      <c r="D1038" s="28">
        <f>C1038/SUM(Data!$J$2:$J$2379)</f>
        <v>0.71728544295700492</v>
      </c>
    </row>
    <row r="1039" spans="1:4" x14ac:dyDescent="0.3">
      <c r="A1039" s="25">
        <v>1038</v>
      </c>
      <c r="B1039" s="25">
        <f>LARGE(Data!$J$2:$J$2379,A1039)</f>
        <v>500</v>
      </c>
      <c r="C1039" s="25">
        <f t="shared" si="16"/>
        <v>875155</v>
      </c>
      <c r="D1039" s="28">
        <f>C1039/SUM(Data!$J$2:$J$2379)</f>
        <v>0.71769548202552735</v>
      </c>
    </row>
    <row r="1040" spans="1:4" x14ac:dyDescent="0.3">
      <c r="A1040" s="25">
        <v>1039</v>
      </c>
      <c r="B1040" s="25">
        <f>LARGE(Data!$J$2:$J$2379,A1040)</f>
        <v>500</v>
      </c>
      <c r="C1040" s="25">
        <f t="shared" si="16"/>
        <v>875655</v>
      </c>
      <c r="D1040" s="28">
        <f>C1040/SUM(Data!$J$2:$J$2379)</f>
        <v>0.71810552109404979</v>
      </c>
    </row>
    <row r="1041" spans="1:4" x14ac:dyDescent="0.3">
      <c r="A1041" s="25">
        <v>1040</v>
      </c>
      <c r="B1041" s="25">
        <f>LARGE(Data!$J$2:$J$2379,A1041)</f>
        <v>500</v>
      </c>
      <c r="C1041" s="25">
        <f t="shared" si="16"/>
        <v>876155</v>
      </c>
      <c r="D1041" s="28">
        <f>C1041/SUM(Data!$J$2:$J$2379)</f>
        <v>0.71851556016257234</v>
      </c>
    </row>
    <row r="1042" spans="1:4" x14ac:dyDescent="0.3">
      <c r="A1042" s="25">
        <v>1041</v>
      </c>
      <c r="B1042" s="25">
        <f>LARGE(Data!$J$2:$J$2379,A1042)</f>
        <v>500</v>
      </c>
      <c r="C1042" s="25">
        <f t="shared" si="16"/>
        <v>876655</v>
      </c>
      <c r="D1042" s="28">
        <f>C1042/SUM(Data!$J$2:$J$2379)</f>
        <v>0.71892559923109478</v>
      </c>
    </row>
    <row r="1043" spans="1:4" x14ac:dyDescent="0.3">
      <c r="A1043" s="25">
        <v>1042</v>
      </c>
      <c r="B1043" s="25">
        <f>LARGE(Data!$J$2:$J$2379,A1043)</f>
        <v>500</v>
      </c>
      <c r="C1043" s="25">
        <f t="shared" si="16"/>
        <v>877155</v>
      </c>
      <c r="D1043" s="28">
        <f>C1043/SUM(Data!$J$2:$J$2379)</f>
        <v>0.71933563829961722</v>
      </c>
    </row>
    <row r="1044" spans="1:4" x14ac:dyDescent="0.3">
      <c r="A1044" s="25">
        <v>1043</v>
      </c>
      <c r="B1044" s="25">
        <f>LARGE(Data!$J$2:$J$2379,A1044)</f>
        <v>500</v>
      </c>
      <c r="C1044" s="25">
        <f t="shared" si="16"/>
        <v>877655</v>
      </c>
      <c r="D1044" s="28">
        <f>C1044/SUM(Data!$J$2:$J$2379)</f>
        <v>0.71974567736813966</v>
      </c>
    </row>
    <row r="1045" spans="1:4" x14ac:dyDescent="0.3">
      <c r="A1045" s="25">
        <v>1044</v>
      </c>
      <c r="B1045" s="25">
        <f>LARGE(Data!$J$2:$J$2379,A1045)</f>
        <v>500</v>
      </c>
      <c r="C1045" s="25">
        <f t="shared" si="16"/>
        <v>878155</v>
      </c>
      <c r="D1045" s="28">
        <f>C1045/SUM(Data!$J$2:$J$2379)</f>
        <v>0.7201557164366621</v>
      </c>
    </row>
    <row r="1046" spans="1:4" x14ac:dyDescent="0.3">
      <c r="A1046" s="25">
        <v>1045</v>
      </c>
      <c r="B1046" s="25">
        <f>LARGE(Data!$J$2:$J$2379,A1046)</f>
        <v>500</v>
      </c>
      <c r="C1046" s="25">
        <f t="shared" si="16"/>
        <v>878655</v>
      </c>
      <c r="D1046" s="28">
        <f>C1046/SUM(Data!$J$2:$J$2379)</f>
        <v>0.72056575550518454</v>
      </c>
    </row>
    <row r="1047" spans="1:4" x14ac:dyDescent="0.3">
      <c r="A1047" s="25">
        <v>1046</v>
      </c>
      <c r="B1047" s="25">
        <f>LARGE(Data!$J$2:$J$2379,A1047)</f>
        <v>500</v>
      </c>
      <c r="C1047" s="25">
        <f t="shared" si="16"/>
        <v>879155</v>
      </c>
      <c r="D1047" s="28">
        <f>C1047/SUM(Data!$J$2:$J$2379)</f>
        <v>0.72097579457370697</v>
      </c>
    </row>
    <row r="1048" spans="1:4" x14ac:dyDescent="0.3">
      <c r="A1048" s="25">
        <v>1047</v>
      </c>
      <c r="B1048" s="25">
        <f>LARGE(Data!$J$2:$J$2379,A1048)</f>
        <v>500</v>
      </c>
      <c r="C1048" s="25">
        <f t="shared" si="16"/>
        <v>879655</v>
      </c>
      <c r="D1048" s="28">
        <f>C1048/SUM(Data!$J$2:$J$2379)</f>
        <v>0.72138583364222941</v>
      </c>
    </row>
    <row r="1049" spans="1:4" x14ac:dyDescent="0.3">
      <c r="A1049" s="25">
        <v>1048</v>
      </c>
      <c r="B1049" s="25">
        <f>LARGE(Data!$J$2:$J$2379,A1049)</f>
        <v>500</v>
      </c>
      <c r="C1049" s="25">
        <f t="shared" si="16"/>
        <v>880155</v>
      </c>
      <c r="D1049" s="28">
        <f>C1049/SUM(Data!$J$2:$J$2379)</f>
        <v>0.72179587271075185</v>
      </c>
    </row>
    <row r="1050" spans="1:4" x14ac:dyDescent="0.3">
      <c r="A1050" s="25">
        <v>1049</v>
      </c>
      <c r="B1050" s="25">
        <f>LARGE(Data!$J$2:$J$2379,A1050)</f>
        <v>500</v>
      </c>
      <c r="C1050" s="25">
        <f t="shared" si="16"/>
        <v>880655</v>
      </c>
      <c r="D1050" s="28">
        <f>C1050/SUM(Data!$J$2:$J$2379)</f>
        <v>0.72220591177927429</v>
      </c>
    </row>
    <row r="1051" spans="1:4" x14ac:dyDescent="0.3">
      <c r="A1051" s="25">
        <v>1050</v>
      </c>
      <c r="B1051" s="25">
        <f>LARGE(Data!$J$2:$J$2379,A1051)</f>
        <v>500</v>
      </c>
      <c r="C1051" s="25">
        <f t="shared" si="16"/>
        <v>881155</v>
      </c>
      <c r="D1051" s="28">
        <f>C1051/SUM(Data!$J$2:$J$2379)</f>
        <v>0.72261595084779673</v>
      </c>
    </row>
    <row r="1052" spans="1:4" x14ac:dyDescent="0.3">
      <c r="A1052" s="25">
        <v>1051</v>
      </c>
      <c r="B1052" s="25">
        <f>LARGE(Data!$J$2:$J$2379,A1052)</f>
        <v>500</v>
      </c>
      <c r="C1052" s="25">
        <f t="shared" si="16"/>
        <v>881655</v>
      </c>
      <c r="D1052" s="28">
        <f>C1052/SUM(Data!$J$2:$J$2379)</f>
        <v>0.72302598991631928</v>
      </c>
    </row>
    <row r="1053" spans="1:4" x14ac:dyDescent="0.3">
      <c r="A1053" s="25">
        <v>1052</v>
      </c>
      <c r="B1053" s="25">
        <f>LARGE(Data!$J$2:$J$2379,A1053)</f>
        <v>500</v>
      </c>
      <c r="C1053" s="25">
        <f t="shared" si="16"/>
        <v>882155</v>
      </c>
      <c r="D1053" s="28">
        <f>C1053/SUM(Data!$J$2:$J$2379)</f>
        <v>0.72343602898484172</v>
      </c>
    </row>
    <row r="1054" spans="1:4" x14ac:dyDescent="0.3">
      <c r="A1054" s="25">
        <v>1053</v>
      </c>
      <c r="B1054" s="25">
        <f>LARGE(Data!$J$2:$J$2379,A1054)</f>
        <v>500</v>
      </c>
      <c r="C1054" s="25">
        <f t="shared" si="16"/>
        <v>882655</v>
      </c>
      <c r="D1054" s="28">
        <f>C1054/SUM(Data!$J$2:$J$2379)</f>
        <v>0.72384606805336416</v>
      </c>
    </row>
    <row r="1055" spans="1:4" x14ac:dyDescent="0.3">
      <c r="A1055" s="25">
        <v>1054</v>
      </c>
      <c r="B1055" s="25">
        <f>LARGE(Data!$J$2:$J$2379,A1055)</f>
        <v>480</v>
      </c>
      <c r="C1055" s="25">
        <f t="shared" si="16"/>
        <v>883135</v>
      </c>
      <c r="D1055" s="28">
        <f>C1055/SUM(Data!$J$2:$J$2379)</f>
        <v>0.72423970555914563</v>
      </c>
    </row>
    <row r="1056" spans="1:4" x14ac:dyDescent="0.3">
      <c r="A1056" s="25">
        <v>1055</v>
      </c>
      <c r="B1056" s="25">
        <f>LARGE(Data!$J$2:$J$2379,A1056)</f>
        <v>480</v>
      </c>
      <c r="C1056" s="25">
        <f t="shared" si="16"/>
        <v>883615</v>
      </c>
      <c r="D1056" s="28">
        <f>C1056/SUM(Data!$J$2:$J$2379)</f>
        <v>0.72463334306492722</v>
      </c>
    </row>
    <row r="1057" spans="1:4" x14ac:dyDescent="0.3">
      <c r="A1057" s="25">
        <v>1056</v>
      </c>
      <c r="B1057" s="25">
        <f>LARGE(Data!$J$2:$J$2379,A1057)</f>
        <v>480</v>
      </c>
      <c r="C1057" s="25">
        <f t="shared" si="16"/>
        <v>884095</v>
      </c>
      <c r="D1057" s="28">
        <f>C1057/SUM(Data!$J$2:$J$2379)</f>
        <v>0.7250269805707088</v>
      </c>
    </row>
    <row r="1058" spans="1:4" x14ac:dyDescent="0.3">
      <c r="A1058" s="25">
        <v>1057</v>
      </c>
      <c r="B1058" s="25">
        <f>LARGE(Data!$J$2:$J$2379,A1058)</f>
        <v>480</v>
      </c>
      <c r="C1058" s="25">
        <f t="shared" si="16"/>
        <v>884575</v>
      </c>
      <c r="D1058" s="28">
        <f>C1058/SUM(Data!$J$2:$J$2379)</f>
        <v>0.72542061807649028</v>
      </c>
    </row>
    <row r="1059" spans="1:4" x14ac:dyDescent="0.3">
      <c r="A1059" s="25">
        <v>1058</v>
      </c>
      <c r="B1059" s="25">
        <f>LARGE(Data!$J$2:$J$2379,A1059)</f>
        <v>480</v>
      </c>
      <c r="C1059" s="25">
        <f t="shared" si="16"/>
        <v>885055</v>
      </c>
      <c r="D1059" s="28">
        <f>C1059/SUM(Data!$J$2:$J$2379)</f>
        <v>0.72581425558227186</v>
      </c>
    </row>
    <row r="1060" spans="1:4" x14ac:dyDescent="0.3">
      <c r="A1060" s="25">
        <v>1059</v>
      </c>
      <c r="B1060" s="25">
        <f>LARGE(Data!$J$2:$J$2379,A1060)</f>
        <v>480</v>
      </c>
      <c r="C1060" s="25">
        <f t="shared" si="16"/>
        <v>885535</v>
      </c>
      <c r="D1060" s="28">
        <f>C1060/SUM(Data!$J$2:$J$2379)</f>
        <v>0.72620789308805345</v>
      </c>
    </row>
    <row r="1061" spans="1:4" x14ac:dyDescent="0.3">
      <c r="A1061" s="25">
        <v>1060</v>
      </c>
      <c r="B1061" s="25">
        <f>LARGE(Data!$J$2:$J$2379,A1061)</f>
        <v>480</v>
      </c>
      <c r="C1061" s="25">
        <f t="shared" si="16"/>
        <v>886015</v>
      </c>
      <c r="D1061" s="28">
        <f>C1061/SUM(Data!$J$2:$J$2379)</f>
        <v>0.72660153059383503</v>
      </c>
    </row>
    <row r="1062" spans="1:4" x14ac:dyDescent="0.3">
      <c r="A1062" s="25">
        <v>1061</v>
      </c>
      <c r="B1062" s="25">
        <f>LARGE(Data!$J$2:$J$2379,A1062)</f>
        <v>480</v>
      </c>
      <c r="C1062" s="25">
        <f t="shared" si="16"/>
        <v>886495</v>
      </c>
      <c r="D1062" s="28">
        <f>C1062/SUM(Data!$J$2:$J$2379)</f>
        <v>0.72699516809961651</v>
      </c>
    </row>
    <row r="1063" spans="1:4" x14ac:dyDescent="0.3">
      <c r="A1063" s="25">
        <v>1062</v>
      </c>
      <c r="B1063" s="25">
        <f>LARGE(Data!$J$2:$J$2379,A1063)</f>
        <v>480</v>
      </c>
      <c r="C1063" s="25">
        <f t="shared" si="16"/>
        <v>886975</v>
      </c>
      <c r="D1063" s="28">
        <f>C1063/SUM(Data!$J$2:$J$2379)</f>
        <v>0.72738880560539809</v>
      </c>
    </row>
    <row r="1064" spans="1:4" x14ac:dyDescent="0.3">
      <c r="A1064" s="25">
        <v>1063</v>
      </c>
      <c r="B1064" s="25">
        <f>LARGE(Data!$J$2:$J$2379,A1064)</f>
        <v>480</v>
      </c>
      <c r="C1064" s="25">
        <f t="shared" si="16"/>
        <v>887455</v>
      </c>
      <c r="D1064" s="28">
        <f>C1064/SUM(Data!$J$2:$J$2379)</f>
        <v>0.72778244311117968</v>
      </c>
    </row>
    <row r="1065" spans="1:4" x14ac:dyDescent="0.3">
      <c r="A1065" s="25">
        <v>1064</v>
      </c>
      <c r="B1065" s="25">
        <f>LARGE(Data!$J$2:$J$2379,A1065)</f>
        <v>480</v>
      </c>
      <c r="C1065" s="25">
        <f t="shared" si="16"/>
        <v>887935</v>
      </c>
      <c r="D1065" s="28">
        <f>C1065/SUM(Data!$J$2:$J$2379)</f>
        <v>0.72817608061696115</v>
      </c>
    </row>
    <row r="1066" spans="1:4" x14ac:dyDescent="0.3">
      <c r="A1066" s="25">
        <v>1065</v>
      </c>
      <c r="B1066" s="25">
        <f>LARGE(Data!$J$2:$J$2379,A1066)</f>
        <v>480</v>
      </c>
      <c r="C1066" s="25">
        <f t="shared" si="16"/>
        <v>888415</v>
      </c>
      <c r="D1066" s="28">
        <f>C1066/SUM(Data!$J$2:$J$2379)</f>
        <v>0.72856971812274274</v>
      </c>
    </row>
    <row r="1067" spans="1:4" x14ac:dyDescent="0.3">
      <c r="A1067" s="25">
        <v>1066</v>
      </c>
      <c r="B1067" s="25">
        <f>LARGE(Data!$J$2:$J$2379,A1067)</f>
        <v>480</v>
      </c>
      <c r="C1067" s="25">
        <f t="shared" si="16"/>
        <v>888895</v>
      </c>
      <c r="D1067" s="28">
        <f>C1067/SUM(Data!$J$2:$J$2379)</f>
        <v>0.72896335562852432</v>
      </c>
    </row>
    <row r="1068" spans="1:4" x14ac:dyDescent="0.3">
      <c r="A1068" s="25">
        <v>1067</v>
      </c>
      <c r="B1068" s="25">
        <f>LARGE(Data!$J$2:$J$2379,A1068)</f>
        <v>480</v>
      </c>
      <c r="C1068" s="25">
        <f t="shared" si="16"/>
        <v>889375</v>
      </c>
      <c r="D1068" s="28">
        <f>C1068/SUM(Data!$J$2:$J$2379)</f>
        <v>0.7293569931343058</v>
      </c>
    </row>
    <row r="1069" spans="1:4" x14ac:dyDescent="0.3">
      <c r="A1069" s="25">
        <v>1068</v>
      </c>
      <c r="B1069" s="25">
        <f>LARGE(Data!$J$2:$J$2379,A1069)</f>
        <v>480</v>
      </c>
      <c r="C1069" s="25">
        <f t="shared" si="16"/>
        <v>889855</v>
      </c>
      <c r="D1069" s="28">
        <f>C1069/SUM(Data!$J$2:$J$2379)</f>
        <v>0.72975063064008738</v>
      </c>
    </row>
    <row r="1070" spans="1:4" x14ac:dyDescent="0.3">
      <c r="A1070" s="25">
        <v>1069</v>
      </c>
      <c r="B1070" s="25">
        <f>LARGE(Data!$J$2:$J$2379,A1070)</f>
        <v>480</v>
      </c>
      <c r="C1070" s="25">
        <f t="shared" si="16"/>
        <v>890335</v>
      </c>
      <c r="D1070" s="28">
        <f>C1070/SUM(Data!$J$2:$J$2379)</f>
        <v>0.73014426814586897</v>
      </c>
    </row>
    <row r="1071" spans="1:4" x14ac:dyDescent="0.3">
      <c r="A1071" s="25">
        <v>1070</v>
      </c>
      <c r="B1071" s="25">
        <f>LARGE(Data!$J$2:$J$2379,A1071)</f>
        <v>480</v>
      </c>
      <c r="C1071" s="25">
        <f t="shared" si="16"/>
        <v>890815</v>
      </c>
      <c r="D1071" s="28">
        <f>C1071/SUM(Data!$J$2:$J$2379)</f>
        <v>0.73053790565165044</v>
      </c>
    </row>
    <row r="1072" spans="1:4" x14ac:dyDescent="0.3">
      <c r="A1072" s="25">
        <v>1071</v>
      </c>
      <c r="B1072" s="25">
        <f>LARGE(Data!$J$2:$J$2379,A1072)</f>
        <v>475</v>
      </c>
      <c r="C1072" s="25">
        <f t="shared" si="16"/>
        <v>891290</v>
      </c>
      <c r="D1072" s="28">
        <f>C1072/SUM(Data!$J$2:$J$2379)</f>
        <v>0.73092744276674682</v>
      </c>
    </row>
    <row r="1073" spans="1:4" x14ac:dyDescent="0.3">
      <c r="A1073" s="25">
        <v>1072</v>
      </c>
      <c r="B1073" s="25">
        <f>LARGE(Data!$J$2:$J$2379,A1073)</f>
        <v>475</v>
      </c>
      <c r="C1073" s="25">
        <f t="shared" si="16"/>
        <v>891765</v>
      </c>
      <c r="D1073" s="28">
        <f>C1073/SUM(Data!$J$2:$J$2379)</f>
        <v>0.73131697988184319</v>
      </c>
    </row>
    <row r="1074" spans="1:4" x14ac:dyDescent="0.3">
      <c r="A1074" s="25">
        <v>1073</v>
      </c>
      <c r="B1074" s="25">
        <f>LARGE(Data!$J$2:$J$2379,A1074)</f>
        <v>475</v>
      </c>
      <c r="C1074" s="25">
        <f t="shared" si="16"/>
        <v>892240</v>
      </c>
      <c r="D1074" s="28">
        <f>C1074/SUM(Data!$J$2:$J$2379)</f>
        <v>0.73170651699693945</v>
      </c>
    </row>
    <row r="1075" spans="1:4" x14ac:dyDescent="0.3">
      <c r="A1075" s="25">
        <v>1074</v>
      </c>
      <c r="B1075" s="25">
        <f>LARGE(Data!$J$2:$J$2379,A1075)</f>
        <v>475</v>
      </c>
      <c r="C1075" s="25">
        <f t="shared" si="16"/>
        <v>892715</v>
      </c>
      <c r="D1075" s="28">
        <f>C1075/SUM(Data!$J$2:$J$2379)</f>
        <v>0.73209605411203582</v>
      </c>
    </row>
    <row r="1076" spans="1:4" x14ac:dyDescent="0.3">
      <c r="A1076" s="25">
        <v>1075</v>
      </c>
      <c r="B1076" s="25">
        <f>LARGE(Data!$J$2:$J$2379,A1076)</f>
        <v>475</v>
      </c>
      <c r="C1076" s="25">
        <f t="shared" si="16"/>
        <v>893190</v>
      </c>
      <c r="D1076" s="28">
        <f>C1076/SUM(Data!$J$2:$J$2379)</f>
        <v>0.73248559122713208</v>
      </c>
    </row>
    <row r="1077" spans="1:4" x14ac:dyDescent="0.3">
      <c r="A1077" s="25">
        <v>1076</v>
      </c>
      <c r="B1077" s="25">
        <f>LARGE(Data!$J$2:$J$2379,A1077)</f>
        <v>475</v>
      </c>
      <c r="C1077" s="25">
        <f t="shared" si="16"/>
        <v>893665</v>
      </c>
      <c r="D1077" s="28">
        <f>C1077/SUM(Data!$J$2:$J$2379)</f>
        <v>0.73287512834222845</v>
      </c>
    </row>
    <row r="1078" spans="1:4" x14ac:dyDescent="0.3">
      <c r="A1078" s="25">
        <v>1077</v>
      </c>
      <c r="B1078" s="25">
        <f>LARGE(Data!$J$2:$J$2379,A1078)</f>
        <v>475</v>
      </c>
      <c r="C1078" s="25">
        <f t="shared" si="16"/>
        <v>894140</v>
      </c>
      <c r="D1078" s="28">
        <f>C1078/SUM(Data!$J$2:$J$2379)</f>
        <v>0.73326466545732483</v>
      </c>
    </row>
    <row r="1079" spans="1:4" x14ac:dyDescent="0.3">
      <c r="A1079" s="25">
        <v>1078</v>
      </c>
      <c r="B1079" s="25">
        <f>LARGE(Data!$J$2:$J$2379,A1079)</f>
        <v>475</v>
      </c>
      <c r="C1079" s="25">
        <f t="shared" si="16"/>
        <v>894615</v>
      </c>
      <c r="D1079" s="28">
        <f>C1079/SUM(Data!$J$2:$J$2379)</f>
        <v>0.73365420257242109</v>
      </c>
    </row>
    <row r="1080" spans="1:4" x14ac:dyDescent="0.3">
      <c r="A1080" s="25">
        <v>1079</v>
      </c>
      <c r="B1080" s="25">
        <f>LARGE(Data!$J$2:$J$2379,A1080)</f>
        <v>475</v>
      </c>
      <c r="C1080" s="25">
        <f t="shared" si="16"/>
        <v>895090</v>
      </c>
      <c r="D1080" s="28">
        <f>C1080/SUM(Data!$J$2:$J$2379)</f>
        <v>0.73404373968751746</v>
      </c>
    </row>
    <row r="1081" spans="1:4" x14ac:dyDescent="0.3">
      <c r="A1081" s="25">
        <v>1080</v>
      </c>
      <c r="B1081" s="25">
        <f>LARGE(Data!$J$2:$J$2379,A1081)</f>
        <v>450</v>
      </c>
      <c r="C1081" s="25">
        <f t="shared" si="16"/>
        <v>895540</v>
      </c>
      <c r="D1081" s="28">
        <f>C1081/SUM(Data!$J$2:$J$2379)</f>
        <v>0.73441277484918766</v>
      </c>
    </row>
    <row r="1082" spans="1:4" x14ac:dyDescent="0.3">
      <c r="A1082" s="25">
        <v>1081</v>
      </c>
      <c r="B1082" s="25">
        <f>LARGE(Data!$J$2:$J$2379,A1082)</f>
        <v>450</v>
      </c>
      <c r="C1082" s="25">
        <f t="shared" si="16"/>
        <v>895990</v>
      </c>
      <c r="D1082" s="28">
        <f>C1082/SUM(Data!$J$2:$J$2379)</f>
        <v>0.73478181001085785</v>
      </c>
    </row>
    <row r="1083" spans="1:4" x14ac:dyDescent="0.3">
      <c r="A1083" s="25">
        <v>1082</v>
      </c>
      <c r="B1083" s="25">
        <f>LARGE(Data!$J$2:$J$2379,A1083)</f>
        <v>450</v>
      </c>
      <c r="C1083" s="25">
        <f t="shared" si="16"/>
        <v>896440</v>
      </c>
      <c r="D1083" s="28">
        <f>C1083/SUM(Data!$J$2:$J$2379)</f>
        <v>0.73515084517252804</v>
      </c>
    </row>
    <row r="1084" spans="1:4" x14ac:dyDescent="0.3">
      <c r="A1084" s="25">
        <v>1083</v>
      </c>
      <c r="B1084" s="25">
        <f>LARGE(Data!$J$2:$J$2379,A1084)</f>
        <v>450</v>
      </c>
      <c r="C1084" s="25">
        <f t="shared" si="16"/>
        <v>896890</v>
      </c>
      <c r="D1084" s="28">
        <f>C1084/SUM(Data!$J$2:$J$2379)</f>
        <v>0.73551988033419824</v>
      </c>
    </row>
    <row r="1085" spans="1:4" x14ac:dyDescent="0.3">
      <c r="A1085" s="25">
        <v>1084</v>
      </c>
      <c r="B1085" s="25">
        <f>LARGE(Data!$J$2:$J$2379,A1085)</f>
        <v>450</v>
      </c>
      <c r="C1085" s="25">
        <f t="shared" si="16"/>
        <v>897340</v>
      </c>
      <c r="D1085" s="28">
        <f>C1085/SUM(Data!$J$2:$J$2379)</f>
        <v>0.73588891549586843</v>
      </c>
    </row>
    <row r="1086" spans="1:4" x14ac:dyDescent="0.3">
      <c r="A1086" s="25">
        <v>1085</v>
      </c>
      <c r="B1086" s="25">
        <f>LARGE(Data!$J$2:$J$2379,A1086)</f>
        <v>450</v>
      </c>
      <c r="C1086" s="25">
        <f t="shared" si="16"/>
        <v>897790</v>
      </c>
      <c r="D1086" s="28">
        <f>C1086/SUM(Data!$J$2:$J$2379)</f>
        <v>0.73625795065753863</v>
      </c>
    </row>
    <row r="1087" spans="1:4" x14ac:dyDescent="0.3">
      <c r="A1087" s="25">
        <v>1086</v>
      </c>
      <c r="B1087" s="25">
        <f>LARGE(Data!$J$2:$J$2379,A1087)</f>
        <v>450</v>
      </c>
      <c r="C1087" s="25">
        <f t="shared" si="16"/>
        <v>898240</v>
      </c>
      <c r="D1087" s="28">
        <f>C1087/SUM(Data!$J$2:$J$2379)</f>
        <v>0.73662698581920882</v>
      </c>
    </row>
    <row r="1088" spans="1:4" x14ac:dyDescent="0.3">
      <c r="A1088" s="25">
        <v>1087</v>
      </c>
      <c r="B1088" s="25">
        <f>LARGE(Data!$J$2:$J$2379,A1088)</f>
        <v>450</v>
      </c>
      <c r="C1088" s="25">
        <f t="shared" si="16"/>
        <v>898690</v>
      </c>
      <c r="D1088" s="28">
        <f>C1088/SUM(Data!$J$2:$J$2379)</f>
        <v>0.73699602098087902</v>
      </c>
    </row>
    <row r="1089" spans="1:4" x14ac:dyDescent="0.3">
      <c r="A1089" s="25">
        <v>1088</v>
      </c>
      <c r="B1089" s="25">
        <f>LARGE(Data!$J$2:$J$2379,A1089)</f>
        <v>450</v>
      </c>
      <c r="C1089" s="25">
        <f t="shared" si="16"/>
        <v>899140</v>
      </c>
      <c r="D1089" s="28">
        <f>C1089/SUM(Data!$J$2:$J$2379)</f>
        <v>0.73736505614254921</v>
      </c>
    </row>
    <row r="1090" spans="1:4" x14ac:dyDescent="0.3">
      <c r="A1090" s="25">
        <v>1089</v>
      </c>
      <c r="B1090" s="25">
        <f>LARGE(Data!$J$2:$J$2379,A1090)</f>
        <v>450</v>
      </c>
      <c r="C1090" s="25">
        <f t="shared" si="16"/>
        <v>899590</v>
      </c>
      <c r="D1090" s="28">
        <f>C1090/SUM(Data!$J$2:$J$2379)</f>
        <v>0.73773409130421952</v>
      </c>
    </row>
    <row r="1091" spans="1:4" x14ac:dyDescent="0.3">
      <c r="A1091" s="25">
        <v>1090</v>
      </c>
      <c r="B1091" s="25">
        <f>LARGE(Data!$J$2:$J$2379,A1091)</f>
        <v>450</v>
      </c>
      <c r="C1091" s="25">
        <f t="shared" ref="C1091:C1154" si="17">C1090+B1091</f>
        <v>900040</v>
      </c>
      <c r="D1091" s="28">
        <f>C1091/SUM(Data!$J$2:$J$2379)</f>
        <v>0.73810312646588971</v>
      </c>
    </row>
    <row r="1092" spans="1:4" x14ac:dyDescent="0.3">
      <c r="A1092" s="25">
        <v>1091</v>
      </c>
      <c r="B1092" s="25">
        <f>LARGE(Data!$J$2:$J$2379,A1092)</f>
        <v>450</v>
      </c>
      <c r="C1092" s="25">
        <f t="shared" si="17"/>
        <v>900490</v>
      </c>
      <c r="D1092" s="28">
        <f>C1092/SUM(Data!$J$2:$J$2379)</f>
        <v>0.73847216162755991</v>
      </c>
    </row>
    <row r="1093" spans="1:4" x14ac:dyDescent="0.3">
      <c r="A1093" s="25">
        <v>1092</v>
      </c>
      <c r="B1093" s="25">
        <f>LARGE(Data!$J$2:$J$2379,A1093)</f>
        <v>450</v>
      </c>
      <c r="C1093" s="25">
        <f t="shared" si="17"/>
        <v>900940</v>
      </c>
      <c r="D1093" s="28">
        <f>C1093/SUM(Data!$J$2:$J$2379)</f>
        <v>0.7388411967892301</v>
      </c>
    </row>
    <row r="1094" spans="1:4" x14ac:dyDescent="0.3">
      <c r="A1094" s="25">
        <v>1093</v>
      </c>
      <c r="B1094" s="25">
        <f>LARGE(Data!$J$2:$J$2379,A1094)</f>
        <v>450</v>
      </c>
      <c r="C1094" s="25">
        <f t="shared" si="17"/>
        <v>901390</v>
      </c>
      <c r="D1094" s="28">
        <f>C1094/SUM(Data!$J$2:$J$2379)</f>
        <v>0.7392102319509003</v>
      </c>
    </row>
    <row r="1095" spans="1:4" x14ac:dyDescent="0.3">
      <c r="A1095" s="25">
        <v>1094</v>
      </c>
      <c r="B1095" s="25">
        <f>LARGE(Data!$J$2:$J$2379,A1095)</f>
        <v>450</v>
      </c>
      <c r="C1095" s="25">
        <f t="shared" si="17"/>
        <v>901840</v>
      </c>
      <c r="D1095" s="28">
        <f>C1095/SUM(Data!$J$2:$J$2379)</f>
        <v>0.73957926711257049</v>
      </c>
    </row>
    <row r="1096" spans="1:4" x14ac:dyDescent="0.3">
      <c r="A1096" s="25">
        <v>1095</v>
      </c>
      <c r="B1096" s="25">
        <f>LARGE(Data!$J$2:$J$2379,A1096)</f>
        <v>450</v>
      </c>
      <c r="C1096" s="25">
        <f t="shared" si="17"/>
        <v>902290</v>
      </c>
      <c r="D1096" s="28">
        <f>C1096/SUM(Data!$J$2:$J$2379)</f>
        <v>0.73994830227424069</v>
      </c>
    </row>
    <row r="1097" spans="1:4" x14ac:dyDescent="0.3">
      <c r="A1097" s="25">
        <v>1096</v>
      </c>
      <c r="B1097" s="25">
        <f>LARGE(Data!$J$2:$J$2379,A1097)</f>
        <v>450</v>
      </c>
      <c r="C1097" s="25">
        <f t="shared" si="17"/>
        <v>902740</v>
      </c>
      <c r="D1097" s="28">
        <f>C1097/SUM(Data!$J$2:$J$2379)</f>
        <v>0.74031733743591088</v>
      </c>
    </row>
    <row r="1098" spans="1:4" x14ac:dyDescent="0.3">
      <c r="A1098" s="25">
        <v>1097</v>
      </c>
      <c r="B1098" s="25">
        <f>LARGE(Data!$J$2:$J$2379,A1098)</f>
        <v>450</v>
      </c>
      <c r="C1098" s="25">
        <f t="shared" si="17"/>
        <v>903190</v>
      </c>
      <c r="D1098" s="28">
        <f>C1098/SUM(Data!$J$2:$J$2379)</f>
        <v>0.74068637259758108</v>
      </c>
    </row>
    <row r="1099" spans="1:4" x14ac:dyDescent="0.3">
      <c r="A1099" s="25">
        <v>1098</v>
      </c>
      <c r="B1099" s="25">
        <f>LARGE(Data!$J$2:$J$2379,A1099)</f>
        <v>450</v>
      </c>
      <c r="C1099" s="25">
        <f t="shared" si="17"/>
        <v>903640</v>
      </c>
      <c r="D1099" s="28">
        <f>C1099/SUM(Data!$J$2:$J$2379)</f>
        <v>0.74105540775925127</v>
      </c>
    </row>
    <row r="1100" spans="1:4" x14ac:dyDescent="0.3">
      <c r="A1100" s="25">
        <v>1099</v>
      </c>
      <c r="B1100" s="25">
        <f>LARGE(Data!$J$2:$J$2379,A1100)</f>
        <v>450</v>
      </c>
      <c r="C1100" s="25">
        <f t="shared" si="17"/>
        <v>904090</v>
      </c>
      <c r="D1100" s="28">
        <f>C1100/SUM(Data!$J$2:$J$2379)</f>
        <v>0.74142444292092147</v>
      </c>
    </row>
    <row r="1101" spans="1:4" x14ac:dyDescent="0.3">
      <c r="A1101" s="25">
        <v>1100</v>
      </c>
      <c r="B1101" s="25">
        <f>LARGE(Data!$J$2:$J$2379,A1101)</f>
        <v>450</v>
      </c>
      <c r="C1101" s="25">
        <f t="shared" si="17"/>
        <v>904540</v>
      </c>
      <c r="D1101" s="28">
        <f>C1101/SUM(Data!$J$2:$J$2379)</f>
        <v>0.74179347808259166</v>
      </c>
    </row>
    <row r="1102" spans="1:4" x14ac:dyDescent="0.3">
      <c r="A1102" s="25">
        <v>1101</v>
      </c>
      <c r="B1102" s="25">
        <f>LARGE(Data!$J$2:$J$2379,A1102)</f>
        <v>450</v>
      </c>
      <c r="C1102" s="25">
        <f t="shared" si="17"/>
        <v>904990</v>
      </c>
      <c r="D1102" s="28">
        <f>C1102/SUM(Data!$J$2:$J$2379)</f>
        <v>0.74216251324426197</v>
      </c>
    </row>
    <row r="1103" spans="1:4" x14ac:dyDescent="0.3">
      <c r="A1103" s="25">
        <v>1102</v>
      </c>
      <c r="B1103" s="25">
        <f>LARGE(Data!$J$2:$J$2379,A1103)</f>
        <v>450</v>
      </c>
      <c r="C1103" s="25">
        <f t="shared" si="17"/>
        <v>905440</v>
      </c>
      <c r="D1103" s="28">
        <f>C1103/SUM(Data!$J$2:$J$2379)</f>
        <v>0.74253154840593216</v>
      </c>
    </row>
    <row r="1104" spans="1:4" x14ac:dyDescent="0.3">
      <c r="A1104" s="25">
        <v>1103</v>
      </c>
      <c r="B1104" s="25">
        <f>LARGE(Data!$J$2:$J$2379,A1104)</f>
        <v>450</v>
      </c>
      <c r="C1104" s="25">
        <f t="shared" si="17"/>
        <v>905890</v>
      </c>
      <c r="D1104" s="28">
        <f>C1104/SUM(Data!$J$2:$J$2379)</f>
        <v>0.74290058356760236</v>
      </c>
    </row>
    <row r="1105" spans="1:4" x14ac:dyDescent="0.3">
      <c r="A1105" s="25">
        <v>1104</v>
      </c>
      <c r="B1105" s="25">
        <f>LARGE(Data!$J$2:$J$2379,A1105)</f>
        <v>450</v>
      </c>
      <c r="C1105" s="25">
        <f t="shared" si="17"/>
        <v>906340</v>
      </c>
      <c r="D1105" s="28">
        <f>C1105/SUM(Data!$J$2:$J$2379)</f>
        <v>0.74326961872927255</v>
      </c>
    </row>
    <row r="1106" spans="1:4" x14ac:dyDescent="0.3">
      <c r="A1106" s="25">
        <v>1105</v>
      </c>
      <c r="B1106" s="25">
        <f>LARGE(Data!$J$2:$J$2379,A1106)</f>
        <v>450</v>
      </c>
      <c r="C1106" s="25">
        <f t="shared" si="17"/>
        <v>906790</v>
      </c>
      <c r="D1106" s="28">
        <f>C1106/SUM(Data!$J$2:$J$2379)</f>
        <v>0.74363865389094275</v>
      </c>
    </row>
    <row r="1107" spans="1:4" x14ac:dyDescent="0.3">
      <c r="A1107" s="25">
        <v>1106</v>
      </c>
      <c r="B1107" s="25">
        <f>LARGE(Data!$J$2:$J$2379,A1107)</f>
        <v>450</v>
      </c>
      <c r="C1107" s="25">
        <f t="shared" si="17"/>
        <v>907240</v>
      </c>
      <c r="D1107" s="28">
        <f>C1107/SUM(Data!$J$2:$J$2379)</f>
        <v>0.74400768905261294</v>
      </c>
    </row>
    <row r="1108" spans="1:4" x14ac:dyDescent="0.3">
      <c r="A1108" s="25">
        <v>1107</v>
      </c>
      <c r="B1108" s="25">
        <f>LARGE(Data!$J$2:$J$2379,A1108)</f>
        <v>450</v>
      </c>
      <c r="C1108" s="25">
        <f t="shared" si="17"/>
        <v>907690</v>
      </c>
      <c r="D1108" s="28">
        <f>C1108/SUM(Data!$J$2:$J$2379)</f>
        <v>0.74437672421428314</v>
      </c>
    </row>
    <row r="1109" spans="1:4" x14ac:dyDescent="0.3">
      <c r="A1109" s="25">
        <v>1108</v>
      </c>
      <c r="B1109" s="25">
        <f>LARGE(Data!$J$2:$J$2379,A1109)</f>
        <v>450</v>
      </c>
      <c r="C1109" s="25">
        <f t="shared" si="17"/>
        <v>908140</v>
      </c>
      <c r="D1109" s="28">
        <f>C1109/SUM(Data!$J$2:$J$2379)</f>
        <v>0.74474575937595333</v>
      </c>
    </row>
    <row r="1110" spans="1:4" x14ac:dyDescent="0.3">
      <c r="A1110" s="25">
        <v>1109</v>
      </c>
      <c r="B1110" s="25">
        <f>LARGE(Data!$J$2:$J$2379,A1110)</f>
        <v>450</v>
      </c>
      <c r="C1110" s="25">
        <f t="shared" si="17"/>
        <v>908590</v>
      </c>
      <c r="D1110" s="28">
        <f>C1110/SUM(Data!$J$2:$J$2379)</f>
        <v>0.74511479453762353</v>
      </c>
    </row>
    <row r="1111" spans="1:4" x14ac:dyDescent="0.3">
      <c r="A1111" s="25">
        <v>1110</v>
      </c>
      <c r="B1111" s="25">
        <f>LARGE(Data!$J$2:$J$2379,A1111)</f>
        <v>450</v>
      </c>
      <c r="C1111" s="25">
        <f t="shared" si="17"/>
        <v>909040</v>
      </c>
      <c r="D1111" s="28">
        <f>C1111/SUM(Data!$J$2:$J$2379)</f>
        <v>0.74548382969929372</v>
      </c>
    </row>
    <row r="1112" spans="1:4" x14ac:dyDescent="0.3">
      <c r="A1112" s="25">
        <v>1111</v>
      </c>
      <c r="B1112" s="25">
        <f>LARGE(Data!$J$2:$J$2379,A1112)</f>
        <v>450</v>
      </c>
      <c r="C1112" s="25">
        <f t="shared" si="17"/>
        <v>909490</v>
      </c>
      <c r="D1112" s="28">
        <f>C1112/SUM(Data!$J$2:$J$2379)</f>
        <v>0.74585286486096392</v>
      </c>
    </row>
    <row r="1113" spans="1:4" x14ac:dyDescent="0.3">
      <c r="A1113" s="25">
        <v>1112</v>
      </c>
      <c r="B1113" s="25">
        <f>LARGE(Data!$J$2:$J$2379,A1113)</f>
        <v>450</v>
      </c>
      <c r="C1113" s="25">
        <f t="shared" si="17"/>
        <v>909940</v>
      </c>
      <c r="D1113" s="28">
        <f>C1113/SUM(Data!$J$2:$J$2379)</f>
        <v>0.74622190002263411</v>
      </c>
    </row>
    <row r="1114" spans="1:4" x14ac:dyDescent="0.3">
      <c r="A1114" s="25">
        <v>1113</v>
      </c>
      <c r="B1114" s="25">
        <f>LARGE(Data!$J$2:$J$2379,A1114)</f>
        <v>450</v>
      </c>
      <c r="C1114" s="25">
        <f t="shared" si="17"/>
        <v>910390</v>
      </c>
      <c r="D1114" s="28">
        <f>C1114/SUM(Data!$J$2:$J$2379)</f>
        <v>0.74659093518430431</v>
      </c>
    </row>
    <row r="1115" spans="1:4" x14ac:dyDescent="0.3">
      <c r="A1115" s="25">
        <v>1114</v>
      </c>
      <c r="B1115" s="25">
        <f>LARGE(Data!$J$2:$J$2379,A1115)</f>
        <v>450</v>
      </c>
      <c r="C1115" s="25">
        <f t="shared" si="17"/>
        <v>910840</v>
      </c>
      <c r="D1115" s="28">
        <f>C1115/SUM(Data!$J$2:$J$2379)</f>
        <v>0.74695997034597461</v>
      </c>
    </row>
    <row r="1116" spans="1:4" x14ac:dyDescent="0.3">
      <c r="A1116" s="25">
        <v>1115</v>
      </c>
      <c r="B1116" s="25">
        <f>LARGE(Data!$J$2:$J$2379,A1116)</f>
        <v>450</v>
      </c>
      <c r="C1116" s="25">
        <f t="shared" si="17"/>
        <v>911290</v>
      </c>
      <c r="D1116" s="28">
        <f>C1116/SUM(Data!$J$2:$J$2379)</f>
        <v>0.74732900550764481</v>
      </c>
    </row>
    <row r="1117" spans="1:4" x14ac:dyDescent="0.3">
      <c r="A1117" s="25">
        <v>1116</v>
      </c>
      <c r="B1117" s="25">
        <f>LARGE(Data!$J$2:$J$2379,A1117)</f>
        <v>450</v>
      </c>
      <c r="C1117" s="25">
        <f t="shared" si="17"/>
        <v>911740</v>
      </c>
      <c r="D1117" s="28">
        <f>C1117/SUM(Data!$J$2:$J$2379)</f>
        <v>0.747698040669315</v>
      </c>
    </row>
    <row r="1118" spans="1:4" x14ac:dyDescent="0.3">
      <c r="A1118" s="25">
        <v>1117</v>
      </c>
      <c r="B1118" s="25">
        <f>LARGE(Data!$J$2:$J$2379,A1118)</f>
        <v>450</v>
      </c>
      <c r="C1118" s="25">
        <f t="shared" si="17"/>
        <v>912190</v>
      </c>
      <c r="D1118" s="28">
        <f>C1118/SUM(Data!$J$2:$J$2379)</f>
        <v>0.7480670758309852</v>
      </c>
    </row>
    <row r="1119" spans="1:4" x14ac:dyDescent="0.3">
      <c r="A1119" s="25">
        <v>1118</v>
      </c>
      <c r="B1119" s="25">
        <f>LARGE(Data!$J$2:$J$2379,A1119)</f>
        <v>450</v>
      </c>
      <c r="C1119" s="25">
        <f t="shared" si="17"/>
        <v>912640</v>
      </c>
      <c r="D1119" s="28">
        <f>C1119/SUM(Data!$J$2:$J$2379)</f>
        <v>0.74843611099265539</v>
      </c>
    </row>
    <row r="1120" spans="1:4" x14ac:dyDescent="0.3">
      <c r="A1120" s="25">
        <v>1119</v>
      </c>
      <c r="B1120" s="25">
        <f>LARGE(Data!$J$2:$J$2379,A1120)</f>
        <v>450</v>
      </c>
      <c r="C1120" s="25">
        <f t="shared" si="17"/>
        <v>913090</v>
      </c>
      <c r="D1120" s="28">
        <f>C1120/SUM(Data!$J$2:$J$2379)</f>
        <v>0.74880514615432558</v>
      </c>
    </row>
    <row r="1121" spans="1:4" x14ac:dyDescent="0.3">
      <c r="A1121" s="25">
        <v>1120</v>
      </c>
      <c r="B1121" s="25">
        <f>LARGE(Data!$J$2:$J$2379,A1121)</f>
        <v>450</v>
      </c>
      <c r="C1121" s="25">
        <f t="shared" si="17"/>
        <v>913540</v>
      </c>
      <c r="D1121" s="28">
        <f>C1121/SUM(Data!$J$2:$J$2379)</f>
        <v>0.74917418131599578</v>
      </c>
    </row>
    <row r="1122" spans="1:4" x14ac:dyDescent="0.3">
      <c r="A1122" s="25">
        <v>1121</v>
      </c>
      <c r="B1122" s="25">
        <f>LARGE(Data!$J$2:$J$2379,A1122)</f>
        <v>450</v>
      </c>
      <c r="C1122" s="25">
        <f t="shared" si="17"/>
        <v>913990</v>
      </c>
      <c r="D1122" s="28">
        <f>C1122/SUM(Data!$J$2:$J$2379)</f>
        <v>0.74954321647766597</v>
      </c>
    </row>
    <row r="1123" spans="1:4" x14ac:dyDescent="0.3">
      <c r="A1123" s="25">
        <v>1122</v>
      </c>
      <c r="B1123" s="25">
        <f>LARGE(Data!$J$2:$J$2379,A1123)</f>
        <v>450</v>
      </c>
      <c r="C1123" s="25">
        <f t="shared" si="17"/>
        <v>914440</v>
      </c>
      <c r="D1123" s="28">
        <f>C1123/SUM(Data!$J$2:$J$2379)</f>
        <v>0.74991225163933617</v>
      </c>
    </row>
    <row r="1124" spans="1:4" x14ac:dyDescent="0.3">
      <c r="A1124" s="25">
        <v>1123</v>
      </c>
      <c r="B1124" s="25">
        <f>LARGE(Data!$J$2:$J$2379,A1124)</f>
        <v>450</v>
      </c>
      <c r="C1124" s="25">
        <f t="shared" si="17"/>
        <v>914890</v>
      </c>
      <c r="D1124" s="28">
        <f>C1124/SUM(Data!$J$2:$J$2379)</f>
        <v>0.75028128680100636</v>
      </c>
    </row>
    <row r="1125" spans="1:4" x14ac:dyDescent="0.3">
      <c r="A1125" s="25">
        <v>1124</v>
      </c>
      <c r="B1125" s="25">
        <f>LARGE(Data!$J$2:$J$2379,A1125)</f>
        <v>450</v>
      </c>
      <c r="C1125" s="25">
        <f t="shared" si="17"/>
        <v>915340</v>
      </c>
      <c r="D1125" s="28">
        <f>C1125/SUM(Data!$J$2:$J$2379)</f>
        <v>0.75065032196267656</v>
      </c>
    </row>
    <row r="1126" spans="1:4" x14ac:dyDescent="0.3">
      <c r="A1126" s="25">
        <v>1125</v>
      </c>
      <c r="B1126" s="25">
        <f>LARGE(Data!$J$2:$J$2379,A1126)</f>
        <v>450</v>
      </c>
      <c r="C1126" s="25">
        <f t="shared" si="17"/>
        <v>915790</v>
      </c>
      <c r="D1126" s="28">
        <f>C1126/SUM(Data!$J$2:$J$2379)</f>
        <v>0.75101935712434675</v>
      </c>
    </row>
    <row r="1127" spans="1:4" x14ac:dyDescent="0.3">
      <c r="A1127" s="25">
        <v>1126</v>
      </c>
      <c r="B1127" s="25">
        <f>LARGE(Data!$J$2:$J$2379,A1127)</f>
        <v>450</v>
      </c>
      <c r="C1127" s="25">
        <f t="shared" si="17"/>
        <v>916240</v>
      </c>
      <c r="D1127" s="28">
        <f>C1127/SUM(Data!$J$2:$J$2379)</f>
        <v>0.75138839228601706</v>
      </c>
    </row>
    <row r="1128" spans="1:4" x14ac:dyDescent="0.3">
      <c r="A1128" s="25">
        <v>1127</v>
      </c>
      <c r="B1128" s="25">
        <f>LARGE(Data!$J$2:$J$2379,A1128)</f>
        <v>450</v>
      </c>
      <c r="C1128" s="25">
        <f t="shared" si="17"/>
        <v>916690</v>
      </c>
      <c r="D1128" s="28">
        <f>C1128/SUM(Data!$J$2:$J$2379)</f>
        <v>0.75175742744768725</v>
      </c>
    </row>
    <row r="1129" spans="1:4" x14ac:dyDescent="0.3">
      <c r="A1129" s="25">
        <v>1128</v>
      </c>
      <c r="B1129" s="25">
        <f>LARGE(Data!$J$2:$J$2379,A1129)</f>
        <v>450</v>
      </c>
      <c r="C1129" s="25">
        <f t="shared" si="17"/>
        <v>917140</v>
      </c>
      <c r="D1129" s="28">
        <f>C1129/SUM(Data!$J$2:$J$2379)</f>
        <v>0.75212646260935745</v>
      </c>
    </row>
    <row r="1130" spans="1:4" x14ac:dyDescent="0.3">
      <c r="A1130" s="25">
        <v>1129</v>
      </c>
      <c r="B1130" s="25">
        <f>LARGE(Data!$J$2:$J$2379,A1130)</f>
        <v>450</v>
      </c>
      <c r="C1130" s="25">
        <f t="shared" si="17"/>
        <v>917590</v>
      </c>
      <c r="D1130" s="28">
        <f>C1130/SUM(Data!$J$2:$J$2379)</f>
        <v>0.75249549777102764</v>
      </c>
    </row>
    <row r="1131" spans="1:4" x14ac:dyDescent="0.3">
      <c r="A1131" s="25">
        <v>1130</v>
      </c>
      <c r="B1131" s="25">
        <f>LARGE(Data!$J$2:$J$2379,A1131)</f>
        <v>450</v>
      </c>
      <c r="C1131" s="25">
        <f t="shared" si="17"/>
        <v>918040</v>
      </c>
      <c r="D1131" s="28">
        <f>C1131/SUM(Data!$J$2:$J$2379)</f>
        <v>0.75286453293269784</v>
      </c>
    </row>
    <row r="1132" spans="1:4" x14ac:dyDescent="0.3">
      <c r="A1132" s="25">
        <v>1131</v>
      </c>
      <c r="B1132" s="25">
        <f>LARGE(Data!$J$2:$J$2379,A1132)</f>
        <v>420</v>
      </c>
      <c r="C1132" s="25">
        <f t="shared" si="17"/>
        <v>918460</v>
      </c>
      <c r="D1132" s="28">
        <f>C1132/SUM(Data!$J$2:$J$2379)</f>
        <v>0.75320896575025664</v>
      </c>
    </row>
    <row r="1133" spans="1:4" x14ac:dyDescent="0.3">
      <c r="A1133" s="25">
        <v>1132</v>
      </c>
      <c r="B1133" s="25">
        <f>LARGE(Data!$J$2:$J$2379,A1133)</f>
        <v>420</v>
      </c>
      <c r="C1133" s="25">
        <f t="shared" si="17"/>
        <v>918880</v>
      </c>
      <c r="D1133" s="28">
        <f>C1133/SUM(Data!$J$2:$J$2379)</f>
        <v>0.75355339856781556</v>
      </c>
    </row>
    <row r="1134" spans="1:4" x14ac:dyDescent="0.3">
      <c r="A1134" s="25">
        <v>1133</v>
      </c>
      <c r="B1134" s="25">
        <f>LARGE(Data!$J$2:$J$2379,A1134)</f>
        <v>420</v>
      </c>
      <c r="C1134" s="25">
        <f t="shared" si="17"/>
        <v>919300</v>
      </c>
      <c r="D1134" s="28">
        <f>C1134/SUM(Data!$J$2:$J$2379)</f>
        <v>0.75389783138537436</v>
      </c>
    </row>
    <row r="1135" spans="1:4" x14ac:dyDescent="0.3">
      <c r="A1135" s="25">
        <v>1134</v>
      </c>
      <c r="B1135" s="25">
        <f>LARGE(Data!$J$2:$J$2379,A1135)</f>
        <v>420</v>
      </c>
      <c r="C1135" s="25">
        <f t="shared" si="17"/>
        <v>919720</v>
      </c>
      <c r="D1135" s="28">
        <f>C1135/SUM(Data!$J$2:$J$2379)</f>
        <v>0.75424226420293328</v>
      </c>
    </row>
    <row r="1136" spans="1:4" x14ac:dyDescent="0.3">
      <c r="A1136" s="25">
        <v>1135</v>
      </c>
      <c r="B1136" s="25">
        <f>LARGE(Data!$J$2:$J$2379,A1136)</f>
        <v>420</v>
      </c>
      <c r="C1136" s="25">
        <f t="shared" si="17"/>
        <v>920140</v>
      </c>
      <c r="D1136" s="28">
        <f>C1136/SUM(Data!$J$2:$J$2379)</f>
        <v>0.75458669702049208</v>
      </c>
    </row>
    <row r="1137" spans="1:4" x14ac:dyDescent="0.3">
      <c r="A1137" s="25">
        <v>1136</v>
      </c>
      <c r="B1137" s="25">
        <f>LARGE(Data!$J$2:$J$2379,A1137)</f>
        <v>420</v>
      </c>
      <c r="C1137" s="25">
        <f t="shared" si="17"/>
        <v>920560</v>
      </c>
      <c r="D1137" s="28">
        <f>C1137/SUM(Data!$J$2:$J$2379)</f>
        <v>0.754931129838051</v>
      </c>
    </row>
    <row r="1138" spans="1:4" x14ac:dyDescent="0.3">
      <c r="A1138" s="25">
        <v>1137</v>
      </c>
      <c r="B1138" s="25">
        <f>LARGE(Data!$J$2:$J$2379,A1138)</f>
        <v>420</v>
      </c>
      <c r="C1138" s="25">
        <f t="shared" si="17"/>
        <v>920980</v>
      </c>
      <c r="D1138" s="28">
        <f>C1138/SUM(Data!$J$2:$J$2379)</f>
        <v>0.7552755626556098</v>
      </c>
    </row>
    <row r="1139" spans="1:4" x14ac:dyDescent="0.3">
      <c r="A1139" s="25">
        <v>1138</v>
      </c>
      <c r="B1139" s="25">
        <f>LARGE(Data!$J$2:$J$2379,A1139)</f>
        <v>420</v>
      </c>
      <c r="C1139" s="25">
        <f t="shared" si="17"/>
        <v>921400</v>
      </c>
      <c r="D1139" s="28">
        <f>C1139/SUM(Data!$J$2:$J$2379)</f>
        <v>0.75561999547316872</v>
      </c>
    </row>
    <row r="1140" spans="1:4" x14ac:dyDescent="0.3">
      <c r="A1140" s="25">
        <v>1139</v>
      </c>
      <c r="B1140" s="25">
        <f>LARGE(Data!$J$2:$J$2379,A1140)</f>
        <v>420</v>
      </c>
      <c r="C1140" s="25">
        <f t="shared" si="17"/>
        <v>921820</v>
      </c>
      <c r="D1140" s="28">
        <f>C1140/SUM(Data!$J$2:$J$2379)</f>
        <v>0.75596442829072752</v>
      </c>
    </row>
    <row r="1141" spans="1:4" x14ac:dyDescent="0.3">
      <c r="A1141" s="25">
        <v>1140</v>
      </c>
      <c r="B1141" s="25">
        <f>LARGE(Data!$J$2:$J$2379,A1141)</f>
        <v>420</v>
      </c>
      <c r="C1141" s="25">
        <f t="shared" si="17"/>
        <v>922240</v>
      </c>
      <c r="D1141" s="28">
        <f>C1141/SUM(Data!$J$2:$J$2379)</f>
        <v>0.75630886110828643</v>
      </c>
    </row>
    <row r="1142" spans="1:4" x14ac:dyDescent="0.3">
      <c r="A1142" s="25">
        <v>1141</v>
      </c>
      <c r="B1142" s="25">
        <f>LARGE(Data!$J$2:$J$2379,A1142)</f>
        <v>420</v>
      </c>
      <c r="C1142" s="25">
        <f t="shared" si="17"/>
        <v>922660</v>
      </c>
      <c r="D1142" s="28">
        <f>C1142/SUM(Data!$J$2:$J$2379)</f>
        <v>0.75665329392584524</v>
      </c>
    </row>
    <row r="1143" spans="1:4" x14ac:dyDescent="0.3">
      <c r="A1143" s="25">
        <v>1142</v>
      </c>
      <c r="B1143" s="25">
        <f>LARGE(Data!$J$2:$J$2379,A1143)</f>
        <v>420</v>
      </c>
      <c r="C1143" s="25">
        <f t="shared" si="17"/>
        <v>923080</v>
      </c>
      <c r="D1143" s="28">
        <f>C1143/SUM(Data!$J$2:$J$2379)</f>
        <v>0.75699772674340415</v>
      </c>
    </row>
    <row r="1144" spans="1:4" x14ac:dyDescent="0.3">
      <c r="A1144" s="25">
        <v>1143</v>
      </c>
      <c r="B1144" s="25">
        <f>LARGE(Data!$J$2:$J$2379,A1144)</f>
        <v>420</v>
      </c>
      <c r="C1144" s="25">
        <f t="shared" si="17"/>
        <v>923500</v>
      </c>
      <c r="D1144" s="28">
        <f>C1144/SUM(Data!$J$2:$J$2379)</f>
        <v>0.75734215956096296</v>
      </c>
    </row>
    <row r="1145" spans="1:4" x14ac:dyDescent="0.3">
      <c r="A1145" s="25">
        <v>1144</v>
      </c>
      <c r="B1145" s="25">
        <f>LARGE(Data!$J$2:$J$2379,A1145)</f>
        <v>420</v>
      </c>
      <c r="C1145" s="25">
        <f t="shared" si="17"/>
        <v>923920</v>
      </c>
      <c r="D1145" s="28">
        <f>C1145/SUM(Data!$J$2:$J$2379)</f>
        <v>0.75768659237852187</v>
      </c>
    </row>
    <row r="1146" spans="1:4" x14ac:dyDescent="0.3">
      <c r="A1146" s="25">
        <v>1145</v>
      </c>
      <c r="B1146" s="25">
        <f>LARGE(Data!$J$2:$J$2379,A1146)</f>
        <v>420</v>
      </c>
      <c r="C1146" s="25">
        <f t="shared" si="17"/>
        <v>924340</v>
      </c>
      <c r="D1146" s="28">
        <f>C1146/SUM(Data!$J$2:$J$2379)</f>
        <v>0.75803102519608068</v>
      </c>
    </row>
    <row r="1147" spans="1:4" x14ac:dyDescent="0.3">
      <c r="A1147" s="25">
        <v>1146</v>
      </c>
      <c r="B1147" s="25">
        <f>LARGE(Data!$J$2:$J$2379,A1147)</f>
        <v>420</v>
      </c>
      <c r="C1147" s="25">
        <f t="shared" si="17"/>
        <v>924760</v>
      </c>
      <c r="D1147" s="28">
        <f>C1147/SUM(Data!$J$2:$J$2379)</f>
        <v>0.75837545801363959</v>
      </c>
    </row>
    <row r="1148" spans="1:4" x14ac:dyDescent="0.3">
      <c r="A1148" s="25">
        <v>1147</v>
      </c>
      <c r="B1148" s="25">
        <f>LARGE(Data!$J$2:$J$2379,A1148)</f>
        <v>420</v>
      </c>
      <c r="C1148" s="25">
        <f t="shared" si="17"/>
        <v>925180</v>
      </c>
      <c r="D1148" s="28">
        <f>C1148/SUM(Data!$J$2:$J$2379)</f>
        <v>0.7587198908311984</v>
      </c>
    </row>
    <row r="1149" spans="1:4" x14ac:dyDescent="0.3">
      <c r="A1149" s="25">
        <v>1148</v>
      </c>
      <c r="B1149" s="25">
        <f>LARGE(Data!$J$2:$J$2379,A1149)</f>
        <v>420</v>
      </c>
      <c r="C1149" s="25">
        <f t="shared" si="17"/>
        <v>925600</v>
      </c>
      <c r="D1149" s="28">
        <f>C1149/SUM(Data!$J$2:$J$2379)</f>
        <v>0.7590643236487572</v>
      </c>
    </row>
    <row r="1150" spans="1:4" x14ac:dyDescent="0.3">
      <c r="A1150" s="25">
        <v>1149</v>
      </c>
      <c r="B1150" s="25">
        <f>LARGE(Data!$J$2:$J$2379,A1150)</f>
        <v>420</v>
      </c>
      <c r="C1150" s="25">
        <f t="shared" si="17"/>
        <v>926020</v>
      </c>
      <c r="D1150" s="28">
        <f>C1150/SUM(Data!$J$2:$J$2379)</f>
        <v>0.75940875646631611</v>
      </c>
    </row>
    <row r="1151" spans="1:4" x14ac:dyDescent="0.3">
      <c r="A1151" s="25">
        <v>1150</v>
      </c>
      <c r="B1151" s="25">
        <f>LARGE(Data!$J$2:$J$2379,A1151)</f>
        <v>420</v>
      </c>
      <c r="C1151" s="25">
        <f t="shared" si="17"/>
        <v>926440</v>
      </c>
      <c r="D1151" s="28">
        <f>C1151/SUM(Data!$J$2:$J$2379)</f>
        <v>0.75975318928387492</v>
      </c>
    </row>
    <row r="1152" spans="1:4" x14ac:dyDescent="0.3">
      <c r="A1152" s="25">
        <v>1151</v>
      </c>
      <c r="B1152" s="25">
        <f>LARGE(Data!$J$2:$J$2379,A1152)</f>
        <v>420</v>
      </c>
      <c r="C1152" s="25">
        <f t="shared" si="17"/>
        <v>926860</v>
      </c>
      <c r="D1152" s="28">
        <f>C1152/SUM(Data!$J$2:$J$2379)</f>
        <v>0.76009762210143383</v>
      </c>
    </row>
    <row r="1153" spans="1:4" x14ac:dyDescent="0.3">
      <c r="A1153" s="25">
        <v>1152</v>
      </c>
      <c r="B1153" s="25">
        <f>LARGE(Data!$J$2:$J$2379,A1153)</f>
        <v>420</v>
      </c>
      <c r="C1153" s="25">
        <f t="shared" si="17"/>
        <v>927280</v>
      </c>
      <c r="D1153" s="28">
        <f>C1153/SUM(Data!$J$2:$J$2379)</f>
        <v>0.76044205491899264</v>
      </c>
    </row>
    <row r="1154" spans="1:4" x14ac:dyDescent="0.3">
      <c r="A1154" s="25">
        <v>1153</v>
      </c>
      <c r="B1154" s="25">
        <f>LARGE(Data!$J$2:$J$2379,A1154)</f>
        <v>420</v>
      </c>
      <c r="C1154" s="25">
        <f t="shared" si="17"/>
        <v>927700</v>
      </c>
      <c r="D1154" s="28">
        <f>C1154/SUM(Data!$J$2:$J$2379)</f>
        <v>0.76078648773655155</v>
      </c>
    </row>
    <row r="1155" spans="1:4" x14ac:dyDescent="0.3">
      <c r="A1155" s="25">
        <v>1154</v>
      </c>
      <c r="B1155" s="25">
        <f>LARGE(Data!$J$2:$J$2379,A1155)</f>
        <v>420</v>
      </c>
      <c r="C1155" s="25">
        <f t="shared" ref="C1155:C1218" si="18">C1154+B1155</f>
        <v>928120</v>
      </c>
      <c r="D1155" s="28">
        <f>C1155/SUM(Data!$J$2:$J$2379)</f>
        <v>0.76113092055411036</v>
      </c>
    </row>
    <row r="1156" spans="1:4" x14ac:dyDescent="0.3">
      <c r="A1156" s="25">
        <v>1155</v>
      </c>
      <c r="B1156" s="25">
        <f>LARGE(Data!$J$2:$J$2379,A1156)</f>
        <v>420</v>
      </c>
      <c r="C1156" s="25">
        <f t="shared" si="18"/>
        <v>928540</v>
      </c>
      <c r="D1156" s="28">
        <f>C1156/SUM(Data!$J$2:$J$2379)</f>
        <v>0.76147535337166927</v>
      </c>
    </row>
    <row r="1157" spans="1:4" x14ac:dyDescent="0.3">
      <c r="A1157" s="25">
        <v>1156</v>
      </c>
      <c r="B1157" s="25">
        <f>LARGE(Data!$J$2:$J$2379,A1157)</f>
        <v>420</v>
      </c>
      <c r="C1157" s="25">
        <f t="shared" si="18"/>
        <v>928960</v>
      </c>
      <c r="D1157" s="28">
        <f>C1157/SUM(Data!$J$2:$J$2379)</f>
        <v>0.76181978618922808</v>
      </c>
    </row>
    <row r="1158" spans="1:4" x14ac:dyDescent="0.3">
      <c r="A1158" s="25">
        <v>1157</v>
      </c>
      <c r="B1158" s="25">
        <f>LARGE(Data!$J$2:$J$2379,A1158)</f>
        <v>420</v>
      </c>
      <c r="C1158" s="25">
        <f t="shared" si="18"/>
        <v>929380</v>
      </c>
      <c r="D1158" s="28">
        <f>C1158/SUM(Data!$J$2:$J$2379)</f>
        <v>0.76216421900678699</v>
      </c>
    </row>
    <row r="1159" spans="1:4" x14ac:dyDescent="0.3">
      <c r="A1159" s="25">
        <v>1158</v>
      </c>
      <c r="B1159" s="25">
        <f>LARGE(Data!$J$2:$J$2379,A1159)</f>
        <v>420</v>
      </c>
      <c r="C1159" s="25">
        <f t="shared" si="18"/>
        <v>929800</v>
      </c>
      <c r="D1159" s="28">
        <f>C1159/SUM(Data!$J$2:$J$2379)</f>
        <v>0.7625086518243458</v>
      </c>
    </row>
    <row r="1160" spans="1:4" x14ac:dyDescent="0.3">
      <c r="A1160" s="25">
        <v>1159</v>
      </c>
      <c r="B1160" s="25">
        <f>LARGE(Data!$J$2:$J$2379,A1160)</f>
        <v>420</v>
      </c>
      <c r="C1160" s="25">
        <f t="shared" si="18"/>
        <v>930220</v>
      </c>
      <c r="D1160" s="28">
        <f>C1160/SUM(Data!$J$2:$J$2379)</f>
        <v>0.76285308464190471</v>
      </c>
    </row>
    <row r="1161" spans="1:4" x14ac:dyDescent="0.3">
      <c r="A1161" s="25">
        <v>1160</v>
      </c>
      <c r="B1161" s="25">
        <f>LARGE(Data!$J$2:$J$2379,A1161)</f>
        <v>420</v>
      </c>
      <c r="C1161" s="25">
        <f t="shared" si="18"/>
        <v>930640</v>
      </c>
      <c r="D1161" s="28">
        <f>C1161/SUM(Data!$J$2:$J$2379)</f>
        <v>0.76319751745946351</v>
      </c>
    </row>
    <row r="1162" spans="1:4" x14ac:dyDescent="0.3">
      <c r="A1162" s="25">
        <v>1161</v>
      </c>
      <c r="B1162" s="25">
        <f>LARGE(Data!$J$2:$J$2379,A1162)</f>
        <v>420</v>
      </c>
      <c r="C1162" s="25">
        <f t="shared" si="18"/>
        <v>931060</v>
      </c>
      <c r="D1162" s="28">
        <f>C1162/SUM(Data!$J$2:$J$2379)</f>
        <v>0.76354195027702243</v>
      </c>
    </row>
    <row r="1163" spans="1:4" x14ac:dyDescent="0.3">
      <c r="A1163" s="25">
        <v>1162</v>
      </c>
      <c r="B1163" s="25">
        <f>LARGE(Data!$J$2:$J$2379,A1163)</f>
        <v>420</v>
      </c>
      <c r="C1163" s="25">
        <f t="shared" si="18"/>
        <v>931480</v>
      </c>
      <c r="D1163" s="28">
        <f>C1163/SUM(Data!$J$2:$J$2379)</f>
        <v>0.76388638309458123</v>
      </c>
    </row>
    <row r="1164" spans="1:4" x14ac:dyDescent="0.3">
      <c r="A1164" s="25">
        <v>1163</v>
      </c>
      <c r="B1164" s="25">
        <f>LARGE(Data!$J$2:$J$2379,A1164)</f>
        <v>420</v>
      </c>
      <c r="C1164" s="25">
        <f t="shared" si="18"/>
        <v>931900</v>
      </c>
      <c r="D1164" s="28">
        <f>C1164/SUM(Data!$J$2:$J$2379)</f>
        <v>0.76423081591214015</v>
      </c>
    </row>
    <row r="1165" spans="1:4" x14ac:dyDescent="0.3">
      <c r="A1165" s="25">
        <v>1164</v>
      </c>
      <c r="B1165" s="25">
        <f>LARGE(Data!$J$2:$J$2379,A1165)</f>
        <v>420</v>
      </c>
      <c r="C1165" s="25">
        <f t="shared" si="18"/>
        <v>932320</v>
      </c>
      <c r="D1165" s="28">
        <f>C1165/SUM(Data!$J$2:$J$2379)</f>
        <v>0.76457524872969895</v>
      </c>
    </row>
    <row r="1166" spans="1:4" x14ac:dyDescent="0.3">
      <c r="A1166" s="25">
        <v>1165</v>
      </c>
      <c r="B1166" s="25">
        <f>LARGE(Data!$J$2:$J$2379,A1166)</f>
        <v>420</v>
      </c>
      <c r="C1166" s="25">
        <f t="shared" si="18"/>
        <v>932740</v>
      </c>
      <c r="D1166" s="28">
        <f>C1166/SUM(Data!$J$2:$J$2379)</f>
        <v>0.76491968154725787</v>
      </c>
    </row>
    <row r="1167" spans="1:4" x14ac:dyDescent="0.3">
      <c r="A1167" s="25">
        <v>1166</v>
      </c>
      <c r="B1167" s="25">
        <f>LARGE(Data!$J$2:$J$2379,A1167)</f>
        <v>420</v>
      </c>
      <c r="C1167" s="25">
        <f t="shared" si="18"/>
        <v>933160</v>
      </c>
      <c r="D1167" s="28">
        <f>C1167/SUM(Data!$J$2:$J$2379)</f>
        <v>0.76526411436481667</v>
      </c>
    </row>
    <row r="1168" spans="1:4" x14ac:dyDescent="0.3">
      <c r="A1168" s="25">
        <v>1167</v>
      </c>
      <c r="B1168" s="25">
        <f>LARGE(Data!$J$2:$J$2379,A1168)</f>
        <v>420</v>
      </c>
      <c r="C1168" s="25">
        <f t="shared" si="18"/>
        <v>933580</v>
      </c>
      <c r="D1168" s="28">
        <f>C1168/SUM(Data!$J$2:$J$2379)</f>
        <v>0.76560854718237559</v>
      </c>
    </row>
    <row r="1169" spans="1:4" x14ac:dyDescent="0.3">
      <c r="A1169" s="25">
        <v>1168</v>
      </c>
      <c r="B1169" s="25">
        <f>LARGE(Data!$J$2:$J$2379,A1169)</f>
        <v>420</v>
      </c>
      <c r="C1169" s="25">
        <f t="shared" si="18"/>
        <v>934000</v>
      </c>
      <c r="D1169" s="28">
        <f>C1169/SUM(Data!$J$2:$J$2379)</f>
        <v>0.76595297999993439</v>
      </c>
    </row>
    <row r="1170" spans="1:4" x14ac:dyDescent="0.3">
      <c r="A1170" s="25">
        <v>1169</v>
      </c>
      <c r="B1170" s="25">
        <f>LARGE(Data!$J$2:$J$2379,A1170)</f>
        <v>420</v>
      </c>
      <c r="C1170" s="25">
        <f t="shared" si="18"/>
        <v>934420</v>
      </c>
      <c r="D1170" s="28">
        <f>C1170/SUM(Data!$J$2:$J$2379)</f>
        <v>0.7662974128174932</v>
      </c>
    </row>
    <row r="1171" spans="1:4" x14ac:dyDescent="0.3">
      <c r="A1171" s="25">
        <v>1170</v>
      </c>
      <c r="B1171" s="25">
        <f>LARGE(Data!$J$2:$J$2379,A1171)</f>
        <v>420</v>
      </c>
      <c r="C1171" s="25">
        <f t="shared" si="18"/>
        <v>934840</v>
      </c>
      <c r="D1171" s="28">
        <f>C1171/SUM(Data!$J$2:$J$2379)</f>
        <v>0.76664184563505211</v>
      </c>
    </row>
    <row r="1172" spans="1:4" x14ac:dyDescent="0.3">
      <c r="A1172" s="25">
        <v>1171</v>
      </c>
      <c r="B1172" s="25">
        <f>LARGE(Data!$J$2:$J$2379,A1172)</f>
        <v>420</v>
      </c>
      <c r="C1172" s="25">
        <f t="shared" si="18"/>
        <v>935260</v>
      </c>
      <c r="D1172" s="28">
        <f>C1172/SUM(Data!$J$2:$J$2379)</f>
        <v>0.76698627845261091</v>
      </c>
    </row>
    <row r="1173" spans="1:4" x14ac:dyDescent="0.3">
      <c r="A1173" s="25">
        <v>1172</v>
      </c>
      <c r="B1173" s="25">
        <f>LARGE(Data!$J$2:$J$2379,A1173)</f>
        <v>420</v>
      </c>
      <c r="C1173" s="25">
        <f t="shared" si="18"/>
        <v>935680</v>
      </c>
      <c r="D1173" s="28">
        <f>C1173/SUM(Data!$J$2:$J$2379)</f>
        <v>0.76733071127016983</v>
      </c>
    </row>
    <row r="1174" spans="1:4" x14ac:dyDescent="0.3">
      <c r="A1174" s="25">
        <v>1173</v>
      </c>
      <c r="B1174" s="25">
        <f>LARGE(Data!$J$2:$J$2379,A1174)</f>
        <v>420</v>
      </c>
      <c r="C1174" s="25">
        <f t="shared" si="18"/>
        <v>936100</v>
      </c>
      <c r="D1174" s="28">
        <f>C1174/SUM(Data!$J$2:$J$2379)</f>
        <v>0.76767514408772863</v>
      </c>
    </row>
    <row r="1175" spans="1:4" x14ac:dyDescent="0.3">
      <c r="A1175" s="25">
        <v>1174</v>
      </c>
      <c r="B1175" s="25">
        <f>LARGE(Data!$J$2:$J$2379,A1175)</f>
        <v>420</v>
      </c>
      <c r="C1175" s="25">
        <f t="shared" si="18"/>
        <v>936520</v>
      </c>
      <c r="D1175" s="28">
        <f>C1175/SUM(Data!$J$2:$J$2379)</f>
        <v>0.76801957690528755</v>
      </c>
    </row>
    <row r="1176" spans="1:4" x14ac:dyDescent="0.3">
      <c r="A1176" s="25">
        <v>1175</v>
      </c>
      <c r="B1176" s="25">
        <f>LARGE(Data!$J$2:$J$2379,A1176)</f>
        <v>400</v>
      </c>
      <c r="C1176" s="25">
        <f t="shared" si="18"/>
        <v>936920</v>
      </c>
      <c r="D1176" s="28">
        <f>C1176/SUM(Data!$J$2:$J$2379)</f>
        <v>0.7683476081601055</v>
      </c>
    </row>
    <row r="1177" spans="1:4" x14ac:dyDescent="0.3">
      <c r="A1177" s="25">
        <v>1176</v>
      </c>
      <c r="B1177" s="25">
        <f>LARGE(Data!$J$2:$J$2379,A1177)</f>
        <v>400</v>
      </c>
      <c r="C1177" s="25">
        <f t="shared" si="18"/>
        <v>937320</v>
      </c>
      <c r="D1177" s="28">
        <f>C1177/SUM(Data!$J$2:$J$2379)</f>
        <v>0.76867563941492345</v>
      </c>
    </row>
    <row r="1178" spans="1:4" x14ac:dyDescent="0.3">
      <c r="A1178" s="25">
        <v>1177</v>
      </c>
      <c r="B1178" s="25">
        <f>LARGE(Data!$J$2:$J$2379,A1178)</f>
        <v>400</v>
      </c>
      <c r="C1178" s="25">
        <f t="shared" si="18"/>
        <v>937720</v>
      </c>
      <c r="D1178" s="28">
        <f>C1178/SUM(Data!$J$2:$J$2379)</f>
        <v>0.7690036706697414</v>
      </c>
    </row>
    <row r="1179" spans="1:4" x14ac:dyDescent="0.3">
      <c r="A1179" s="25">
        <v>1178</v>
      </c>
      <c r="B1179" s="25">
        <f>LARGE(Data!$J$2:$J$2379,A1179)</f>
        <v>400</v>
      </c>
      <c r="C1179" s="25">
        <f t="shared" si="18"/>
        <v>938120</v>
      </c>
      <c r="D1179" s="28">
        <f>C1179/SUM(Data!$J$2:$J$2379)</f>
        <v>0.76933170192455935</v>
      </c>
    </row>
    <row r="1180" spans="1:4" x14ac:dyDescent="0.3">
      <c r="A1180" s="25">
        <v>1179</v>
      </c>
      <c r="B1180" s="25">
        <f>LARGE(Data!$J$2:$J$2379,A1180)</f>
        <v>400</v>
      </c>
      <c r="C1180" s="25">
        <f t="shared" si="18"/>
        <v>938520</v>
      </c>
      <c r="D1180" s="28">
        <f>C1180/SUM(Data!$J$2:$J$2379)</f>
        <v>0.7696597331793773</v>
      </c>
    </row>
    <row r="1181" spans="1:4" x14ac:dyDescent="0.3">
      <c r="A1181" s="25">
        <v>1180</v>
      </c>
      <c r="B1181" s="25">
        <f>LARGE(Data!$J$2:$J$2379,A1181)</f>
        <v>400</v>
      </c>
      <c r="C1181" s="25">
        <f t="shared" si="18"/>
        <v>938920</v>
      </c>
      <c r="D1181" s="28">
        <f>C1181/SUM(Data!$J$2:$J$2379)</f>
        <v>0.76998776443419525</v>
      </c>
    </row>
    <row r="1182" spans="1:4" x14ac:dyDescent="0.3">
      <c r="A1182" s="25">
        <v>1181</v>
      </c>
      <c r="B1182" s="25">
        <f>LARGE(Data!$J$2:$J$2379,A1182)</f>
        <v>400</v>
      </c>
      <c r="C1182" s="25">
        <f t="shared" si="18"/>
        <v>939320</v>
      </c>
      <c r="D1182" s="28">
        <f>C1182/SUM(Data!$J$2:$J$2379)</f>
        <v>0.77031579568901321</v>
      </c>
    </row>
    <row r="1183" spans="1:4" x14ac:dyDescent="0.3">
      <c r="A1183" s="25">
        <v>1182</v>
      </c>
      <c r="B1183" s="25">
        <f>LARGE(Data!$J$2:$J$2379,A1183)</f>
        <v>400</v>
      </c>
      <c r="C1183" s="25">
        <f t="shared" si="18"/>
        <v>939720</v>
      </c>
      <c r="D1183" s="28">
        <f>C1183/SUM(Data!$J$2:$J$2379)</f>
        <v>0.77064382694383116</v>
      </c>
    </row>
    <row r="1184" spans="1:4" x14ac:dyDescent="0.3">
      <c r="A1184" s="25">
        <v>1183</v>
      </c>
      <c r="B1184" s="25">
        <f>LARGE(Data!$J$2:$J$2379,A1184)</f>
        <v>400</v>
      </c>
      <c r="C1184" s="25">
        <f t="shared" si="18"/>
        <v>940120</v>
      </c>
      <c r="D1184" s="28">
        <f>C1184/SUM(Data!$J$2:$J$2379)</f>
        <v>0.77097185819864922</v>
      </c>
    </row>
    <row r="1185" spans="1:4" x14ac:dyDescent="0.3">
      <c r="A1185" s="25">
        <v>1184</v>
      </c>
      <c r="B1185" s="25">
        <f>LARGE(Data!$J$2:$J$2379,A1185)</f>
        <v>400</v>
      </c>
      <c r="C1185" s="25">
        <f t="shared" si="18"/>
        <v>940520</v>
      </c>
      <c r="D1185" s="28">
        <f>C1185/SUM(Data!$J$2:$J$2379)</f>
        <v>0.77129988945346717</v>
      </c>
    </row>
    <row r="1186" spans="1:4" x14ac:dyDescent="0.3">
      <c r="A1186" s="25">
        <v>1185</v>
      </c>
      <c r="B1186" s="25">
        <f>LARGE(Data!$J$2:$J$2379,A1186)</f>
        <v>400</v>
      </c>
      <c r="C1186" s="25">
        <f t="shared" si="18"/>
        <v>940920</v>
      </c>
      <c r="D1186" s="28">
        <f>C1186/SUM(Data!$J$2:$J$2379)</f>
        <v>0.77162792070828512</v>
      </c>
    </row>
    <row r="1187" spans="1:4" x14ac:dyDescent="0.3">
      <c r="A1187" s="25">
        <v>1186</v>
      </c>
      <c r="B1187" s="25">
        <f>LARGE(Data!$J$2:$J$2379,A1187)</f>
        <v>400</v>
      </c>
      <c r="C1187" s="25">
        <f t="shared" si="18"/>
        <v>941320</v>
      </c>
      <c r="D1187" s="28">
        <f>C1187/SUM(Data!$J$2:$J$2379)</f>
        <v>0.77195595196310307</v>
      </c>
    </row>
    <row r="1188" spans="1:4" x14ac:dyDescent="0.3">
      <c r="A1188" s="25">
        <v>1187</v>
      </c>
      <c r="B1188" s="25">
        <f>LARGE(Data!$J$2:$J$2379,A1188)</f>
        <v>400</v>
      </c>
      <c r="C1188" s="25">
        <f t="shared" si="18"/>
        <v>941720</v>
      </c>
      <c r="D1188" s="28">
        <f>C1188/SUM(Data!$J$2:$J$2379)</f>
        <v>0.77228398321792102</v>
      </c>
    </row>
    <row r="1189" spans="1:4" x14ac:dyDescent="0.3">
      <c r="A1189" s="25">
        <v>1188</v>
      </c>
      <c r="B1189" s="25">
        <f>LARGE(Data!$J$2:$J$2379,A1189)</f>
        <v>400</v>
      </c>
      <c r="C1189" s="25">
        <f t="shared" si="18"/>
        <v>942120</v>
      </c>
      <c r="D1189" s="28">
        <f>C1189/SUM(Data!$J$2:$J$2379)</f>
        <v>0.77261201447273897</v>
      </c>
    </row>
    <row r="1190" spans="1:4" x14ac:dyDescent="0.3">
      <c r="A1190" s="25">
        <v>1189</v>
      </c>
      <c r="B1190" s="25">
        <f>LARGE(Data!$J$2:$J$2379,A1190)</f>
        <v>400</v>
      </c>
      <c r="C1190" s="25">
        <f t="shared" si="18"/>
        <v>942520</v>
      </c>
      <c r="D1190" s="28">
        <f>C1190/SUM(Data!$J$2:$J$2379)</f>
        <v>0.77294004572755692</v>
      </c>
    </row>
    <row r="1191" spans="1:4" x14ac:dyDescent="0.3">
      <c r="A1191" s="25">
        <v>1190</v>
      </c>
      <c r="B1191" s="25">
        <f>LARGE(Data!$J$2:$J$2379,A1191)</f>
        <v>400</v>
      </c>
      <c r="C1191" s="25">
        <f t="shared" si="18"/>
        <v>942920</v>
      </c>
      <c r="D1191" s="28">
        <f>C1191/SUM(Data!$J$2:$J$2379)</f>
        <v>0.77326807698237487</v>
      </c>
    </row>
    <row r="1192" spans="1:4" x14ac:dyDescent="0.3">
      <c r="A1192" s="25">
        <v>1191</v>
      </c>
      <c r="B1192" s="25">
        <f>LARGE(Data!$J$2:$J$2379,A1192)</f>
        <v>400</v>
      </c>
      <c r="C1192" s="25">
        <f t="shared" si="18"/>
        <v>943320</v>
      </c>
      <c r="D1192" s="28">
        <f>C1192/SUM(Data!$J$2:$J$2379)</f>
        <v>0.77359610823719283</v>
      </c>
    </row>
    <row r="1193" spans="1:4" x14ac:dyDescent="0.3">
      <c r="A1193" s="25">
        <v>1192</v>
      </c>
      <c r="B1193" s="25">
        <f>LARGE(Data!$J$2:$J$2379,A1193)</f>
        <v>400</v>
      </c>
      <c r="C1193" s="25">
        <f t="shared" si="18"/>
        <v>943720</v>
      </c>
      <c r="D1193" s="28">
        <f>C1193/SUM(Data!$J$2:$J$2379)</f>
        <v>0.77392413949201078</v>
      </c>
    </row>
    <row r="1194" spans="1:4" x14ac:dyDescent="0.3">
      <c r="A1194" s="25">
        <v>1193</v>
      </c>
      <c r="B1194" s="25">
        <f>LARGE(Data!$J$2:$J$2379,A1194)</f>
        <v>400</v>
      </c>
      <c r="C1194" s="25">
        <f t="shared" si="18"/>
        <v>944120</v>
      </c>
      <c r="D1194" s="28">
        <f>C1194/SUM(Data!$J$2:$J$2379)</f>
        <v>0.77425217074682873</v>
      </c>
    </row>
    <row r="1195" spans="1:4" x14ac:dyDescent="0.3">
      <c r="A1195" s="25">
        <v>1194</v>
      </c>
      <c r="B1195" s="25">
        <f>LARGE(Data!$J$2:$J$2379,A1195)</f>
        <v>400</v>
      </c>
      <c r="C1195" s="25">
        <f t="shared" si="18"/>
        <v>944520</v>
      </c>
      <c r="D1195" s="28">
        <f>C1195/SUM(Data!$J$2:$J$2379)</f>
        <v>0.77458020200164668</v>
      </c>
    </row>
    <row r="1196" spans="1:4" x14ac:dyDescent="0.3">
      <c r="A1196" s="25">
        <v>1195</v>
      </c>
      <c r="B1196" s="25">
        <f>LARGE(Data!$J$2:$J$2379,A1196)</f>
        <v>400</v>
      </c>
      <c r="C1196" s="25">
        <f t="shared" si="18"/>
        <v>944920</v>
      </c>
      <c r="D1196" s="28">
        <f>C1196/SUM(Data!$J$2:$J$2379)</f>
        <v>0.77490823325646463</v>
      </c>
    </row>
    <row r="1197" spans="1:4" x14ac:dyDescent="0.3">
      <c r="A1197" s="25">
        <v>1196</v>
      </c>
      <c r="B1197" s="25">
        <f>LARGE(Data!$J$2:$J$2379,A1197)</f>
        <v>400</v>
      </c>
      <c r="C1197" s="25">
        <f t="shared" si="18"/>
        <v>945320</v>
      </c>
      <c r="D1197" s="28">
        <f>C1197/SUM(Data!$J$2:$J$2379)</f>
        <v>0.77523626451128258</v>
      </c>
    </row>
    <row r="1198" spans="1:4" x14ac:dyDescent="0.3">
      <c r="A1198" s="25">
        <v>1197</v>
      </c>
      <c r="B1198" s="25">
        <f>LARGE(Data!$J$2:$J$2379,A1198)</f>
        <v>400</v>
      </c>
      <c r="C1198" s="25">
        <f t="shared" si="18"/>
        <v>945720</v>
      </c>
      <c r="D1198" s="28">
        <f>C1198/SUM(Data!$J$2:$J$2379)</f>
        <v>0.77556429576610064</v>
      </c>
    </row>
    <row r="1199" spans="1:4" x14ac:dyDescent="0.3">
      <c r="A1199" s="25">
        <v>1198</v>
      </c>
      <c r="B1199" s="25">
        <f>LARGE(Data!$J$2:$J$2379,A1199)</f>
        <v>390</v>
      </c>
      <c r="C1199" s="25">
        <f t="shared" si="18"/>
        <v>946110</v>
      </c>
      <c r="D1199" s="28">
        <f>C1199/SUM(Data!$J$2:$J$2379)</f>
        <v>0.77588412623954806</v>
      </c>
    </row>
    <row r="1200" spans="1:4" x14ac:dyDescent="0.3">
      <c r="A1200" s="25">
        <v>1199</v>
      </c>
      <c r="B1200" s="25">
        <f>LARGE(Data!$J$2:$J$2379,A1200)</f>
        <v>390</v>
      </c>
      <c r="C1200" s="25">
        <f t="shared" si="18"/>
        <v>946500</v>
      </c>
      <c r="D1200" s="28">
        <f>C1200/SUM(Data!$J$2:$J$2379)</f>
        <v>0.77620395671299558</v>
      </c>
    </row>
    <row r="1201" spans="1:4" x14ac:dyDescent="0.3">
      <c r="A1201" s="25">
        <v>1200</v>
      </c>
      <c r="B1201" s="25">
        <f>LARGE(Data!$J$2:$J$2379,A1201)</f>
        <v>390</v>
      </c>
      <c r="C1201" s="25">
        <f t="shared" si="18"/>
        <v>946890</v>
      </c>
      <c r="D1201" s="28">
        <f>C1201/SUM(Data!$J$2:$J$2379)</f>
        <v>0.7765237871864431</v>
      </c>
    </row>
    <row r="1202" spans="1:4" x14ac:dyDescent="0.3">
      <c r="A1202" s="25">
        <v>1201</v>
      </c>
      <c r="B1202" s="25">
        <f>LARGE(Data!$J$2:$J$2379,A1202)</f>
        <v>390</v>
      </c>
      <c r="C1202" s="25">
        <f t="shared" si="18"/>
        <v>947280</v>
      </c>
      <c r="D1202" s="28">
        <f>C1202/SUM(Data!$J$2:$J$2379)</f>
        <v>0.77684361765989063</v>
      </c>
    </row>
    <row r="1203" spans="1:4" x14ac:dyDescent="0.3">
      <c r="A1203" s="25">
        <v>1202</v>
      </c>
      <c r="B1203" s="25">
        <f>LARGE(Data!$J$2:$J$2379,A1203)</f>
        <v>390</v>
      </c>
      <c r="C1203" s="25">
        <f t="shared" si="18"/>
        <v>947670</v>
      </c>
      <c r="D1203" s="28">
        <f>C1203/SUM(Data!$J$2:$J$2379)</f>
        <v>0.77716344813333815</v>
      </c>
    </row>
    <row r="1204" spans="1:4" x14ac:dyDescent="0.3">
      <c r="A1204" s="25">
        <v>1203</v>
      </c>
      <c r="B1204" s="25">
        <f>LARGE(Data!$J$2:$J$2379,A1204)</f>
        <v>390</v>
      </c>
      <c r="C1204" s="25">
        <f t="shared" si="18"/>
        <v>948060</v>
      </c>
      <c r="D1204" s="28">
        <f>C1204/SUM(Data!$J$2:$J$2379)</f>
        <v>0.77748327860678568</v>
      </c>
    </row>
    <row r="1205" spans="1:4" x14ac:dyDescent="0.3">
      <c r="A1205" s="25">
        <v>1204</v>
      </c>
      <c r="B1205" s="25">
        <f>LARGE(Data!$J$2:$J$2379,A1205)</f>
        <v>390</v>
      </c>
      <c r="C1205" s="25">
        <f t="shared" si="18"/>
        <v>948450</v>
      </c>
      <c r="D1205" s="28">
        <f>C1205/SUM(Data!$J$2:$J$2379)</f>
        <v>0.7778031090802332</v>
      </c>
    </row>
    <row r="1206" spans="1:4" x14ac:dyDescent="0.3">
      <c r="A1206" s="25">
        <v>1205</v>
      </c>
      <c r="B1206" s="25">
        <f>LARGE(Data!$J$2:$J$2379,A1206)</f>
        <v>390</v>
      </c>
      <c r="C1206" s="25">
        <f t="shared" si="18"/>
        <v>948840</v>
      </c>
      <c r="D1206" s="28">
        <f>C1206/SUM(Data!$J$2:$J$2379)</f>
        <v>0.77812293955368073</v>
      </c>
    </row>
    <row r="1207" spans="1:4" x14ac:dyDescent="0.3">
      <c r="A1207" s="25">
        <v>1206</v>
      </c>
      <c r="B1207" s="25">
        <f>LARGE(Data!$J$2:$J$2379,A1207)</f>
        <v>390</v>
      </c>
      <c r="C1207" s="25">
        <f t="shared" si="18"/>
        <v>949230</v>
      </c>
      <c r="D1207" s="28">
        <f>C1207/SUM(Data!$J$2:$J$2379)</f>
        <v>0.77844277002712814</v>
      </c>
    </row>
    <row r="1208" spans="1:4" x14ac:dyDescent="0.3">
      <c r="A1208" s="25">
        <v>1207</v>
      </c>
      <c r="B1208" s="25">
        <f>LARGE(Data!$J$2:$J$2379,A1208)</f>
        <v>390</v>
      </c>
      <c r="C1208" s="25">
        <f t="shared" si="18"/>
        <v>949620</v>
      </c>
      <c r="D1208" s="28">
        <f>C1208/SUM(Data!$J$2:$J$2379)</f>
        <v>0.77876260050057566</v>
      </c>
    </row>
    <row r="1209" spans="1:4" x14ac:dyDescent="0.3">
      <c r="A1209" s="25">
        <v>1208</v>
      </c>
      <c r="B1209" s="25">
        <f>LARGE(Data!$J$2:$J$2379,A1209)</f>
        <v>390</v>
      </c>
      <c r="C1209" s="25">
        <f t="shared" si="18"/>
        <v>950010</v>
      </c>
      <c r="D1209" s="28">
        <f>C1209/SUM(Data!$J$2:$J$2379)</f>
        <v>0.77908243097402319</v>
      </c>
    </row>
    <row r="1210" spans="1:4" x14ac:dyDescent="0.3">
      <c r="A1210" s="25">
        <v>1209</v>
      </c>
      <c r="B1210" s="25">
        <f>LARGE(Data!$J$2:$J$2379,A1210)</f>
        <v>390</v>
      </c>
      <c r="C1210" s="25">
        <f t="shared" si="18"/>
        <v>950400</v>
      </c>
      <c r="D1210" s="28">
        <f>C1210/SUM(Data!$J$2:$J$2379)</f>
        <v>0.77940226144747071</v>
      </c>
    </row>
    <row r="1211" spans="1:4" x14ac:dyDescent="0.3">
      <c r="A1211" s="25">
        <v>1210</v>
      </c>
      <c r="B1211" s="25">
        <f>LARGE(Data!$J$2:$J$2379,A1211)</f>
        <v>390</v>
      </c>
      <c r="C1211" s="25">
        <f t="shared" si="18"/>
        <v>950790</v>
      </c>
      <c r="D1211" s="28">
        <f>C1211/SUM(Data!$J$2:$J$2379)</f>
        <v>0.77972209192091824</v>
      </c>
    </row>
    <row r="1212" spans="1:4" x14ac:dyDescent="0.3">
      <c r="A1212" s="25">
        <v>1211</v>
      </c>
      <c r="B1212" s="25">
        <f>LARGE(Data!$J$2:$J$2379,A1212)</f>
        <v>390</v>
      </c>
      <c r="C1212" s="25">
        <f t="shared" si="18"/>
        <v>951180</v>
      </c>
      <c r="D1212" s="28">
        <f>C1212/SUM(Data!$J$2:$J$2379)</f>
        <v>0.78004192239436576</v>
      </c>
    </row>
    <row r="1213" spans="1:4" x14ac:dyDescent="0.3">
      <c r="A1213" s="25">
        <v>1212</v>
      </c>
      <c r="B1213" s="25">
        <f>LARGE(Data!$J$2:$J$2379,A1213)</f>
        <v>390</v>
      </c>
      <c r="C1213" s="25">
        <f t="shared" si="18"/>
        <v>951570</v>
      </c>
      <c r="D1213" s="28">
        <f>C1213/SUM(Data!$J$2:$J$2379)</f>
        <v>0.78036175286781329</v>
      </c>
    </row>
    <row r="1214" spans="1:4" x14ac:dyDescent="0.3">
      <c r="A1214" s="25">
        <v>1213</v>
      </c>
      <c r="B1214" s="25">
        <f>LARGE(Data!$J$2:$J$2379,A1214)</f>
        <v>390</v>
      </c>
      <c r="C1214" s="25">
        <f t="shared" si="18"/>
        <v>951960</v>
      </c>
      <c r="D1214" s="28">
        <f>C1214/SUM(Data!$J$2:$J$2379)</f>
        <v>0.78068158334126081</v>
      </c>
    </row>
    <row r="1215" spans="1:4" x14ac:dyDescent="0.3">
      <c r="A1215" s="25">
        <v>1214</v>
      </c>
      <c r="B1215" s="25">
        <f>LARGE(Data!$J$2:$J$2379,A1215)</f>
        <v>390</v>
      </c>
      <c r="C1215" s="25">
        <f t="shared" si="18"/>
        <v>952350</v>
      </c>
      <c r="D1215" s="28">
        <f>C1215/SUM(Data!$J$2:$J$2379)</f>
        <v>0.78100141381470822</v>
      </c>
    </row>
    <row r="1216" spans="1:4" x14ac:dyDescent="0.3">
      <c r="A1216" s="25">
        <v>1215</v>
      </c>
      <c r="B1216" s="25">
        <f>LARGE(Data!$J$2:$J$2379,A1216)</f>
        <v>390</v>
      </c>
      <c r="C1216" s="25">
        <f t="shared" si="18"/>
        <v>952740</v>
      </c>
      <c r="D1216" s="28">
        <f>C1216/SUM(Data!$J$2:$J$2379)</f>
        <v>0.78132124428815575</v>
      </c>
    </row>
    <row r="1217" spans="1:4" x14ac:dyDescent="0.3">
      <c r="A1217" s="25">
        <v>1216</v>
      </c>
      <c r="B1217" s="25">
        <f>LARGE(Data!$J$2:$J$2379,A1217)</f>
        <v>390</v>
      </c>
      <c r="C1217" s="25">
        <f t="shared" si="18"/>
        <v>953130</v>
      </c>
      <c r="D1217" s="28">
        <f>C1217/SUM(Data!$J$2:$J$2379)</f>
        <v>0.78164107476160327</v>
      </c>
    </row>
    <row r="1218" spans="1:4" x14ac:dyDescent="0.3">
      <c r="A1218" s="25">
        <v>1217</v>
      </c>
      <c r="B1218" s="25">
        <f>LARGE(Data!$J$2:$J$2379,A1218)</f>
        <v>390</v>
      </c>
      <c r="C1218" s="25">
        <f t="shared" si="18"/>
        <v>953520</v>
      </c>
      <c r="D1218" s="28">
        <f>C1218/SUM(Data!$J$2:$J$2379)</f>
        <v>0.7819609052350508</v>
      </c>
    </row>
    <row r="1219" spans="1:4" x14ac:dyDescent="0.3">
      <c r="A1219" s="25">
        <v>1218</v>
      </c>
      <c r="B1219" s="25">
        <f>LARGE(Data!$J$2:$J$2379,A1219)</f>
        <v>390</v>
      </c>
      <c r="C1219" s="25">
        <f t="shared" ref="C1219:C1282" si="19">C1218+B1219</f>
        <v>953910</v>
      </c>
      <c r="D1219" s="28">
        <f>C1219/SUM(Data!$J$2:$J$2379)</f>
        <v>0.78228073570849832</v>
      </c>
    </row>
    <row r="1220" spans="1:4" x14ac:dyDescent="0.3">
      <c r="A1220" s="25">
        <v>1219</v>
      </c>
      <c r="B1220" s="25">
        <f>LARGE(Data!$J$2:$J$2379,A1220)</f>
        <v>390</v>
      </c>
      <c r="C1220" s="25">
        <f t="shared" si="19"/>
        <v>954300</v>
      </c>
      <c r="D1220" s="28">
        <f>C1220/SUM(Data!$J$2:$J$2379)</f>
        <v>0.78260056618194584</v>
      </c>
    </row>
    <row r="1221" spans="1:4" x14ac:dyDescent="0.3">
      <c r="A1221" s="25">
        <v>1220</v>
      </c>
      <c r="B1221" s="25">
        <f>LARGE(Data!$J$2:$J$2379,A1221)</f>
        <v>390</v>
      </c>
      <c r="C1221" s="25">
        <f t="shared" si="19"/>
        <v>954690</v>
      </c>
      <c r="D1221" s="28">
        <f>C1221/SUM(Data!$J$2:$J$2379)</f>
        <v>0.78292039665539337</v>
      </c>
    </row>
    <row r="1222" spans="1:4" x14ac:dyDescent="0.3">
      <c r="A1222" s="25">
        <v>1221</v>
      </c>
      <c r="B1222" s="25">
        <f>LARGE(Data!$J$2:$J$2379,A1222)</f>
        <v>390</v>
      </c>
      <c r="C1222" s="25">
        <f t="shared" si="19"/>
        <v>955080</v>
      </c>
      <c r="D1222" s="28">
        <f>C1222/SUM(Data!$J$2:$J$2379)</f>
        <v>0.78324022712884078</v>
      </c>
    </row>
    <row r="1223" spans="1:4" x14ac:dyDescent="0.3">
      <c r="A1223" s="25">
        <v>1222</v>
      </c>
      <c r="B1223" s="25">
        <f>LARGE(Data!$J$2:$J$2379,A1223)</f>
        <v>390</v>
      </c>
      <c r="C1223" s="25">
        <f t="shared" si="19"/>
        <v>955470</v>
      </c>
      <c r="D1223" s="28">
        <f>C1223/SUM(Data!$J$2:$J$2379)</f>
        <v>0.78356005760228831</v>
      </c>
    </row>
    <row r="1224" spans="1:4" x14ac:dyDescent="0.3">
      <c r="A1224" s="25">
        <v>1223</v>
      </c>
      <c r="B1224" s="25">
        <f>LARGE(Data!$J$2:$J$2379,A1224)</f>
        <v>390</v>
      </c>
      <c r="C1224" s="25">
        <f t="shared" si="19"/>
        <v>955860</v>
      </c>
      <c r="D1224" s="28">
        <f>C1224/SUM(Data!$J$2:$J$2379)</f>
        <v>0.78387988807573583</v>
      </c>
    </row>
    <row r="1225" spans="1:4" x14ac:dyDescent="0.3">
      <c r="A1225" s="25">
        <v>1224</v>
      </c>
      <c r="B1225" s="25">
        <f>LARGE(Data!$J$2:$J$2379,A1225)</f>
        <v>390</v>
      </c>
      <c r="C1225" s="25">
        <f t="shared" si="19"/>
        <v>956250</v>
      </c>
      <c r="D1225" s="28">
        <f>C1225/SUM(Data!$J$2:$J$2379)</f>
        <v>0.78419971854918336</v>
      </c>
    </row>
    <row r="1226" spans="1:4" x14ac:dyDescent="0.3">
      <c r="A1226" s="25">
        <v>1225</v>
      </c>
      <c r="B1226" s="25">
        <f>LARGE(Data!$J$2:$J$2379,A1226)</f>
        <v>390</v>
      </c>
      <c r="C1226" s="25">
        <f t="shared" si="19"/>
        <v>956640</v>
      </c>
      <c r="D1226" s="28">
        <f>C1226/SUM(Data!$J$2:$J$2379)</f>
        <v>0.78451954902263088</v>
      </c>
    </row>
    <row r="1227" spans="1:4" x14ac:dyDescent="0.3">
      <c r="A1227" s="25">
        <v>1226</v>
      </c>
      <c r="B1227" s="25">
        <f>LARGE(Data!$J$2:$J$2379,A1227)</f>
        <v>390</v>
      </c>
      <c r="C1227" s="25">
        <f t="shared" si="19"/>
        <v>957030</v>
      </c>
      <c r="D1227" s="28">
        <f>C1227/SUM(Data!$J$2:$J$2379)</f>
        <v>0.7848393794960784</v>
      </c>
    </row>
    <row r="1228" spans="1:4" x14ac:dyDescent="0.3">
      <c r="A1228" s="25">
        <v>1227</v>
      </c>
      <c r="B1228" s="25">
        <f>LARGE(Data!$J$2:$J$2379,A1228)</f>
        <v>390</v>
      </c>
      <c r="C1228" s="25">
        <f t="shared" si="19"/>
        <v>957420</v>
      </c>
      <c r="D1228" s="28">
        <f>C1228/SUM(Data!$J$2:$J$2379)</f>
        <v>0.78515920996952593</v>
      </c>
    </row>
    <row r="1229" spans="1:4" x14ac:dyDescent="0.3">
      <c r="A1229" s="25">
        <v>1228</v>
      </c>
      <c r="B1229" s="25">
        <f>LARGE(Data!$J$2:$J$2379,A1229)</f>
        <v>390</v>
      </c>
      <c r="C1229" s="25">
        <f t="shared" si="19"/>
        <v>957810</v>
      </c>
      <c r="D1229" s="28">
        <f>C1229/SUM(Data!$J$2:$J$2379)</f>
        <v>0.78547904044297345</v>
      </c>
    </row>
    <row r="1230" spans="1:4" x14ac:dyDescent="0.3">
      <c r="A1230" s="25">
        <v>1229</v>
      </c>
      <c r="B1230" s="25">
        <f>LARGE(Data!$J$2:$J$2379,A1230)</f>
        <v>390</v>
      </c>
      <c r="C1230" s="25">
        <f t="shared" si="19"/>
        <v>958200</v>
      </c>
      <c r="D1230" s="28">
        <f>C1230/SUM(Data!$J$2:$J$2379)</f>
        <v>0.78579887091642087</v>
      </c>
    </row>
    <row r="1231" spans="1:4" x14ac:dyDescent="0.3">
      <c r="A1231" s="25">
        <v>1230</v>
      </c>
      <c r="B1231" s="25">
        <f>LARGE(Data!$J$2:$J$2379,A1231)</f>
        <v>390</v>
      </c>
      <c r="C1231" s="25">
        <f t="shared" si="19"/>
        <v>958590</v>
      </c>
      <c r="D1231" s="28">
        <f>C1231/SUM(Data!$J$2:$J$2379)</f>
        <v>0.78611870138986839</v>
      </c>
    </row>
    <row r="1232" spans="1:4" x14ac:dyDescent="0.3">
      <c r="A1232" s="25">
        <v>1231</v>
      </c>
      <c r="B1232" s="25">
        <f>LARGE(Data!$J$2:$J$2379,A1232)</f>
        <v>390</v>
      </c>
      <c r="C1232" s="25">
        <f t="shared" si="19"/>
        <v>958980</v>
      </c>
      <c r="D1232" s="28">
        <f>C1232/SUM(Data!$J$2:$J$2379)</f>
        <v>0.78643853186331591</v>
      </c>
    </row>
    <row r="1233" spans="1:4" x14ac:dyDescent="0.3">
      <c r="A1233" s="25">
        <v>1232</v>
      </c>
      <c r="B1233" s="25">
        <f>LARGE(Data!$J$2:$J$2379,A1233)</f>
        <v>390</v>
      </c>
      <c r="C1233" s="25">
        <f t="shared" si="19"/>
        <v>959370</v>
      </c>
      <c r="D1233" s="28">
        <f>C1233/SUM(Data!$J$2:$J$2379)</f>
        <v>0.78675836233676344</v>
      </c>
    </row>
    <row r="1234" spans="1:4" x14ac:dyDescent="0.3">
      <c r="A1234" s="25">
        <v>1233</v>
      </c>
      <c r="B1234" s="25">
        <f>LARGE(Data!$J$2:$J$2379,A1234)</f>
        <v>390</v>
      </c>
      <c r="C1234" s="25">
        <f t="shared" si="19"/>
        <v>959760</v>
      </c>
      <c r="D1234" s="28">
        <f>C1234/SUM(Data!$J$2:$J$2379)</f>
        <v>0.78707819281021096</v>
      </c>
    </row>
    <row r="1235" spans="1:4" x14ac:dyDescent="0.3">
      <c r="A1235" s="25">
        <v>1234</v>
      </c>
      <c r="B1235" s="25">
        <f>LARGE(Data!$J$2:$J$2379,A1235)</f>
        <v>390</v>
      </c>
      <c r="C1235" s="25">
        <f t="shared" si="19"/>
        <v>960150</v>
      </c>
      <c r="D1235" s="28">
        <f>C1235/SUM(Data!$J$2:$J$2379)</f>
        <v>0.78739802328365849</v>
      </c>
    </row>
    <row r="1236" spans="1:4" x14ac:dyDescent="0.3">
      <c r="A1236" s="25">
        <v>1235</v>
      </c>
      <c r="B1236" s="25">
        <f>LARGE(Data!$J$2:$J$2379,A1236)</f>
        <v>390</v>
      </c>
      <c r="C1236" s="25">
        <f t="shared" si="19"/>
        <v>960540</v>
      </c>
      <c r="D1236" s="28">
        <f>C1236/SUM(Data!$J$2:$J$2379)</f>
        <v>0.78771785375710601</v>
      </c>
    </row>
    <row r="1237" spans="1:4" x14ac:dyDescent="0.3">
      <c r="A1237" s="25">
        <v>1236</v>
      </c>
      <c r="B1237" s="25">
        <f>LARGE(Data!$J$2:$J$2379,A1237)</f>
        <v>390</v>
      </c>
      <c r="C1237" s="25">
        <f t="shared" si="19"/>
        <v>960930</v>
      </c>
      <c r="D1237" s="28">
        <f>C1237/SUM(Data!$J$2:$J$2379)</f>
        <v>0.78803768423055354</v>
      </c>
    </row>
    <row r="1238" spans="1:4" x14ac:dyDescent="0.3">
      <c r="A1238" s="25">
        <v>1237</v>
      </c>
      <c r="B1238" s="25">
        <f>LARGE(Data!$J$2:$J$2379,A1238)</f>
        <v>390</v>
      </c>
      <c r="C1238" s="25">
        <f t="shared" si="19"/>
        <v>961320</v>
      </c>
      <c r="D1238" s="28">
        <f>C1238/SUM(Data!$J$2:$J$2379)</f>
        <v>0.78835751470400095</v>
      </c>
    </row>
    <row r="1239" spans="1:4" x14ac:dyDescent="0.3">
      <c r="A1239" s="25">
        <v>1238</v>
      </c>
      <c r="B1239" s="25">
        <f>LARGE(Data!$J$2:$J$2379,A1239)</f>
        <v>390</v>
      </c>
      <c r="C1239" s="25">
        <f t="shared" si="19"/>
        <v>961710</v>
      </c>
      <c r="D1239" s="28">
        <f>C1239/SUM(Data!$J$2:$J$2379)</f>
        <v>0.78867734517744847</v>
      </c>
    </row>
    <row r="1240" spans="1:4" x14ac:dyDescent="0.3">
      <c r="A1240" s="25">
        <v>1239</v>
      </c>
      <c r="B1240" s="25">
        <f>LARGE(Data!$J$2:$J$2379,A1240)</f>
        <v>390</v>
      </c>
      <c r="C1240" s="25">
        <f t="shared" si="19"/>
        <v>962100</v>
      </c>
      <c r="D1240" s="28">
        <f>C1240/SUM(Data!$J$2:$J$2379)</f>
        <v>0.788997175650896</v>
      </c>
    </row>
    <row r="1241" spans="1:4" x14ac:dyDescent="0.3">
      <c r="A1241" s="25">
        <v>1240</v>
      </c>
      <c r="B1241" s="25">
        <f>LARGE(Data!$J$2:$J$2379,A1241)</f>
        <v>390</v>
      </c>
      <c r="C1241" s="25">
        <f t="shared" si="19"/>
        <v>962490</v>
      </c>
      <c r="D1241" s="28">
        <f>C1241/SUM(Data!$J$2:$J$2379)</f>
        <v>0.78931700612434352</v>
      </c>
    </row>
    <row r="1242" spans="1:4" x14ac:dyDescent="0.3">
      <c r="A1242" s="25">
        <v>1241</v>
      </c>
      <c r="B1242" s="25">
        <f>LARGE(Data!$J$2:$J$2379,A1242)</f>
        <v>390</v>
      </c>
      <c r="C1242" s="25">
        <f t="shared" si="19"/>
        <v>962880</v>
      </c>
      <c r="D1242" s="28">
        <f>C1242/SUM(Data!$J$2:$J$2379)</f>
        <v>0.78963683659779105</v>
      </c>
    </row>
    <row r="1243" spans="1:4" x14ac:dyDescent="0.3">
      <c r="A1243" s="25">
        <v>1242</v>
      </c>
      <c r="B1243" s="25">
        <f>LARGE(Data!$J$2:$J$2379,A1243)</f>
        <v>390</v>
      </c>
      <c r="C1243" s="25">
        <f t="shared" si="19"/>
        <v>963270</v>
      </c>
      <c r="D1243" s="28">
        <f>C1243/SUM(Data!$J$2:$J$2379)</f>
        <v>0.78995666707123857</v>
      </c>
    </row>
    <row r="1244" spans="1:4" x14ac:dyDescent="0.3">
      <c r="A1244" s="25">
        <v>1243</v>
      </c>
      <c r="B1244" s="25">
        <f>LARGE(Data!$J$2:$J$2379,A1244)</f>
        <v>390</v>
      </c>
      <c r="C1244" s="25">
        <f t="shared" si="19"/>
        <v>963660</v>
      </c>
      <c r="D1244" s="28">
        <f>C1244/SUM(Data!$J$2:$J$2379)</f>
        <v>0.7902764975446861</v>
      </c>
    </row>
    <row r="1245" spans="1:4" x14ac:dyDescent="0.3">
      <c r="A1245" s="25">
        <v>1244</v>
      </c>
      <c r="B1245" s="25">
        <f>LARGE(Data!$J$2:$J$2379,A1245)</f>
        <v>390</v>
      </c>
      <c r="C1245" s="25">
        <f t="shared" si="19"/>
        <v>964050</v>
      </c>
      <c r="D1245" s="28">
        <f>C1245/SUM(Data!$J$2:$J$2379)</f>
        <v>0.79059632801813362</v>
      </c>
    </row>
    <row r="1246" spans="1:4" x14ac:dyDescent="0.3">
      <c r="A1246" s="25">
        <v>1245</v>
      </c>
      <c r="B1246" s="25">
        <f>LARGE(Data!$J$2:$J$2379,A1246)</f>
        <v>390</v>
      </c>
      <c r="C1246" s="25">
        <f t="shared" si="19"/>
        <v>964440</v>
      </c>
      <c r="D1246" s="28">
        <f>C1246/SUM(Data!$J$2:$J$2379)</f>
        <v>0.79091615849158103</v>
      </c>
    </row>
    <row r="1247" spans="1:4" x14ac:dyDescent="0.3">
      <c r="A1247" s="25">
        <v>1246</v>
      </c>
      <c r="B1247" s="25">
        <f>LARGE(Data!$J$2:$J$2379,A1247)</f>
        <v>390</v>
      </c>
      <c r="C1247" s="25">
        <f t="shared" si="19"/>
        <v>964830</v>
      </c>
      <c r="D1247" s="28">
        <f>C1247/SUM(Data!$J$2:$J$2379)</f>
        <v>0.79123598896502856</v>
      </c>
    </row>
    <row r="1248" spans="1:4" x14ac:dyDescent="0.3">
      <c r="A1248" s="25">
        <v>1247</v>
      </c>
      <c r="B1248" s="25">
        <f>LARGE(Data!$J$2:$J$2379,A1248)</f>
        <v>390</v>
      </c>
      <c r="C1248" s="25">
        <f t="shared" si="19"/>
        <v>965220</v>
      </c>
      <c r="D1248" s="28">
        <f>C1248/SUM(Data!$J$2:$J$2379)</f>
        <v>0.79155581943847608</v>
      </c>
    </row>
    <row r="1249" spans="1:4" x14ac:dyDescent="0.3">
      <c r="A1249" s="25">
        <v>1248</v>
      </c>
      <c r="B1249" s="25">
        <f>LARGE(Data!$J$2:$J$2379,A1249)</f>
        <v>390</v>
      </c>
      <c r="C1249" s="25">
        <f t="shared" si="19"/>
        <v>965610</v>
      </c>
      <c r="D1249" s="28">
        <f>C1249/SUM(Data!$J$2:$J$2379)</f>
        <v>0.79187564991192361</v>
      </c>
    </row>
    <row r="1250" spans="1:4" x14ac:dyDescent="0.3">
      <c r="A1250" s="25">
        <v>1249</v>
      </c>
      <c r="B1250" s="25">
        <f>LARGE(Data!$J$2:$J$2379,A1250)</f>
        <v>390</v>
      </c>
      <c r="C1250" s="25">
        <f t="shared" si="19"/>
        <v>966000</v>
      </c>
      <c r="D1250" s="28">
        <f>C1250/SUM(Data!$J$2:$J$2379)</f>
        <v>0.79219548038537113</v>
      </c>
    </row>
    <row r="1251" spans="1:4" x14ac:dyDescent="0.3">
      <c r="A1251" s="25">
        <v>1250</v>
      </c>
      <c r="B1251" s="25">
        <f>LARGE(Data!$J$2:$J$2379,A1251)</f>
        <v>390</v>
      </c>
      <c r="C1251" s="25">
        <f t="shared" si="19"/>
        <v>966390</v>
      </c>
      <c r="D1251" s="28">
        <f>C1251/SUM(Data!$J$2:$J$2379)</f>
        <v>0.79251531085881866</v>
      </c>
    </row>
    <row r="1252" spans="1:4" x14ac:dyDescent="0.3">
      <c r="A1252" s="25">
        <v>1251</v>
      </c>
      <c r="B1252" s="25">
        <f>LARGE(Data!$J$2:$J$2379,A1252)</f>
        <v>390</v>
      </c>
      <c r="C1252" s="25">
        <f t="shared" si="19"/>
        <v>966780</v>
      </c>
      <c r="D1252" s="28">
        <f>C1252/SUM(Data!$J$2:$J$2379)</f>
        <v>0.79283514133226618</v>
      </c>
    </row>
    <row r="1253" spans="1:4" x14ac:dyDescent="0.3">
      <c r="A1253" s="25">
        <v>1252</v>
      </c>
      <c r="B1253" s="25">
        <f>LARGE(Data!$J$2:$J$2379,A1253)</f>
        <v>390</v>
      </c>
      <c r="C1253" s="25">
        <f t="shared" si="19"/>
        <v>967170</v>
      </c>
      <c r="D1253" s="28">
        <f>C1253/SUM(Data!$J$2:$J$2379)</f>
        <v>0.79315497180571359</v>
      </c>
    </row>
    <row r="1254" spans="1:4" x14ac:dyDescent="0.3">
      <c r="A1254" s="25">
        <v>1253</v>
      </c>
      <c r="B1254" s="25">
        <f>LARGE(Data!$J$2:$J$2379,A1254)</f>
        <v>390</v>
      </c>
      <c r="C1254" s="25">
        <f t="shared" si="19"/>
        <v>967560</v>
      </c>
      <c r="D1254" s="28">
        <f>C1254/SUM(Data!$J$2:$J$2379)</f>
        <v>0.79347480227916112</v>
      </c>
    </row>
    <row r="1255" spans="1:4" x14ac:dyDescent="0.3">
      <c r="A1255" s="25">
        <v>1254</v>
      </c>
      <c r="B1255" s="25">
        <f>LARGE(Data!$J$2:$J$2379,A1255)</f>
        <v>390</v>
      </c>
      <c r="C1255" s="25">
        <f t="shared" si="19"/>
        <v>967950</v>
      </c>
      <c r="D1255" s="28">
        <f>C1255/SUM(Data!$J$2:$J$2379)</f>
        <v>0.79379463275260864</v>
      </c>
    </row>
    <row r="1256" spans="1:4" x14ac:dyDescent="0.3">
      <c r="A1256" s="25">
        <v>1255</v>
      </c>
      <c r="B1256" s="25">
        <f>LARGE(Data!$J$2:$J$2379,A1256)</f>
        <v>390</v>
      </c>
      <c r="C1256" s="25">
        <f t="shared" si="19"/>
        <v>968340</v>
      </c>
      <c r="D1256" s="28">
        <f>C1256/SUM(Data!$J$2:$J$2379)</f>
        <v>0.79411446322605617</v>
      </c>
    </row>
    <row r="1257" spans="1:4" x14ac:dyDescent="0.3">
      <c r="A1257" s="25">
        <v>1256</v>
      </c>
      <c r="B1257" s="25">
        <f>LARGE(Data!$J$2:$J$2379,A1257)</f>
        <v>390</v>
      </c>
      <c r="C1257" s="25">
        <f t="shared" si="19"/>
        <v>968730</v>
      </c>
      <c r="D1257" s="28">
        <f>C1257/SUM(Data!$J$2:$J$2379)</f>
        <v>0.79443429369950369</v>
      </c>
    </row>
    <row r="1258" spans="1:4" x14ac:dyDescent="0.3">
      <c r="A1258" s="25">
        <v>1257</v>
      </c>
      <c r="B1258" s="25">
        <f>LARGE(Data!$J$2:$J$2379,A1258)</f>
        <v>390</v>
      </c>
      <c r="C1258" s="25">
        <f t="shared" si="19"/>
        <v>969120</v>
      </c>
      <c r="D1258" s="28">
        <f>C1258/SUM(Data!$J$2:$J$2379)</f>
        <v>0.79475412417295122</v>
      </c>
    </row>
    <row r="1259" spans="1:4" x14ac:dyDescent="0.3">
      <c r="A1259" s="25">
        <v>1258</v>
      </c>
      <c r="B1259" s="25">
        <f>LARGE(Data!$J$2:$J$2379,A1259)</f>
        <v>390</v>
      </c>
      <c r="C1259" s="25">
        <f t="shared" si="19"/>
        <v>969510</v>
      </c>
      <c r="D1259" s="28">
        <f>C1259/SUM(Data!$J$2:$J$2379)</f>
        <v>0.79507395464639874</v>
      </c>
    </row>
    <row r="1260" spans="1:4" x14ac:dyDescent="0.3">
      <c r="A1260" s="25">
        <v>1259</v>
      </c>
      <c r="B1260" s="25">
        <f>LARGE(Data!$J$2:$J$2379,A1260)</f>
        <v>390</v>
      </c>
      <c r="C1260" s="25">
        <f t="shared" si="19"/>
        <v>969900</v>
      </c>
      <c r="D1260" s="28">
        <f>C1260/SUM(Data!$J$2:$J$2379)</f>
        <v>0.79539378511984626</v>
      </c>
    </row>
    <row r="1261" spans="1:4" x14ac:dyDescent="0.3">
      <c r="A1261" s="25">
        <v>1260</v>
      </c>
      <c r="B1261" s="25">
        <f>LARGE(Data!$J$2:$J$2379,A1261)</f>
        <v>390</v>
      </c>
      <c r="C1261" s="25">
        <f t="shared" si="19"/>
        <v>970290</v>
      </c>
      <c r="D1261" s="28">
        <f>C1261/SUM(Data!$J$2:$J$2379)</f>
        <v>0.79571361559329368</v>
      </c>
    </row>
    <row r="1262" spans="1:4" x14ac:dyDescent="0.3">
      <c r="A1262" s="25">
        <v>1261</v>
      </c>
      <c r="B1262" s="25">
        <f>LARGE(Data!$J$2:$J$2379,A1262)</f>
        <v>390</v>
      </c>
      <c r="C1262" s="25">
        <f t="shared" si="19"/>
        <v>970680</v>
      </c>
      <c r="D1262" s="28">
        <f>C1262/SUM(Data!$J$2:$J$2379)</f>
        <v>0.7960334460667412</v>
      </c>
    </row>
    <row r="1263" spans="1:4" x14ac:dyDescent="0.3">
      <c r="A1263" s="25">
        <v>1262</v>
      </c>
      <c r="B1263" s="25">
        <f>LARGE(Data!$J$2:$J$2379,A1263)</f>
        <v>390</v>
      </c>
      <c r="C1263" s="25">
        <f t="shared" si="19"/>
        <v>971070</v>
      </c>
      <c r="D1263" s="28">
        <f>C1263/SUM(Data!$J$2:$J$2379)</f>
        <v>0.79635327654018873</v>
      </c>
    </row>
    <row r="1264" spans="1:4" x14ac:dyDescent="0.3">
      <c r="A1264" s="25">
        <v>1263</v>
      </c>
      <c r="B1264" s="25">
        <f>LARGE(Data!$J$2:$J$2379,A1264)</f>
        <v>390</v>
      </c>
      <c r="C1264" s="25">
        <f t="shared" si="19"/>
        <v>971460</v>
      </c>
      <c r="D1264" s="28">
        <f>C1264/SUM(Data!$J$2:$J$2379)</f>
        <v>0.79667310701363625</v>
      </c>
    </row>
    <row r="1265" spans="1:4" x14ac:dyDescent="0.3">
      <c r="A1265" s="25">
        <v>1264</v>
      </c>
      <c r="B1265" s="25">
        <f>LARGE(Data!$J$2:$J$2379,A1265)</f>
        <v>390</v>
      </c>
      <c r="C1265" s="25">
        <f t="shared" si="19"/>
        <v>971850</v>
      </c>
      <c r="D1265" s="28">
        <f>C1265/SUM(Data!$J$2:$J$2379)</f>
        <v>0.79699293748708377</v>
      </c>
    </row>
    <row r="1266" spans="1:4" x14ac:dyDescent="0.3">
      <c r="A1266" s="25">
        <v>1265</v>
      </c>
      <c r="B1266" s="25">
        <f>LARGE(Data!$J$2:$J$2379,A1266)</f>
        <v>390</v>
      </c>
      <c r="C1266" s="25">
        <f t="shared" si="19"/>
        <v>972240</v>
      </c>
      <c r="D1266" s="28">
        <f>C1266/SUM(Data!$J$2:$J$2379)</f>
        <v>0.7973127679605313</v>
      </c>
    </row>
    <row r="1267" spans="1:4" x14ac:dyDescent="0.3">
      <c r="A1267" s="25">
        <v>1266</v>
      </c>
      <c r="B1267" s="25">
        <f>LARGE(Data!$J$2:$J$2379,A1267)</f>
        <v>390</v>
      </c>
      <c r="C1267" s="25">
        <f t="shared" si="19"/>
        <v>972630</v>
      </c>
      <c r="D1267" s="28">
        <f>C1267/SUM(Data!$J$2:$J$2379)</f>
        <v>0.79763259843397882</v>
      </c>
    </row>
    <row r="1268" spans="1:4" x14ac:dyDescent="0.3">
      <c r="A1268" s="25">
        <v>1267</v>
      </c>
      <c r="B1268" s="25">
        <f>LARGE(Data!$J$2:$J$2379,A1268)</f>
        <v>390</v>
      </c>
      <c r="C1268" s="25">
        <f t="shared" si="19"/>
        <v>973020</v>
      </c>
      <c r="D1268" s="28">
        <f>C1268/SUM(Data!$J$2:$J$2379)</f>
        <v>0.79795242890742635</v>
      </c>
    </row>
    <row r="1269" spans="1:4" x14ac:dyDescent="0.3">
      <c r="A1269" s="25">
        <v>1268</v>
      </c>
      <c r="B1269" s="25">
        <f>LARGE(Data!$J$2:$J$2379,A1269)</f>
        <v>390</v>
      </c>
      <c r="C1269" s="25">
        <f t="shared" si="19"/>
        <v>973410</v>
      </c>
      <c r="D1269" s="28">
        <f>C1269/SUM(Data!$J$2:$J$2379)</f>
        <v>0.79827225938087376</v>
      </c>
    </row>
    <row r="1270" spans="1:4" x14ac:dyDescent="0.3">
      <c r="A1270" s="25">
        <v>1269</v>
      </c>
      <c r="B1270" s="25">
        <f>LARGE(Data!$J$2:$J$2379,A1270)</f>
        <v>390</v>
      </c>
      <c r="C1270" s="25">
        <f t="shared" si="19"/>
        <v>973800</v>
      </c>
      <c r="D1270" s="28">
        <f>C1270/SUM(Data!$J$2:$J$2379)</f>
        <v>0.79859208985432129</v>
      </c>
    </row>
    <row r="1271" spans="1:4" x14ac:dyDescent="0.3">
      <c r="A1271" s="25">
        <v>1270</v>
      </c>
      <c r="B1271" s="25">
        <f>LARGE(Data!$J$2:$J$2379,A1271)</f>
        <v>390</v>
      </c>
      <c r="C1271" s="25">
        <f t="shared" si="19"/>
        <v>974190</v>
      </c>
      <c r="D1271" s="28">
        <f>C1271/SUM(Data!$J$2:$J$2379)</f>
        <v>0.79891192032776881</v>
      </c>
    </row>
    <row r="1272" spans="1:4" x14ac:dyDescent="0.3">
      <c r="A1272" s="25">
        <v>1271</v>
      </c>
      <c r="B1272" s="25">
        <f>LARGE(Data!$J$2:$J$2379,A1272)</f>
        <v>390</v>
      </c>
      <c r="C1272" s="25">
        <f t="shared" si="19"/>
        <v>974580</v>
      </c>
      <c r="D1272" s="28">
        <f>C1272/SUM(Data!$J$2:$J$2379)</f>
        <v>0.79923175080121633</v>
      </c>
    </row>
    <row r="1273" spans="1:4" x14ac:dyDescent="0.3">
      <c r="A1273" s="25">
        <v>1272</v>
      </c>
      <c r="B1273" s="25">
        <f>LARGE(Data!$J$2:$J$2379,A1273)</f>
        <v>390</v>
      </c>
      <c r="C1273" s="25">
        <f t="shared" si="19"/>
        <v>974970</v>
      </c>
      <c r="D1273" s="28">
        <f>C1273/SUM(Data!$J$2:$J$2379)</f>
        <v>0.79955158127466386</v>
      </c>
    </row>
    <row r="1274" spans="1:4" x14ac:dyDescent="0.3">
      <c r="A1274" s="25">
        <v>1273</v>
      </c>
      <c r="B1274" s="25">
        <f>LARGE(Data!$J$2:$J$2379,A1274)</f>
        <v>390</v>
      </c>
      <c r="C1274" s="25">
        <f t="shared" si="19"/>
        <v>975360</v>
      </c>
      <c r="D1274" s="28">
        <f>C1274/SUM(Data!$J$2:$J$2379)</f>
        <v>0.79987141174811138</v>
      </c>
    </row>
    <row r="1275" spans="1:4" x14ac:dyDescent="0.3">
      <c r="A1275" s="25">
        <v>1274</v>
      </c>
      <c r="B1275" s="25">
        <f>LARGE(Data!$J$2:$J$2379,A1275)</f>
        <v>390</v>
      </c>
      <c r="C1275" s="25">
        <f t="shared" si="19"/>
        <v>975750</v>
      </c>
      <c r="D1275" s="28">
        <f>C1275/SUM(Data!$J$2:$J$2379)</f>
        <v>0.80019124222155891</v>
      </c>
    </row>
    <row r="1276" spans="1:4" x14ac:dyDescent="0.3">
      <c r="A1276" s="25">
        <v>1275</v>
      </c>
      <c r="B1276" s="25">
        <f>LARGE(Data!$J$2:$J$2379,A1276)</f>
        <v>390</v>
      </c>
      <c r="C1276" s="25">
        <f t="shared" si="19"/>
        <v>976140</v>
      </c>
      <c r="D1276" s="28">
        <f>C1276/SUM(Data!$J$2:$J$2379)</f>
        <v>0.80051107269500643</v>
      </c>
    </row>
    <row r="1277" spans="1:4" x14ac:dyDescent="0.3">
      <c r="A1277" s="25">
        <v>1276</v>
      </c>
      <c r="B1277" s="25">
        <f>LARGE(Data!$J$2:$J$2379,A1277)</f>
        <v>390</v>
      </c>
      <c r="C1277" s="25">
        <f t="shared" si="19"/>
        <v>976530</v>
      </c>
      <c r="D1277" s="28">
        <f>C1277/SUM(Data!$J$2:$J$2379)</f>
        <v>0.80083090316845384</v>
      </c>
    </row>
    <row r="1278" spans="1:4" x14ac:dyDescent="0.3">
      <c r="A1278" s="25">
        <v>1277</v>
      </c>
      <c r="B1278" s="25">
        <f>LARGE(Data!$J$2:$J$2379,A1278)</f>
        <v>390</v>
      </c>
      <c r="C1278" s="25">
        <f t="shared" si="19"/>
        <v>976920</v>
      </c>
      <c r="D1278" s="28">
        <f>C1278/SUM(Data!$J$2:$J$2379)</f>
        <v>0.80115073364190137</v>
      </c>
    </row>
    <row r="1279" spans="1:4" x14ac:dyDescent="0.3">
      <c r="A1279" s="25">
        <v>1278</v>
      </c>
      <c r="B1279" s="25">
        <f>LARGE(Data!$J$2:$J$2379,A1279)</f>
        <v>390</v>
      </c>
      <c r="C1279" s="25">
        <f t="shared" si="19"/>
        <v>977310</v>
      </c>
      <c r="D1279" s="28">
        <f>C1279/SUM(Data!$J$2:$J$2379)</f>
        <v>0.80147056411534889</v>
      </c>
    </row>
    <row r="1280" spans="1:4" x14ac:dyDescent="0.3">
      <c r="A1280" s="25">
        <v>1279</v>
      </c>
      <c r="B1280" s="25">
        <f>LARGE(Data!$J$2:$J$2379,A1280)</f>
        <v>390</v>
      </c>
      <c r="C1280" s="25">
        <f t="shared" si="19"/>
        <v>977700</v>
      </c>
      <c r="D1280" s="28">
        <f>C1280/SUM(Data!$J$2:$J$2379)</f>
        <v>0.80179039458879642</v>
      </c>
    </row>
    <row r="1281" spans="1:4" x14ac:dyDescent="0.3">
      <c r="A1281" s="25">
        <v>1280</v>
      </c>
      <c r="B1281" s="25">
        <f>LARGE(Data!$J$2:$J$2379,A1281)</f>
        <v>390</v>
      </c>
      <c r="C1281" s="25">
        <f t="shared" si="19"/>
        <v>978090</v>
      </c>
      <c r="D1281" s="28">
        <f>C1281/SUM(Data!$J$2:$J$2379)</f>
        <v>0.80211022506224394</v>
      </c>
    </row>
    <row r="1282" spans="1:4" x14ac:dyDescent="0.3">
      <c r="A1282" s="25">
        <v>1281</v>
      </c>
      <c r="B1282" s="25">
        <f>LARGE(Data!$J$2:$J$2379,A1282)</f>
        <v>390</v>
      </c>
      <c r="C1282" s="25">
        <f t="shared" si="19"/>
        <v>978480</v>
      </c>
      <c r="D1282" s="28">
        <f>C1282/SUM(Data!$J$2:$J$2379)</f>
        <v>0.80243005553569147</v>
      </c>
    </row>
    <row r="1283" spans="1:4" x14ac:dyDescent="0.3">
      <c r="A1283" s="25">
        <v>1282</v>
      </c>
      <c r="B1283" s="25">
        <f>LARGE(Data!$J$2:$J$2379,A1283)</f>
        <v>390</v>
      </c>
      <c r="C1283" s="25">
        <f t="shared" ref="C1283:C1346" si="20">C1282+B1283</f>
        <v>978870</v>
      </c>
      <c r="D1283" s="28">
        <f>C1283/SUM(Data!$J$2:$J$2379)</f>
        <v>0.80274988600913899</v>
      </c>
    </row>
    <row r="1284" spans="1:4" x14ac:dyDescent="0.3">
      <c r="A1284" s="25">
        <v>1283</v>
      </c>
      <c r="B1284" s="25">
        <f>LARGE(Data!$J$2:$J$2379,A1284)</f>
        <v>390</v>
      </c>
      <c r="C1284" s="25">
        <f t="shared" si="20"/>
        <v>979260</v>
      </c>
      <c r="D1284" s="28">
        <f>C1284/SUM(Data!$J$2:$J$2379)</f>
        <v>0.80306971648258652</v>
      </c>
    </row>
    <row r="1285" spans="1:4" x14ac:dyDescent="0.3">
      <c r="A1285" s="25">
        <v>1284</v>
      </c>
      <c r="B1285" s="25">
        <f>LARGE(Data!$J$2:$J$2379,A1285)</f>
        <v>390</v>
      </c>
      <c r="C1285" s="25">
        <f t="shared" si="20"/>
        <v>979650</v>
      </c>
      <c r="D1285" s="28">
        <f>C1285/SUM(Data!$J$2:$J$2379)</f>
        <v>0.80338954695603393</v>
      </c>
    </row>
    <row r="1286" spans="1:4" x14ac:dyDescent="0.3">
      <c r="A1286" s="25">
        <v>1285</v>
      </c>
      <c r="B1286" s="25">
        <f>LARGE(Data!$J$2:$J$2379,A1286)</f>
        <v>390</v>
      </c>
      <c r="C1286" s="25">
        <f t="shared" si="20"/>
        <v>980040</v>
      </c>
      <c r="D1286" s="28">
        <f>C1286/SUM(Data!$J$2:$J$2379)</f>
        <v>0.80370937742948145</v>
      </c>
    </row>
    <row r="1287" spans="1:4" x14ac:dyDescent="0.3">
      <c r="A1287" s="25">
        <v>1286</v>
      </c>
      <c r="B1287" s="25">
        <f>LARGE(Data!$J$2:$J$2379,A1287)</f>
        <v>390</v>
      </c>
      <c r="C1287" s="25">
        <f t="shared" si="20"/>
        <v>980430</v>
      </c>
      <c r="D1287" s="28">
        <f>C1287/SUM(Data!$J$2:$J$2379)</f>
        <v>0.80402920790292898</v>
      </c>
    </row>
    <row r="1288" spans="1:4" x14ac:dyDescent="0.3">
      <c r="A1288" s="25">
        <v>1287</v>
      </c>
      <c r="B1288" s="25">
        <f>LARGE(Data!$J$2:$J$2379,A1288)</f>
        <v>390</v>
      </c>
      <c r="C1288" s="25">
        <f t="shared" si="20"/>
        <v>980820</v>
      </c>
      <c r="D1288" s="28">
        <f>C1288/SUM(Data!$J$2:$J$2379)</f>
        <v>0.8043490383763765</v>
      </c>
    </row>
    <row r="1289" spans="1:4" x14ac:dyDescent="0.3">
      <c r="A1289" s="25">
        <v>1288</v>
      </c>
      <c r="B1289" s="25">
        <f>LARGE(Data!$J$2:$J$2379,A1289)</f>
        <v>390</v>
      </c>
      <c r="C1289" s="25">
        <f t="shared" si="20"/>
        <v>981210</v>
      </c>
      <c r="D1289" s="28">
        <f>C1289/SUM(Data!$J$2:$J$2379)</f>
        <v>0.80466886884982403</v>
      </c>
    </row>
    <row r="1290" spans="1:4" x14ac:dyDescent="0.3">
      <c r="A1290" s="25">
        <v>1289</v>
      </c>
      <c r="B1290" s="25">
        <f>LARGE(Data!$J$2:$J$2379,A1290)</f>
        <v>390</v>
      </c>
      <c r="C1290" s="25">
        <f t="shared" si="20"/>
        <v>981600</v>
      </c>
      <c r="D1290" s="28">
        <f>C1290/SUM(Data!$J$2:$J$2379)</f>
        <v>0.80498869932327155</v>
      </c>
    </row>
    <row r="1291" spans="1:4" x14ac:dyDescent="0.3">
      <c r="A1291" s="25">
        <v>1290</v>
      </c>
      <c r="B1291" s="25">
        <f>LARGE(Data!$J$2:$J$2379,A1291)</f>
        <v>390</v>
      </c>
      <c r="C1291" s="25">
        <f t="shared" si="20"/>
        <v>981990</v>
      </c>
      <c r="D1291" s="28">
        <f>C1291/SUM(Data!$J$2:$J$2379)</f>
        <v>0.80530852979671907</v>
      </c>
    </row>
    <row r="1292" spans="1:4" x14ac:dyDescent="0.3">
      <c r="A1292" s="25">
        <v>1291</v>
      </c>
      <c r="B1292" s="25">
        <f>LARGE(Data!$J$2:$J$2379,A1292)</f>
        <v>390</v>
      </c>
      <c r="C1292" s="25">
        <f t="shared" si="20"/>
        <v>982380</v>
      </c>
      <c r="D1292" s="28">
        <f>C1292/SUM(Data!$J$2:$J$2379)</f>
        <v>0.80562836027016649</v>
      </c>
    </row>
    <row r="1293" spans="1:4" x14ac:dyDescent="0.3">
      <c r="A1293" s="25">
        <v>1292</v>
      </c>
      <c r="B1293" s="25">
        <f>LARGE(Data!$J$2:$J$2379,A1293)</f>
        <v>390</v>
      </c>
      <c r="C1293" s="25">
        <f t="shared" si="20"/>
        <v>982770</v>
      </c>
      <c r="D1293" s="28">
        <f>C1293/SUM(Data!$J$2:$J$2379)</f>
        <v>0.80594819074361401</v>
      </c>
    </row>
    <row r="1294" spans="1:4" x14ac:dyDescent="0.3">
      <c r="A1294" s="25">
        <v>1293</v>
      </c>
      <c r="B1294" s="25">
        <f>LARGE(Data!$J$2:$J$2379,A1294)</f>
        <v>390</v>
      </c>
      <c r="C1294" s="25">
        <f t="shared" si="20"/>
        <v>983160</v>
      </c>
      <c r="D1294" s="28">
        <f>C1294/SUM(Data!$J$2:$J$2379)</f>
        <v>0.80626802121706154</v>
      </c>
    </row>
    <row r="1295" spans="1:4" x14ac:dyDescent="0.3">
      <c r="A1295" s="25">
        <v>1294</v>
      </c>
      <c r="B1295" s="25">
        <f>LARGE(Data!$J$2:$J$2379,A1295)</f>
        <v>390</v>
      </c>
      <c r="C1295" s="25">
        <f t="shared" si="20"/>
        <v>983550</v>
      </c>
      <c r="D1295" s="28">
        <f>C1295/SUM(Data!$J$2:$J$2379)</f>
        <v>0.80658785169050906</v>
      </c>
    </row>
    <row r="1296" spans="1:4" x14ac:dyDescent="0.3">
      <c r="A1296" s="25">
        <v>1295</v>
      </c>
      <c r="B1296" s="25">
        <f>LARGE(Data!$J$2:$J$2379,A1296)</f>
        <v>390</v>
      </c>
      <c r="C1296" s="25">
        <f t="shared" si="20"/>
        <v>983940</v>
      </c>
      <c r="D1296" s="28">
        <f>C1296/SUM(Data!$J$2:$J$2379)</f>
        <v>0.80690768216395659</v>
      </c>
    </row>
    <row r="1297" spans="1:4" x14ac:dyDescent="0.3">
      <c r="A1297" s="25">
        <v>1296</v>
      </c>
      <c r="B1297" s="25">
        <f>LARGE(Data!$J$2:$J$2379,A1297)</f>
        <v>390</v>
      </c>
      <c r="C1297" s="25">
        <f t="shared" si="20"/>
        <v>984330</v>
      </c>
      <c r="D1297" s="28">
        <f>C1297/SUM(Data!$J$2:$J$2379)</f>
        <v>0.80722751263740411</v>
      </c>
    </row>
    <row r="1298" spans="1:4" x14ac:dyDescent="0.3">
      <c r="A1298" s="25">
        <v>1297</v>
      </c>
      <c r="B1298" s="25">
        <f>LARGE(Data!$J$2:$J$2379,A1298)</f>
        <v>390</v>
      </c>
      <c r="C1298" s="25">
        <f t="shared" si="20"/>
        <v>984720</v>
      </c>
      <c r="D1298" s="28">
        <f>C1298/SUM(Data!$J$2:$J$2379)</f>
        <v>0.80754734311085163</v>
      </c>
    </row>
    <row r="1299" spans="1:4" x14ac:dyDescent="0.3">
      <c r="A1299" s="25">
        <v>1298</v>
      </c>
      <c r="B1299" s="25">
        <f>LARGE(Data!$J$2:$J$2379,A1299)</f>
        <v>390</v>
      </c>
      <c r="C1299" s="25">
        <f t="shared" si="20"/>
        <v>985110</v>
      </c>
      <c r="D1299" s="28">
        <f>C1299/SUM(Data!$J$2:$J$2379)</f>
        <v>0.80786717358429916</v>
      </c>
    </row>
    <row r="1300" spans="1:4" x14ac:dyDescent="0.3">
      <c r="A1300" s="25">
        <v>1299</v>
      </c>
      <c r="B1300" s="25">
        <f>LARGE(Data!$J$2:$J$2379,A1300)</f>
        <v>390</v>
      </c>
      <c r="C1300" s="25">
        <f t="shared" si="20"/>
        <v>985500</v>
      </c>
      <c r="D1300" s="28">
        <f>C1300/SUM(Data!$J$2:$J$2379)</f>
        <v>0.80818700405774657</v>
      </c>
    </row>
    <row r="1301" spans="1:4" x14ac:dyDescent="0.3">
      <c r="A1301" s="25">
        <v>1300</v>
      </c>
      <c r="B1301" s="25">
        <f>LARGE(Data!$J$2:$J$2379,A1301)</f>
        <v>390</v>
      </c>
      <c r="C1301" s="25">
        <f t="shared" si="20"/>
        <v>985890</v>
      </c>
      <c r="D1301" s="28">
        <f>C1301/SUM(Data!$J$2:$J$2379)</f>
        <v>0.8085068345311941</v>
      </c>
    </row>
    <row r="1302" spans="1:4" x14ac:dyDescent="0.3">
      <c r="A1302" s="25">
        <v>1301</v>
      </c>
      <c r="B1302" s="25">
        <f>LARGE(Data!$J$2:$J$2379,A1302)</f>
        <v>390</v>
      </c>
      <c r="C1302" s="25">
        <f t="shared" si="20"/>
        <v>986280</v>
      </c>
      <c r="D1302" s="28">
        <f>C1302/SUM(Data!$J$2:$J$2379)</f>
        <v>0.80882666500464162</v>
      </c>
    </row>
    <row r="1303" spans="1:4" x14ac:dyDescent="0.3">
      <c r="A1303" s="25">
        <v>1302</v>
      </c>
      <c r="B1303" s="25">
        <f>LARGE(Data!$J$2:$J$2379,A1303)</f>
        <v>390</v>
      </c>
      <c r="C1303" s="25">
        <f t="shared" si="20"/>
        <v>986670</v>
      </c>
      <c r="D1303" s="28">
        <f>C1303/SUM(Data!$J$2:$J$2379)</f>
        <v>0.80914649547808914</v>
      </c>
    </row>
    <row r="1304" spans="1:4" x14ac:dyDescent="0.3">
      <c r="A1304" s="25">
        <v>1303</v>
      </c>
      <c r="B1304" s="25">
        <f>LARGE(Data!$J$2:$J$2379,A1304)</f>
        <v>390</v>
      </c>
      <c r="C1304" s="25">
        <f t="shared" si="20"/>
        <v>987060</v>
      </c>
      <c r="D1304" s="28">
        <f>C1304/SUM(Data!$J$2:$J$2379)</f>
        <v>0.80946632595153667</v>
      </c>
    </row>
    <row r="1305" spans="1:4" x14ac:dyDescent="0.3">
      <c r="A1305" s="25">
        <v>1304</v>
      </c>
      <c r="B1305" s="25">
        <f>LARGE(Data!$J$2:$J$2379,A1305)</f>
        <v>390</v>
      </c>
      <c r="C1305" s="25">
        <f t="shared" si="20"/>
        <v>987450</v>
      </c>
      <c r="D1305" s="28">
        <f>C1305/SUM(Data!$J$2:$J$2379)</f>
        <v>0.80978615642498419</v>
      </c>
    </row>
    <row r="1306" spans="1:4" x14ac:dyDescent="0.3">
      <c r="A1306" s="25">
        <v>1305</v>
      </c>
      <c r="B1306" s="25">
        <f>LARGE(Data!$J$2:$J$2379,A1306)</f>
        <v>390</v>
      </c>
      <c r="C1306" s="25">
        <f t="shared" si="20"/>
        <v>987840</v>
      </c>
      <c r="D1306" s="28">
        <f>C1306/SUM(Data!$J$2:$J$2379)</f>
        <v>0.81010598689843172</v>
      </c>
    </row>
    <row r="1307" spans="1:4" x14ac:dyDescent="0.3">
      <c r="A1307" s="25">
        <v>1306</v>
      </c>
      <c r="B1307" s="25">
        <f>LARGE(Data!$J$2:$J$2379,A1307)</f>
        <v>390</v>
      </c>
      <c r="C1307" s="25">
        <f t="shared" si="20"/>
        <v>988230</v>
      </c>
      <c r="D1307" s="28">
        <f>C1307/SUM(Data!$J$2:$J$2379)</f>
        <v>0.81042581737187924</v>
      </c>
    </row>
    <row r="1308" spans="1:4" x14ac:dyDescent="0.3">
      <c r="A1308" s="25">
        <v>1307</v>
      </c>
      <c r="B1308" s="25">
        <f>LARGE(Data!$J$2:$J$2379,A1308)</f>
        <v>390</v>
      </c>
      <c r="C1308" s="25">
        <f t="shared" si="20"/>
        <v>988620</v>
      </c>
      <c r="D1308" s="28">
        <f>C1308/SUM(Data!$J$2:$J$2379)</f>
        <v>0.81074564784532666</v>
      </c>
    </row>
    <row r="1309" spans="1:4" x14ac:dyDescent="0.3">
      <c r="A1309" s="25">
        <v>1308</v>
      </c>
      <c r="B1309" s="25">
        <f>LARGE(Data!$J$2:$J$2379,A1309)</f>
        <v>390</v>
      </c>
      <c r="C1309" s="25">
        <f t="shared" si="20"/>
        <v>989010</v>
      </c>
      <c r="D1309" s="28">
        <f>C1309/SUM(Data!$J$2:$J$2379)</f>
        <v>0.81106547831877418</v>
      </c>
    </row>
    <row r="1310" spans="1:4" x14ac:dyDescent="0.3">
      <c r="A1310" s="25">
        <v>1309</v>
      </c>
      <c r="B1310" s="25">
        <f>LARGE(Data!$J$2:$J$2379,A1310)</f>
        <v>390</v>
      </c>
      <c r="C1310" s="25">
        <f t="shared" si="20"/>
        <v>989400</v>
      </c>
      <c r="D1310" s="28">
        <f>C1310/SUM(Data!$J$2:$J$2379)</f>
        <v>0.8113853087922217</v>
      </c>
    </row>
    <row r="1311" spans="1:4" x14ac:dyDescent="0.3">
      <c r="A1311" s="25">
        <v>1310</v>
      </c>
      <c r="B1311" s="25">
        <f>LARGE(Data!$J$2:$J$2379,A1311)</f>
        <v>390</v>
      </c>
      <c r="C1311" s="25">
        <f t="shared" si="20"/>
        <v>989790</v>
      </c>
      <c r="D1311" s="28">
        <f>C1311/SUM(Data!$J$2:$J$2379)</f>
        <v>0.81170513926566923</v>
      </c>
    </row>
    <row r="1312" spans="1:4" x14ac:dyDescent="0.3">
      <c r="A1312" s="25">
        <v>1311</v>
      </c>
      <c r="B1312" s="25">
        <f>LARGE(Data!$J$2:$J$2379,A1312)</f>
        <v>390</v>
      </c>
      <c r="C1312" s="25">
        <f t="shared" si="20"/>
        <v>990180</v>
      </c>
      <c r="D1312" s="28">
        <f>C1312/SUM(Data!$J$2:$J$2379)</f>
        <v>0.81202496973911675</v>
      </c>
    </row>
    <row r="1313" spans="1:4" x14ac:dyDescent="0.3">
      <c r="A1313" s="25">
        <v>1312</v>
      </c>
      <c r="B1313" s="25">
        <f>LARGE(Data!$J$2:$J$2379,A1313)</f>
        <v>390</v>
      </c>
      <c r="C1313" s="25">
        <f t="shared" si="20"/>
        <v>990570</v>
      </c>
      <c r="D1313" s="28">
        <f>C1313/SUM(Data!$J$2:$J$2379)</f>
        <v>0.81234480021256428</v>
      </c>
    </row>
    <row r="1314" spans="1:4" x14ac:dyDescent="0.3">
      <c r="A1314" s="25">
        <v>1313</v>
      </c>
      <c r="B1314" s="25">
        <f>LARGE(Data!$J$2:$J$2379,A1314)</f>
        <v>390</v>
      </c>
      <c r="C1314" s="25">
        <f t="shared" si="20"/>
        <v>990960</v>
      </c>
      <c r="D1314" s="28">
        <f>C1314/SUM(Data!$J$2:$J$2379)</f>
        <v>0.8126646306860118</v>
      </c>
    </row>
    <row r="1315" spans="1:4" x14ac:dyDescent="0.3">
      <c r="A1315" s="25">
        <v>1314</v>
      </c>
      <c r="B1315" s="25">
        <f>LARGE(Data!$J$2:$J$2379,A1315)</f>
        <v>390</v>
      </c>
      <c r="C1315" s="25">
        <f t="shared" si="20"/>
        <v>991350</v>
      </c>
      <c r="D1315" s="28">
        <f>C1315/SUM(Data!$J$2:$J$2379)</f>
        <v>0.81298446115945933</v>
      </c>
    </row>
    <row r="1316" spans="1:4" x14ac:dyDescent="0.3">
      <c r="A1316" s="25">
        <v>1315</v>
      </c>
      <c r="B1316" s="25">
        <f>LARGE(Data!$J$2:$J$2379,A1316)</f>
        <v>390</v>
      </c>
      <c r="C1316" s="25">
        <f t="shared" si="20"/>
        <v>991740</v>
      </c>
      <c r="D1316" s="28">
        <f>C1316/SUM(Data!$J$2:$J$2379)</f>
        <v>0.81330429163290674</v>
      </c>
    </row>
    <row r="1317" spans="1:4" x14ac:dyDescent="0.3">
      <c r="A1317" s="25">
        <v>1316</v>
      </c>
      <c r="B1317" s="25">
        <f>LARGE(Data!$J$2:$J$2379,A1317)</f>
        <v>390</v>
      </c>
      <c r="C1317" s="25">
        <f t="shared" si="20"/>
        <v>992130</v>
      </c>
      <c r="D1317" s="28">
        <f>C1317/SUM(Data!$J$2:$J$2379)</f>
        <v>0.81362412210635426</v>
      </c>
    </row>
    <row r="1318" spans="1:4" x14ac:dyDescent="0.3">
      <c r="A1318" s="25">
        <v>1317</v>
      </c>
      <c r="B1318" s="25">
        <f>LARGE(Data!$J$2:$J$2379,A1318)</f>
        <v>390</v>
      </c>
      <c r="C1318" s="25">
        <f t="shared" si="20"/>
        <v>992520</v>
      </c>
      <c r="D1318" s="28">
        <f>C1318/SUM(Data!$J$2:$J$2379)</f>
        <v>0.81394395257980179</v>
      </c>
    </row>
    <row r="1319" spans="1:4" x14ac:dyDescent="0.3">
      <c r="A1319" s="25">
        <v>1318</v>
      </c>
      <c r="B1319" s="25">
        <f>LARGE(Data!$J$2:$J$2379,A1319)</f>
        <v>390</v>
      </c>
      <c r="C1319" s="25">
        <f t="shared" si="20"/>
        <v>992910</v>
      </c>
      <c r="D1319" s="28">
        <f>C1319/SUM(Data!$J$2:$J$2379)</f>
        <v>0.81426378305324931</v>
      </c>
    </row>
    <row r="1320" spans="1:4" x14ac:dyDescent="0.3">
      <c r="A1320" s="25">
        <v>1319</v>
      </c>
      <c r="B1320" s="25">
        <f>LARGE(Data!$J$2:$J$2379,A1320)</f>
        <v>390</v>
      </c>
      <c r="C1320" s="25">
        <f t="shared" si="20"/>
        <v>993300</v>
      </c>
      <c r="D1320" s="28">
        <f>C1320/SUM(Data!$J$2:$J$2379)</f>
        <v>0.81458361352669684</v>
      </c>
    </row>
    <row r="1321" spans="1:4" x14ac:dyDescent="0.3">
      <c r="A1321" s="25">
        <v>1320</v>
      </c>
      <c r="B1321" s="25">
        <f>LARGE(Data!$J$2:$J$2379,A1321)</f>
        <v>390</v>
      </c>
      <c r="C1321" s="25">
        <f t="shared" si="20"/>
        <v>993690</v>
      </c>
      <c r="D1321" s="28">
        <f>C1321/SUM(Data!$J$2:$J$2379)</f>
        <v>0.81490344400014436</v>
      </c>
    </row>
    <row r="1322" spans="1:4" x14ac:dyDescent="0.3">
      <c r="A1322" s="25">
        <v>1321</v>
      </c>
      <c r="B1322" s="25">
        <f>LARGE(Data!$J$2:$J$2379,A1322)</f>
        <v>390</v>
      </c>
      <c r="C1322" s="25">
        <f t="shared" si="20"/>
        <v>994080</v>
      </c>
      <c r="D1322" s="28">
        <f>C1322/SUM(Data!$J$2:$J$2379)</f>
        <v>0.81522327447359189</v>
      </c>
    </row>
    <row r="1323" spans="1:4" x14ac:dyDescent="0.3">
      <c r="A1323" s="25">
        <v>1322</v>
      </c>
      <c r="B1323" s="25">
        <f>LARGE(Data!$J$2:$J$2379,A1323)</f>
        <v>390</v>
      </c>
      <c r="C1323" s="25">
        <f t="shared" si="20"/>
        <v>994470</v>
      </c>
      <c r="D1323" s="28">
        <f>C1323/SUM(Data!$J$2:$J$2379)</f>
        <v>0.8155431049470393</v>
      </c>
    </row>
    <row r="1324" spans="1:4" x14ac:dyDescent="0.3">
      <c r="A1324" s="25">
        <v>1323</v>
      </c>
      <c r="B1324" s="25">
        <f>LARGE(Data!$J$2:$J$2379,A1324)</f>
        <v>390</v>
      </c>
      <c r="C1324" s="25">
        <f t="shared" si="20"/>
        <v>994860</v>
      </c>
      <c r="D1324" s="28">
        <f>C1324/SUM(Data!$J$2:$J$2379)</f>
        <v>0.81586293542048682</v>
      </c>
    </row>
    <row r="1325" spans="1:4" x14ac:dyDescent="0.3">
      <c r="A1325" s="25">
        <v>1324</v>
      </c>
      <c r="B1325" s="25">
        <f>LARGE(Data!$J$2:$J$2379,A1325)</f>
        <v>390</v>
      </c>
      <c r="C1325" s="25">
        <f t="shared" si="20"/>
        <v>995250</v>
      </c>
      <c r="D1325" s="28">
        <f>C1325/SUM(Data!$J$2:$J$2379)</f>
        <v>0.81618276589393435</v>
      </c>
    </row>
    <row r="1326" spans="1:4" x14ac:dyDescent="0.3">
      <c r="A1326" s="25">
        <v>1325</v>
      </c>
      <c r="B1326" s="25">
        <f>LARGE(Data!$J$2:$J$2379,A1326)</f>
        <v>390</v>
      </c>
      <c r="C1326" s="25">
        <f t="shared" si="20"/>
        <v>995640</v>
      </c>
      <c r="D1326" s="28">
        <f>C1326/SUM(Data!$J$2:$J$2379)</f>
        <v>0.81650259636738187</v>
      </c>
    </row>
    <row r="1327" spans="1:4" x14ac:dyDescent="0.3">
      <c r="A1327" s="25">
        <v>1326</v>
      </c>
      <c r="B1327" s="25">
        <f>LARGE(Data!$J$2:$J$2379,A1327)</f>
        <v>390</v>
      </c>
      <c r="C1327" s="25">
        <f t="shared" si="20"/>
        <v>996030</v>
      </c>
      <c r="D1327" s="28">
        <f>C1327/SUM(Data!$J$2:$J$2379)</f>
        <v>0.8168224268408294</v>
      </c>
    </row>
    <row r="1328" spans="1:4" x14ac:dyDescent="0.3">
      <c r="A1328" s="25">
        <v>1327</v>
      </c>
      <c r="B1328" s="25">
        <f>LARGE(Data!$J$2:$J$2379,A1328)</f>
        <v>390</v>
      </c>
      <c r="C1328" s="25">
        <f t="shared" si="20"/>
        <v>996420</v>
      </c>
      <c r="D1328" s="28">
        <f>C1328/SUM(Data!$J$2:$J$2379)</f>
        <v>0.81714225731427692</v>
      </c>
    </row>
    <row r="1329" spans="1:4" x14ac:dyDescent="0.3">
      <c r="A1329" s="25">
        <v>1328</v>
      </c>
      <c r="B1329" s="25">
        <f>LARGE(Data!$J$2:$J$2379,A1329)</f>
        <v>390</v>
      </c>
      <c r="C1329" s="25">
        <f t="shared" si="20"/>
        <v>996810</v>
      </c>
      <c r="D1329" s="28">
        <f>C1329/SUM(Data!$J$2:$J$2379)</f>
        <v>0.81746208778772445</v>
      </c>
    </row>
    <row r="1330" spans="1:4" x14ac:dyDescent="0.3">
      <c r="A1330" s="25">
        <v>1329</v>
      </c>
      <c r="B1330" s="25">
        <f>LARGE(Data!$J$2:$J$2379,A1330)</f>
        <v>390</v>
      </c>
      <c r="C1330" s="25">
        <f t="shared" si="20"/>
        <v>997200</v>
      </c>
      <c r="D1330" s="28">
        <f>C1330/SUM(Data!$J$2:$J$2379)</f>
        <v>0.81778191826117197</v>
      </c>
    </row>
    <row r="1331" spans="1:4" x14ac:dyDescent="0.3">
      <c r="A1331" s="25">
        <v>1330</v>
      </c>
      <c r="B1331" s="25">
        <f>LARGE(Data!$J$2:$J$2379,A1331)</f>
        <v>390</v>
      </c>
      <c r="C1331" s="25">
        <f t="shared" si="20"/>
        <v>997590</v>
      </c>
      <c r="D1331" s="28">
        <f>C1331/SUM(Data!$J$2:$J$2379)</f>
        <v>0.81810174873461938</v>
      </c>
    </row>
    <row r="1332" spans="1:4" x14ac:dyDescent="0.3">
      <c r="A1332" s="25">
        <v>1331</v>
      </c>
      <c r="B1332" s="25">
        <f>LARGE(Data!$J$2:$J$2379,A1332)</f>
        <v>390</v>
      </c>
      <c r="C1332" s="25">
        <f t="shared" si="20"/>
        <v>997980</v>
      </c>
      <c r="D1332" s="28">
        <f>C1332/SUM(Data!$J$2:$J$2379)</f>
        <v>0.81842157920806691</v>
      </c>
    </row>
    <row r="1333" spans="1:4" x14ac:dyDescent="0.3">
      <c r="A1333" s="25">
        <v>1332</v>
      </c>
      <c r="B1333" s="25">
        <f>LARGE(Data!$J$2:$J$2379,A1333)</f>
        <v>390</v>
      </c>
      <c r="C1333" s="25">
        <f t="shared" si="20"/>
        <v>998370</v>
      </c>
      <c r="D1333" s="28">
        <f>C1333/SUM(Data!$J$2:$J$2379)</f>
        <v>0.81874140968151443</v>
      </c>
    </row>
    <row r="1334" spans="1:4" x14ac:dyDescent="0.3">
      <c r="A1334" s="25">
        <v>1333</v>
      </c>
      <c r="B1334" s="25">
        <f>LARGE(Data!$J$2:$J$2379,A1334)</f>
        <v>390</v>
      </c>
      <c r="C1334" s="25">
        <f t="shared" si="20"/>
        <v>998760</v>
      </c>
      <c r="D1334" s="28">
        <f>C1334/SUM(Data!$J$2:$J$2379)</f>
        <v>0.81906124015496196</v>
      </c>
    </row>
    <row r="1335" spans="1:4" x14ac:dyDescent="0.3">
      <c r="A1335" s="25">
        <v>1334</v>
      </c>
      <c r="B1335" s="25">
        <f>LARGE(Data!$J$2:$J$2379,A1335)</f>
        <v>390</v>
      </c>
      <c r="C1335" s="25">
        <f t="shared" si="20"/>
        <v>999150</v>
      </c>
      <c r="D1335" s="28">
        <f>C1335/SUM(Data!$J$2:$J$2379)</f>
        <v>0.81938107062840948</v>
      </c>
    </row>
    <row r="1336" spans="1:4" x14ac:dyDescent="0.3">
      <c r="A1336" s="25">
        <v>1335</v>
      </c>
      <c r="B1336" s="25">
        <f>LARGE(Data!$J$2:$J$2379,A1336)</f>
        <v>390</v>
      </c>
      <c r="C1336" s="25">
        <f t="shared" si="20"/>
        <v>999540</v>
      </c>
      <c r="D1336" s="28">
        <f>C1336/SUM(Data!$J$2:$J$2379)</f>
        <v>0.819700901101857</v>
      </c>
    </row>
    <row r="1337" spans="1:4" x14ac:dyDescent="0.3">
      <c r="A1337" s="25">
        <v>1336</v>
      </c>
      <c r="B1337" s="25">
        <f>LARGE(Data!$J$2:$J$2379,A1337)</f>
        <v>390</v>
      </c>
      <c r="C1337" s="25">
        <f t="shared" si="20"/>
        <v>999930</v>
      </c>
      <c r="D1337" s="28">
        <f>C1337/SUM(Data!$J$2:$J$2379)</f>
        <v>0.82002073157530453</v>
      </c>
    </row>
    <row r="1338" spans="1:4" x14ac:dyDescent="0.3">
      <c r="A1338" s="25">
        <v>1337</v>
      </c>
      <c r="B1338" s="25">
        <f>LARGE(Data!$J$2:$J$2379,A1338)</f>
        <v>390</v>
      </c>
      <c r="C1338" s="25">
        <f t="shared" si="20"/>
        <v>1000320</v>
      </c>
      <c r="D1338" s="28">
        <f>C1338/SUM(Data!$J$2:$J$2379)</f>
        <v>0.82034056204875205</v>
      </c>
    </row>
    <row r="1339" spans="1:4" x14ac:dyDescent="0.3">
      <c r="A1339" s="25">
        <v>1338</v>
      </c>
      <c r="B1339" s="25">
        <f>LARGE(Data!$J$2:$J$2379,A1339)</f>
        <v>390</v>
      </c>
      <c r="C1339" s="25">
        <f t="shared" si="20"/>
        <v>1000710</v>
      </c>
      <c r="D1339" s="28">
        <f>C1339/SUM(Data!$J$2:$J$2379)</f>
        <v>0.82066039252219947</v>
      </c>
    </row>
    <row r="1340" spans="1:4" x14ac:dyDescent="0.3">
      <c r="A1340" s="25">
        <v>1339</v>
      </c>
      <c r="B1340" s="25">
        <f>LARGE(Data!$J$2:$J$2379,A1340)</f>
        <v>390</v>
      </c>
      <c r="C1340" s="25">
        <f t="shared" si="20"/>
        <v>1001100</v>
      </c>
      <c r="D1340" s="28">
        <f>C1340/SUM(Data!$J$2:$J$2379)</f>
        <v>0.82098022299564699</v>
      </c>
    </row>
    <row r="1341" spans="1:4" x14ac:dyDescent="0.3">
      <c r="A1341" s="25">
        <v>1340</v>
      </c>
      <c r="B1341" s="25">
        <f>LARGE(Data!$J$2:$J$2379,A1341)</f>
        <v>390</v>
      </c>
      <c r="C1341" s="25">
        <f t="shared" si="20"/>
        <v>1001490</v>
      </c>
      <c r="D1341" s="28">
        <f>C1341/SUM(Data!$J$2:$J$2379)</f>
        <v>0.82130005346909452</v>
      </c>
    </row>
    <row r="1342" spans="1:4" x14ac:dyDescent="0.3">
      <c r="A1342" s="25">
        <v>1341</v>
      </c>
      <c r="B1342" s="25">
        <f>LARGE(Data!$J$2:$J$2379,A1342)</f>
        <v>390</v>
      </c>
      <c r="C1342" s="25">
        <f t="shared" si="20"/>
        <v>1001880</v>
      </c>
      <c r="D1342" s="28">
        <f>C1342/SUM(Data!$J$2:$J$2379)</f>
        <v>0.82161988394254204</v>
      </c>
    </row>
    <row r="1343" spans="1:4" x14ac:dyDescent="0.3">
      <c r="A1343" s="25">
        <v>1342</v>
      </c>
      <c r="B1343" s="25">
        <f>LARGE(Data!$J$2:$J$2379,A1343)</f>
        <v>390</v>
      </c>
      <c r="C1343" s="25">
        <f t="shared" si="20"/>
        <v>1002270</v>
      </c>
      <c r="D1343" s="28">
        <f>C1343/SUM(Data!$J$2:$J$2379)</f>
        <v>0.82193971441598956</v>
      </c>
    </row>
    <row r="1344" spans="1:4" x14ac:dyDescent="0.3">
      <c r="A1344" s="25">
        <v>1343</v>
      </c>
      <c r="B1344" s="25">
        <f>LARGE(Data!$J$2:$J$2379,A1344)</f>
        <v>390</v>
      </c>
      <c r="C1344" s="25">
        <f t="shared" si="20"/>
        <v>1002660</v>
      </c>
      <c r="D1344" s="28">
        <f>C1344/SUM(Data!$J$2:$J$2379)</f>
        <v>0.82225954488943709</v>
      </c>
    </row>
    <row r="1345" spans="1:4" x14ac:dyDescent="0.3">
      <c r="A1345" s="25">
        <v>1344</v>
      </c>
      <c r="B1345" s="25">
        <f>LARGE(Data!$J$2:$J$2379,A1345)</f>
        <v>390</v>
      </c>
      <c r="C1345" s="25">
        <f t="shared" si="20"/>
        <v>1003050</v>
      </c>
      <c r="D1345" s="28">
        <f>C1345/SUM(Data!$J$2:$J$2379)</f>
        <v>0.82257937536288461</v>
      </c>
    </row>
    <row r="1346" spans="1:4" x14ac:dyDescent="0.3">
      <c r="A1346" s="25">
        <v>1345</v>
      </c>
      <c r="B1346" s="25">
        <f>LARGE(Data!$J$2:$J$2379,A1346)</f>
        <v>390</v>
      </c>
      <c r="C1346" s="25">
        <f t="shared" si="20"/>
        <v>1003440</v>
      </c>
      <c r="D1346" s="28">
        <f>C1346/SUM(Data!$J$2:$J$2379)</f>
        <v>0.82289920583633214</v>
      </c>
    </row>
    <row r="1347" spans="1:4" x14ac:dyDescent="0.3">
      <c r="A1347" s="25">
        <v>1346</v>
      </c>
      <c r="B1347" s="25">
        <f>LARGE(Data!$J$2:$J$2379,A1347)</f>
        <v>390</v>
      </c>
      <c r="C1347" s="25">
        <f t="shared" ref="C1347:C1410" si="21">C1346+B1347</f>
        <v>1003830</v>
      </c>
      <c r="D1347" s="28">
        <f>C1347/SUM(Data!$J$2:$J$2379)</f>
        <v>0.82321903630977955</v>
      </c>
    </row>
    <row r="1348" spans="1:4" x14ac:dyDescent="0.3">
      <c r="A1348" s="25">
        <v>1347</v>
      </c>
      <c r="B1348" s="25">
        <f>LARGE(Data!$J$2:$J$2379,A1348)</f>
        <v>390</v>
      </c>
      <c r="C1348" s="25">
        <f t="shared" si="21"/>
        <v>1004220</v>
      </c>
      <c r="D1348" s="28">
        <f>C1348/SUM(Data!$J$2:$J$2379)</f>
        <v>0.82353886678322707</v>
      </c>
    </row>
    <row r="1349" spans="1:4" x14ac:dyDescent="0.3">
      <c r="A1349" s="25">
        <v>1348</v>
      </c>
      <c r="B1349" s="25">
        <f>LARGE(Data!$J$2:$J$2379,A1349)</f>
        <v>390</v>
      </c>
      <c r="C1349" s="25">
        <f t="shared" si="21"/>
        <v>1004610</v>
      </c>
      <c r="D1349" s="28">
        <f>C1349/SUM(Data!$J$2:$J$2379)</f>
        <v>0.8238586972566746</v>
      </c>
    </row>
    <row r="1350" spans="1:4" x14ac:dyDescent="0.3">
      <c r="A1350" s="25">
        <v>1349</v>
      </c>
      <c r="B1350" s="25">
        <f>LARGE(Data!$J$2:$J$2379,A1350)</f>
        <v>390</v>
      </c>
      <c r="C1350" s="25">
        <f t="shared" si="21"/>
        <v>1005000</v>
      </c>
      <c r="D1350" s="28">
        <f>C1350/SUM(Data!$J$2:$J$2379)</f>
        <v>0.82417852773012212</v>
      </c>
    </row>
    <row r="1351" spans="1:4" x14ac:dyDescent="0.3">
      <c r="A1351" s="25">
        <v>1350</v>
      </c>
      <c r="B1351" s="25">
        <f>LARGE(Data!$J$2:$J$2379,A1351)</f>
        <v>390</v>
      </c>
      <c r="C1351" s="25">
        <f t="shared" si="21"/>
        <v>1005390</v>
      </c>
      <c r="D1351" s="28">
        <f>C1351/SUM(Data!$J$2:$J$2379)</f>
        <v>0.82449835820356965</v>
      </c>
    </row>
    <row r="1352" spans="1:4" x14ac:dyDescent="0.3">
      <c r="A1352" s="25">
        <v>1351</v>
      </c>
      <c r="B1352" s="25">
        <f>LARGE(Data!$J$2:$J$2379,A1352)</f>
        <v>390</v>
      </c>
      <c r="C1352" s="25">
        <f t="shared" si="21"/>
        <v>1005780</v>
      </c>
      <c r="D1352" s="28">
        <f>C1352/SUM(Data!$J$2:$J$2379)</f>
        <v>0.82481818867701717</v>
      </c>
    </row>
    <row r="1353" spans="1:4" x14ac:dyDescent="0.3">
      <c r="A1353" s="25">
        <v>1352</v>
      </c>
      <c r="B1353" s="25">
        <f>LARGE(Data!$J$2:$J$2379,A1353)</f>
        <v>390</v>
      </c>
      <c r="C1353" s="25">
        <f t="shared" si="21"/>
        <v>1006170</v>
      </c>
      <c r="D1353" s="28">
        <f>C1353/SUM(Data!$J$2:$J$2379)</f>
        <v>0.8251380191504647</v>
      </c>
    </row>
    <row r="1354" spans="1:4" x14ac:dyDescent="0.3">
      <c r="A1354" s="25">
        <v>1353</v>
      </c>
      <c r="B1354" s="25">
        <f>LARGE(Data!$J$2:$J$2379,A1354)</f>
        <v>390</v>
      </c>
      <c r="C1354" s="25">
        <f t="shared" si="21"/>
        <v>1006560</v>
      </c>
      <c r="D1354" s="28">
        <f>C1354/SUM(Data!$J$2:$J$2379)</f>
        <v>0.82545784962391222</v>
      </c>
    </row>
    <row r="1355" spans="1:4" x14ac:dyDescent="0.3">
      <c r="A1355" s="25">
        <v>1354</v>
      </c>
      <c r="B1355" s="25">
        <f>LARGE(Data!$J$2:$J$2379,A1355)</f>
        <v>390</v>
      </c>
      <c r="C1355" s="25">
        <f t="shared" si="21"/>
        <v>1006950</v>
      </c>
      <c r="D1355" s="28">
        <f>C1355/SUM(Data!$J$2:$J$2379)</f>
        <v>0.82577768009735963</v>
      </c>
    </row>
    <row r="1356" spans="1:4" x14ac:dyDescent="0.3">
      <c r="A1356" s="25">
        <v>1355</v>
      </c>
      <c r="B1356" s="25">
        <f>LARGE(Data!$J$2:$J$2379,A1356)</f>
        <v>390</v>
      </c>
      <c r="C1356" s="25">
        <f t="shared" si="21"/>
        <v>1007340</v>
      </c>
      <c r="D1356" s="28">
        <f>C1356/SUM(Data!$J$2:$J$2379)</f>
        <v>0.82609751057080716</v>
      </c>
    </row>
    <row r="1357" spans="1:4" x14ac:dyDescent="0.3">
      <c r="A1357" s="25">
        <v>1356</v>
      </c>
      <c r="B1357" s="25">
        <f>LARGE(Data!$J$2:$J$2379,A1357)</f>
        <v>390</v>
      </c>
      <c r="C1357" s="25">
        <f t="shared" si="21"/>
        <v>1007730</v>
      </c>
      <c r="D1357" s="28">
        <f>C1357/SUM(Data!$J$2:$J$2379)</f>
        <v>0.82641734104425468</v>
      </c>
    </row>
    <row r="1358" spans="1:4" x14ac:dyDescent="0.3">
      <c r="A1358" s="25">
        <v>1357</v>
      </c>
      <c r="B1358" s="25">
        <f>LARGE(Data!$J$2:$J$2379,A1358)</f>
        <v>390</v>
      </c>
      <c r="C1358" s="25">
        <f t="shared" si="21"/>
        <v>1008120</v>
      </c>
      <c r="D1358" s="28">
        <f>C1358/SUM(Data!$J$2:$J$2379)</f>
        <v>0.82673717151770221</v>
      </c>
    </row>
    <row r="1359" spans="1:4" x14ac:dyDescent="0.3">
      <c r="A1359" s="25">
        <v>1358</v>
      </c>
      <c r="B1359" s="25">
        <f>LARGE(Data!$J$2:$J$2379,A1359)</f>
        <v>390</v>
      </c>
      <c r="C1359" s="25">
        <f t="shared" si="21"/>
        <v>1008510</v>
      </c>
      <c r="D1359" s="28">
        <f>C1359/SUM(Data!$J$2:$J$2379)</f>
        <v>0.82705700199114973</v>
      </c>
    </row>
    <row r="1360" spans="1:4" x14ac:dyDescent="0.3">
      <c r="A1360" s="25">
        <v>1359</v>
      </c>
      <c r="B1360" s="25">
        <f>LARGE(Data!$J$2:$J$2379,A1360)</f>
        <v>390</v>
      </c>
      <c r="C1360" s="25">
        <f t="shared" si="21"/>
        <v>1008900</v>
      </c>
      <c r="D1360" s="28">
        <f>C1360/SUM(Data!$J$2:$J$2379)</f>
        <v>0.82737683246459726</v>
      </c>
    </row>
    <row r="1361" spans="1:4" x14ac:dyDescent="0.3">
      <c r="A1361" s="25">
        <v>1360</v>
      </c>
      <c r="B1361" s="25">
        <f>LARGE(Data!$J$2:$J$2379,A1361)</f>
        <v>390</v>
      </c>
      <c r="C1361" s="25">
        <f t="shared" si="21"/>
        <v>1009290</v>
      </c>
      <c r="D1361" s="28">
        <f>C1361/SUM(Data!$J$2:$J$2379)</f>
        <v>0.82769666293804478</v>
      </c>
    </row>
    <row r="1362" spans="1:4" x14ac:dyDescent="0.3">
      <c r="A1362" s="25">
        <v>1361</v>
      </c>
      <c r="B1362" s="25">
        <f>LARGE(Data!$J$2:$J$2379,A1362)</f>
        <v>390</v>
      </c>
      <c r="C1362" s="25">
        <f t="shared" si="21"/>
        <v>1009680</v>
      </c>
      <c r="D1362" s="28">
        <f>C1362/SUM(Data!$J$2:$J$2379)</f>
        <v>0.82801649341149219</v>
      </c>
    </row>
    <row r="1363" spans="1:4" x14ac:dyDescent="0.3">
      <c r="A1363" s="25">
        <v>1362</v>
      </c>
      <c r="B1363" s="25">
        <f>LARGE(Data!$J$2:$J$2379,A1363)</f>
        <v>390</v>
      </c>
      <c r="C1363" s="25">
        <f t="shared" si="21"/>
        <v>1010070</v>
      </c>
      <c r="D1363" s="28">
        <f>C1363/SUM(Data!$J$2:$J$2379)</f>
        <v>0.82833632388493972</v>
      </c>
    </row>
    <row r="1364" spans="1:4" x14ac:dyDescent="0.3">
      <c r="A1364" s="25">
        <v>1363</v>
      </c>
      <c r="B1364" s="25">
        <f>LARGE(Data!$J$2:$J$2379,A1364)</f>
        <v>390</v>
      </c>
      <c r="C1364" s="25">
        <f t="shared" si="21"/>
        <v>1010460</v>
      </c>
      <c r="D1364" s="28">
        <f>C1364/SUM(Data!$J$2:$J$2379)</f>
        <v>0.82865615435838724</v>
      </c>
    </row>
    <row r="1365" spans="1:4" x14ac:dyDescent="0.3">
      <c r="A1365" s="25">
        <v>1364</v>
      </c>
      <c r="B1365" s="25">
        <f>LARGE(Data!$J$2:$J$2379,A1365)</f>
        <v>390</v>
      </c>
      <c r="C1365" s="25">
        <f t="shared" si="21"/>
        <v>1010850</v>
      </c>
      <c r="D1365" s="28">
        <f>C1365/SUM(Data!$J$2:$J$2379)</f>
        <v>0.82897598483183477</v>
      </c>
    </row>
    <row r="1366" spans="1:4" x14ac:dyDescent="0.3">
      <c r="A1366" s="25">
        <v>1365</v>
      </c>
      <c r="B1366" s="25">
        <f>LARGE(Data!$J$2:$J$2379,A1366)</f>
        <v>390</v>
      </c>
      <c r="C1366" s="25">
        <f t="shared" si="21"/>
        <v>1011240</v>
      </c>
      <c r="D1366" s="28">
        <f>C1366/SUM(Data!$J$2:$J$2379)</f>
        <v>0.82929581530528229</v>
      </c>
    </row>
    <row r="1367" spans="1:4" x14ac:dyDescent="0.3">
      <c r="A1367" s="25">
        <v>1366</v>
      </c>
      <c r="B1367" s="25">
        <f>LARGE(Data!$J$2:$J$2379,A1367)</f>
        <v>390</v>
      </c>
      <c r="C1367" s="25">
        <f t="shared" si="21"/>
        <v>1011630</v>
      </c>
      <c r="D1367" s="28">
        <f>C1367/SUM(Data!$J$2:$J$2379)</f>
        <v>0.82961564577872982</v>
      </c>
    </row>
    <row r="1368" spans="1:4" x14ac:dyDescent="0.3">
      <c r="A1368" s="25">
        <v>1367</v>
      </c>
      <c r="B1368" s="25">
        <f>LARGE(Data!$J$2:$J$2379,A1368)</f>
        <v>390</v>
      </c>
      <c r="C1368" s="25">
        <f t="shared" si="21"/>
        <v>1012020</v>
      </c>
      <c r="D1368" s="28">
        <f>C1368/SUM(Data!$J$2:$J$2379)</f>
        <v>0.82993547625217734</v>
      </c>
    </row>
    <row r="1369" spans="1:4" x14ac:dyDescent="0.3">
      <c r="A1369" s="25">
        <v>1368</v>
      </c>
      <c r="B1369" s="25">
        <f>LARGE(Data!$J$2:$J$2379,A1369)</f>
        <v>390</v>
      </c>
      <c r="C1369" s="25">
        <f t="shared" si="21"/>
        <v>1012410</v>
      </c>
      <c r="D1369" s="28">
        <f>C1369/SUM(Data!$J$2:$J$2379)</f>
        <v>0.83025530672562486</v>
      </c>
    </row>
    <row r="1370" spans="1:4" x14ac:dyDescent="0.3">
      <c r="A1370" s="25">
        <v>1369</v>
      </c>
      <c r="B1370" s="25">
        <f>LARGE(Data!$J$2:$J$2379,A1370)</f>
        <v>390</v>
      </c>
      <c r="C1370" s="25">
        <f t="shared" si="21"/>
        <v>1012800</v>
      </c>
      <c r="D1370" s="28">
        <f>C1370/SUM(Data!$J$2:$J$2379)</f>
        <v>0.83057513719907228</v>
      </c>
    </row>
    <row r="1371" spans="1:4" x14ac:dyDescent="0.3">
      <c r="A1371" s="25">
        <v>1370</v>
      </c>
      <c r="B1371" s="25">
        <f>LARGE(Data!$J$2:$J$2379,A1371)</f>
        <v>390</v>
      </c>
      <c r="C1371" s="25">
        <f t="shared" si="21"/>
        <v>1013190</v>
      </c>
      <c r="D1371" s="28">
        <f>C1371/SUM(Data!$J$2:$J$2379)</f>
        <v>0.8308949676725198</v>
      </c>
    </row>
    <row r="1372" spans="1:4" x14ac:dyDescent="0.3">
      <c r="A1372" s="25">
        <v>1371</v>
      </c>
      <c r="B1372" s="25">
        <f>LARGE(Data!$J$2:$J$2379,A1372)</f>
        <v>390</v>
      </c>
      <c r="C1372" s="25">
        <f t="shared" si="21"/>
        <v>1013580</v>
      </c>
      <c r="D1372" s="28">
        <f>C1372/SUM(Data!$J$2:$J$2379)</f>
        <v>0.83121479814596733</v>
      </c>
    </row>
    <row r="1373" spans="1:4" x14ac:dyDescent="0.3">
      <c r="A1373" s="25">
        <v>1372</v>
      </c>
      <c r="B1373" s="25">
        <f>LARGE(Data!$J$2:$J$2379,A1373)</f>
        <v>390</v>
      </c>
      <c r="C1373" s="25">
        <f t="shared" si="21"/>
        <v>1013970</v>
      </c>
      <c r="D1373" s="28">
        <f>C1373/SUM(Data!$J$2:$J$2379)</f>
        <v>0.83153462861941485</v>
      </c>
    </row>
    <row r="1374" spans="1:4" x14ac:dyDescent="0.3">
      <c r="A1374" s="25">
        <v>1373</v>
      </c>
      <c r="B1374" s="25">
        <f>LARGE(Data!$J$2:$J$2379,A1374)</f>
        <v>390</v>
      </c>
      <c r="C1374" s="25">
        <f t="shared" si="21"/>
        <v>1014360</v>
      </c>
      <c r="D1374" s="28">
        <f>C1374/SUM(Data!$J$2:$J$2379)</f>
        <v>0.83185445909286237</v>
      </c>
    </row>
    <row r="1375" spans="1:4" x14ac:dyDescent="0.3">
      <c r="A1375" s="25">
        <v>1374</v>
      </c>
      <c r="B1375" s="25">
        <f>LARGE(Data!$J$2:$J$2379,A1375)</f>
        <v>390</v>
      </c>
      <c r="C1375" s="25">
        <f t="shared" si="21"/>
        <v>1014750</v>
      </c>
      <c r="D1375" s="28">
        <f>C1375/SUM(Data!$J$2:$J$2379)</f>
        <v>0.8321742895663099</v>
      </c>
    </row>
    <row r="1376" spans="1:4" x14ac:dyDescent="0.3">
      <c r="A1376" s="25">
        <v>1375</v>
      </c>
      <c r="B1376" s="25">
        <f>LARGE(Data!$J$2:$J$2379,A1376)</f>
        <v>390</v>
      </c>
      <c r="C1376" s="25">
        <f t="shared" si="21"/>
        <v>1015140</v>
      </c>
      <c r="D1376" s="28">
        <f>C1376/SUM(Data!$J$2:$J$2379)</f>
        <v>0.83249412003975742</v>
      </c>
    </row>
    <row r="1377" spans="1:4" x14ac:dyDescent="0.3">
      <c r="A1377" s="25">
        <v>1376</v>
      </c>
      <c r="B1377" s="25">
        <f>LARGE(Data!$J$2:$J$2379,A1377)</f>
        <v>390</v>
      </c>
      <c r="C1377" s="25">
        <f t="shared" si="21"/>
        <v>1015530</v>
      </c>
      <c r="D1377" s="28">
        <f>C1377/SUM(Data!$J$2:$J$2379)</f>
        <v>0.83281395051320495</v>
      </c>
    </row>
    <row r="1378" spans="1:4" x14ac:dyDescent="0.3">
      <c r="A1378" s="25">
        <v>1377</v>
      </c>
      <c r="B1378" s="25">
        <f>LARGE(Data!$J$2:$J$2379,A1378)</f>
        <v>390</v>
      </c>
      <c r="C1378" s="25">
        <f t="shared" si="21"/>
        <v>1015920</v>
      </c>
      <c r="D1378" s="28">
        <f>C1378/SUM(Data!$J$2:$J$2379)</f>
        <v>0.83313378098665236</v>
      </c>
    </row>
    <row r="1379" spans="1:4" x14ac:dyDescent="0.3">
      <c r="A1379" s="25">
        <v>1378</v>
      </c>
      <c r="B1379" s="25">
        <f>LARGE(Data!$J$2:$J$2379,A1379)</f>
        <v>390</v>
      </c>
      <c r="C1379" s="25">
        <f t="shared" si="21"/>
        <v>1016310</v>
      </c>
      <c r="D1379" s="28">
        <f>C1379/SUM(Data!$J$2:$J$2379)</f>
        <v>0.83345361146009989</v>
      </c>
    </row>
    <row r="1380" spans="1:4" x14ac:dyDescent="0.3">
      <c r="A1380" s="25">
        <v>1379</v>
      </c>
      <c r="B1380" s="25">
        <f>LARGE(Data!$J$2:$J$2379,A1380)</f>
        <v>390</v>
      </c>
      <c r="C1380" s="25">
        <f t="shared" si="21"/>
        <v>1016700</v>
      </c>
      <c r="D1380" s="28">
        <f>C1380/SUM(Data!$J$2:$J$2379)</f>
        <v>0.83377344193354741</v>
      </c>
    </row>
    <row r="1381" spans="1:4" x14ac:dyDescent="0.3">
      <c r="A1381" s="25">
        <v>1380</v>
      </c>
      <c r="B1381" s="25">
        <f>LARGE(Data!$J$2:$J$2379,A1381)</f>
        <v>390</v>
      </c>
      <c r="C1381" s="25">
        <f t="shared" si="21"/>
        <v>1017090</v>
      </c>
      <c r="D1381" s="28">
        <f>C1381/SUM(Data!$J$2:$J$2379)</f>
        <v>0.83409327240699493</v>
      </c>
    </row>
    <row r="1382" spans="1:4" x14ac:dyDescent="0.3">
      <c r="A1382" s="25">
        <v>1381</v>
      </c>
      <c r="B1382" s="25">
        <f>LARGE(Data!$J$2:$J$2379,A1382)</f>
        <v>390</v>
      </c>
      <c r="C1382" s="25">
        <f t="shared" si="21"/>
        <v>1017480</v>
      </c>
      <c r="D1382" s="28">
        <f>C1382/SUM(Data!$J$2:$J$2379)</f>
        <v>0.83441310288044246</v>
      </c>
    </row>
    <row r="1383" spans="1:4" x14ac:dyDescent="0.3">
      <c r="A1383" s="25">
        <v>1382</v>
      </c>
      <c r="B1383" s="25">
        <f>LARGE(Data!$J$2:$J$2379,A1383)</f>
        <v>390</v>
      </c>
      <c r="C1383" s="25">
        <f t="shared" si="21"/>
        <v>1017870</v>
      </c>
      <c r="D1383" s="28">
        <f>C1383/SUM(Data!$J$2:$J$2379)</f>
        <v>0.83473293335388998</v>
      </c>
    </row>
    <row r="1384" spans="1:4" x14ac:dyDescent="0.3">
      <c r="A1384" s="25">
        <v>1383</v>
      </c>
      <c r="B1384" s="25">
        <f>LARGE(Data!$J$2:$J$2379,A1384)</f>
        <v>390</v>
      </c>
      <c r="C1384" s="25">
        <f t="shared" si="21"/>
        <v>1018260</v>
      </c>
      <c r="D1384" s="28">
        <f>C1384/SUM(Data!$J$2:$J$2379)</f>
        <v>0.83505276382733751</v>
      </c>
    </row>
    <row r="1385" spans="1:4" x14ac:dyDescent="0.3">
      <c r="A1385" s="25">
        <v>1384</v>
      </c>
      <c r="B1385" s="25">
        <f>LARGE(Data!$J$2:$J$2379,A1385)</f>
        <v>390</v>
      </c>
      <c r="C1385" s="25">
        <f t="shared" si="21"/>
        <v>1018650</v>
      </c>
      <c r="D1385" s="28">
        <f>C1385/SUM(Data!$J$2:$J$2379)</f>
        <v>0.83537259430078503</v>
      </c>
    </row>
    <row r="1386" spans="1:4" x14ac:dyDescent="0.3">
      <c r="A1386" s="25">
        <v>1385</v>
      </c>
      <c r="B1386" s="25">
        <f>LARGE(Data!$J$2:$J$2379,A1386)</f>
        <v>390</v>
      </c>
      <c r="C1386" s="25">
        <f t="shared" si="21"/>
        <v>1019040</v>
      </c>
      <c r="D1386" s="28">
        <f>C1386/SUM(Data!$J$2:$J$2379)</f>
        <v>0.83569242477423245</v>
      </c>
    </row>
    <row r="1387" spans="1:4" x14ac:dyDescent="0.3">
      <c r="A1387" s="25">
        <v>1386</v>
      </c>
      <c r="B1387" s="25">
        <f>LARGE(Data!$J$2:$J$2379,A1387)</f>
        <v>390</v>
      </c>
      <c r="C1387" s="25">
        <f t="shared" si="21"/>
        <v>1019430</v>
      </c>
      <c r="D1387" s="28">
        <f>C1387/SUM(Data!$J$2:$J$2379)</f>
        <v>0.83601225524767997</v>
      </c>
    </row>
    <row r="1388" spans="1:4" x14ac:dyDescent="0.3">
      <c r="A1388" s="25">
        <v>1387</v>
      </c>
      <c r="B1388" s="25">
        <f>LARGE(Data!$J$2:$J$2379,A1388)</f>
        <v>390</v>
      </c>
      <c r="C1388" s="25">
        <f t="shared" si="21"/>
        <v>1019820</v>
      </c>
      <c r="D1388" s="28">
        <f>C1388/SUM(Data!$J$2:$J$2379)</f>
        <v>0.83633208572112749</v>
      </c>
    </row>
    <row r="1389" spans="1:4" x14ac:dyDescent="0.3">
      <c r="A1389" s="25">
        <v>1388</v>
      </c>
      <c r="B1389" s="25">
        <f>LARGE(Data!$J$2:$J$2379,A1389)</f>
        <v>390</v>
      </c>
      <c r="C1389" s="25">
        <f t="shared" si="21"/>
        <v>1020210</v>
      </c>
      <c r="D1389" s="28">
        <f>C1389/SUM(Data!$J$2:$J$2379)</f>
        <v>0.83665191619457502</v>
      </c>
    </row>
    <row r="1390" spans="1:4" x14ac:dyDescent="0.3">
      <c r="A1390" s="25">
        <v>1389</v>
      </c>
      <c r="B1390" s="25">
        <f>LARGE(Data!$J$2:$J$2379,A1390)</f>
        <v>380</v>
      </c>
      <c r="C1390" s="25">
        <f t="shared" si="21"/>
        <v>1020590</v>
      </c>
      <c r="D1390" s="28">
        <f>C1390/SUM(Data!$J$2:$J$2379)</f>
        <v>0.83696354588665212</v>
      </c>
    </row>
    <row r="1391" spans="1:4" x14ac:dyDescent="0.3">
      <c r="A1391" s="25">
        <v>1390</v>
      </c>
      <c r="B1391" s="25">
        <f>LARGE(Data!$J$2:$J$2379,A1391)</f>
        <v>380</v>
      </c>
      <c r="C1391" s="25">
        <f t="shared" si="21"/>
        <v>1020970</v>
      </c>
      <c r="D1391" s="28">
        <f>C1391/SUM(Data!$J$2:$J$2379)</f>
        <v>0.8372751755787291</v>
      </c>
    </row>
    <row r="1392" spans="1:4" x14ac:dyDescent="0.3">
      <c r="A1392" s="25">
        <v>1391</v>
      </c>
      <c r="B1392" s="25">
        <f>LARGE(Data!$J$2:$J$2379,A1392)</f>
        <v>380</v>
      </c>
      <c r="C1392" s="25">
        <f t="shared" si="21"/>
        <v>1021350</v>
      </c>
      <c r="D1392" s="28">
        <f>C1392/SUM(Data!$J$2:$J$2379)</f>
        <v>0.8375868052708062</v>
      </c>
    </row>
    <row r="1393" spans="1:4" x14ac:dyDescent="0.3">
      <c r="A1393" s="25">
        <v>1392</v>
      </c>
      <c r="B1393" s="25">
        <f>LARGE(Data!$J$2:$J$2379,A1393)</f>
        <v>380</v>
      </c>
      <c r="C1393" s="25">
        <f t="shared" si="21"/>
        <v>1021730</v>
      </c>
      <c r="D1393" s="28">
        <f>C1393/SUM(Data!$J$2:$J$2379)</f>
        <v>0.8378984349628833</v>
      </c>
    </row>
    <row r="1394" spans="1:4" x14ac:dyDescent="0.3">
      <c r="A1394" s="25">
        <v>1393</v>
      </c>
      <c r="B1394" s="25">
        <f>LARGE(Data!$J$2:$J$2379,A1394)</f>
        <v>380</v>
      </c>
      <c r="C1394" s="25">
        <f t="shared" si="21"/>
        <v>1022110</v>
      </c>
      <c r="D1394" s="28">
        <f>C1394/SUM(Data!$J$2:$J$2379)</f>
        <v>0.83821006465496029</v>
      </c>
    </row>
    <row r="1395" spans="1:4" x14ac:dyDescent="0.3">
      <c r="A1395" s="25">
        <v>1394</v>
      </c>
      <c r="B1395" s="25">
        <f>LARGE(Data!$J$2:$J$2379,A1395)</f>
        <v>380</v>
      </c>
      <c r="C1395" s="25">
        <f t="shared" si="21"/>
        <v>1022490</v>
      </c>
      <c r="D1395" s="28">
        <f>C1395/SUM(Data!$J$2:$J$2379)</f>
        <v>0.83852169434703738</v>
      </c>
    </row>
    <row r="1396" spans="1:4" x14ac:dyDescent="0.3">
      <c r="A1396" s="25">
        <v>1395</v>
      </c>
      <c r="B1396" s="25">
        <f>LARGE(Data!$J$2:$J$2379,A1396)</f>
        <v>380</v>
      </c>
      <c r="C1396" s="25">
        <f t="shared" si="21"/>
        <v>1022870</v>
      </c>
      <c r="D1396" s="28">
        <f>C1396/SUM(Data!$J$2:$J$2379)</f>
        <v>0.83883332403911448</v>
      </c>
    </row>
    <row r="1397" spans="1:4" x14ac:dyDescent="0.3">
      <c r="A1397" s="25">
        <v>1396</v>
      </c>
      <c r="B1397" s="25">
        <f>LARGE(Data!$J$2:$J$2379,A1397)</f>
        <v>380</v>
      </c>
      <c r="C1397" s="25">
        <f t="shared" si="21"/>
        <v>1023250</v>
      </c>
      <c r="D1397" s="28">
        <f>C1397/SUM(Data!$J$2:$J$2379)</f>
        <v>0.83914495373119147</v>
      </c>
    </row>
    <row r="1398" spans="1:4" x14ac:dyDescent="0.3">
      <c r="A1398" s="25">
        <v>1397</v>
      </c>
      <c r="B1398" s="25">
        <f>LARGE(Data!$J$2:$J$2379,A1398)</f>
        <v>380</v>
      </c>
      <c r="C1398" s="25">
        <f t="shared" si="21"/>
        <v>1023630</v>
      </c>
      <c r="D1398" s="28">
        <f>C1398/SUM(Data!$J$2:$J$2379)</f>
        <v>0.83945658342326857</v>
      </c>
    </row>
    <row r="1399" spans="1:4" x14ac:dyDescent="0.3">
      <c r="A1399" s="25">
        <v>1398</v>
      </c>
      <c r="B1399" s="25">
        <f>LARGE(Data!$J$2:$J$2379,A1399)</f>
        <v>360</v>
      </c>
      <c r="C1399" s="25">
        <f t="shared" si="21"/>
        <v>1023990</v>
      </c>
      <c r="D1399" s="28">
        <f>C1399/SUM(Data!$J$2:$J$2379)</f>
        <v>0.8397518115526047</v>
      </c>
    </row>
    <row r="1400" spans="1:4" x14ac:dyDescent="0.3">
      <c r="A1400" s="25">
        <v>1399</v>
      </c>
      <c r="B1400" s="25">
        <f>LARGE(Data!$J$2:$J$2379,A1400)</f>
        <v>360</v>
      </c>
      <c r="C1400" s="25">
        <f t="shared" si="21"/>
        <v>1024350</v>
      </c>
      <c r="D1400" s="28">
        <f>C1400/SUM(Data!$J$2:$J$2379)</f>
        <v>0.84004703968194094</v>
      </c>
    </row>
    <row r="1401" spans="1:4" x14ac:dyDescent="0.3">
      <c r="A1401" s="25">
        <v>1400</v>
      </c>
      <c r="B1401" s="25">
        <f>LARGE(Data!$J$2:$J$2379,A1401)</f>
        <v>360</v>
      </c>
      <c r="C1401" s="25">
        <f t="shared" si="21"/>
        <v>1024710</v>
      </c>
      <c r="D1401" s="28">
        <f>C1401/SUM(Data!$J$2:$J$2379)</f>
        <v>0.84034226781127708</v>
      </c>
    </row>
    <row r="1402" spans="1:4" x14ac:dyDescent="0.3">
      <c r="A1402" s="25">
        <v>1401</v>
      </c>
      <c r="B1402" s="25">
        <f>LARGE(Data!$J$2:$J$2379,A1402)</f>
        <v>360</v>
      </c>
      <c r="C1402" s="25">
        <f t="shared" si="21"/>
        <v>1025070</v>
      </c>
      <c r="D1402" s="28">
        <f>C1402/SUM(Data!$J$2:$J$2379)</f>
        <v>0.84063749594061321</v>
      </c>
    </row>
    <row r="1403" spans="1:4" x14ac:dyDescent="0.3">
      <c r="A1403" s="25">
        <v>1402</v>
      </c>
      <c r="B1403" s="25">
        <f>LARGE(Data!$J$2:$J$2379,A1403)</f>
        <v>360</v>
      </c>
      <c r="C1403" s="25">
        <f t="shared" si="21"/>
        <v>1025430</v>
      </c>
      <c r="D1403" s="28">
        <f>C1403/SUM(Data!$J$2:$J$2379)</f>
        <v>0.84093272406994934</v>
      </c>
    </row>
    <row r="1404" spans="1:4" x14ac:dyDescent="0.3">
      <c r="A1404" s="25">
        <v>1403</v>
      </c>
      <c r="B1404" s="25">
        <f>LARGE(Data!$J$2:$J$2379,A1404)</f>
        <v>360</v>
      </c>
      <c r="C1404" s="25">
        <f t="shared" si="21"/>
        <v>1025790</v>
      </c>
      <c r="D1404" s="28">
        <f>C1404/SUM(Data!$J$2:$J$2379)</f>
        <v>0.84122795219928559</v>
      </c>
    </row>
    <row r="1405" spans="1:4" x14ac:dyDescent="0.3">
      <c r="A1405" s="25">
        <v>1404</v>
      </c>
      <c r="B1405" s="25">
        <f>LARGE(Data!$J$2:$J$2379,A1405)</f>
        <v>360</v>
      </c>
      <c r="C1405" s="25">
        <f t="shared" si="21"/>
        <v>1026150</v>
      </c>
      <c r="D1405" s="28">
        <f>C1405/SUM(Data!$J$2:$J$2379)</f>
        <v>0.84152318032862172</v>
      </c>
    </row>
    <row r="1406" spans="1:4" x14ac:dyDescent="0.3">
      <c r="A1406" s="25">
        <v>1405</v>
      </c>
      <c r="B1406" s="25">
        <f>LARGE(Data!$J$2:$J$2379,A1406)</f>
        <v>360</v>
      </c>
      <c r="C1406" s="25">
        <f t="shared" si="21"/>
        <v>1026510</v>
      </c>
      <c r="D1406" s="28">
        <f>C1406/SUM(Data!$J$2:$J$2379)</f>
        <v>0.84181840845795786</v>
      </c>
    </row>
    <row r="1407" spans="1:4" x14ac:dyDescent="0.3">
      <c r="A1407" s="25">
        <v>1406</v>
      </c>
      <c r="B1407" s="25">
        <f>LARGE(Data!$J$2:$J$2379,A1407)</f>
        <v>360</v>
      </c>
      <c r="C1407" s="25">
        <f t="shared" si="21"/>
        <v>1026870</v>
      </c>
      <c r="D1407" s="28">
        <f>C1407/SUM(Data!$J$2:$J$2379)</f>
        <v>0.84211363658729399</v>
      </c>
    </row>
    <row r="1408" spans="1:4" x14ac:dyDescent="0.3">
      <c r="A1408" s="25">
        <v>1407</v>
      </c>
      <c r="B1408" s="25">
        <f>LARGE(Data!$J$2:$J$2379,A1408)</f>
        <v>360</v>
      </c>
      <c r="C1408" s="25">
        <f t="shared" si="21"/>
        <v>1027230</v>
      </c>
      <c r="D1408" s="28">
        <f>C1408/SUM(Data!$J$2:$J$2379)</f>
        <v>0.84240886471663023</v>
      </c>
    </row>
    <row r="1409" spans="1:4" x14ac:dyDescent="0.3">
      <c r="A1409" s="25">
        <v>1408</v>
      </c>
      <c r="B1409" s="25">
        <f>LARGE(Data!$J$2:$J$2379,A1409)</f>
        <v>360</v>
      </c>
      <c r="C1409" s="25">
        <f t="shared" si="21"/>
        <v>1027590</v>
      </c>
      <c r="D1409" s="28">
        <f>C1409/SUM(Data!$J$2:$J$2379)</f>
        <v>0.84270409284596637</v>
      </c>
    </row>
    <row r="1410" spans="1:4" x14ac:dyDescent="0.3">
      <c r="A1410" s="25">
        <v>1409</v>
      </c>
      <c r="B1410" s="25">
        <f>LARGE(Data!$J$2:$J$2379,A1410)</f>
        <v>360</v>
      </c>
      <c r="C1410" s="25">
        <f t="shared" si="21"/>
        <v>1027950</v>
      </c>
      <c r="D1410" s="28">
        <f>C1410/SUM(Data!$J$2:$J$2379)</f>
        <v>0.8429993209753025</v>
      </c>
    </row>
    <row r="1411" spans="1:4" x14ac:dyDescent="0.3">
      <c r="A1411" s="25">
        <v>1410</v>
      </c>
      <c r="B1411" s="25">
        <f>LARGE(Data!$J$2:$J$2379,A1411)</f>
        <v>360</v>
      </c>
      <c r="C1411" s="25">
        <f t="shared" ref="C1411:C1474" si="22">C1410+B1411</f>
        <v>1028310</v>
      </c>
      <c r="D1411" s="28">
        <f>C1411/SUM(Data!$J$2:$J$2379)</f>
        <v>0.84329454910463864</v>
      </c>
    </row>
    <row r="1412" spans="1:4" x14ac:dyDescent="0.3">
      <c r="A1412" s="25">
        <v>1411</v>
      </c>
      <c r="B1412" s="25">
        <f>LARGE(Data!$J$2:$J$2379,A1412)</f>
        <v>360</v>
      </c>
      <c r="C1412" s="25">
        <f t="shared" si="22"/>
        <v>1028670</v>
      </c>
      <c r="D1412" s="28">
        <f>C1412/SUM(Data!$J$2:$J$2379)</f>
        <v>0.84358977723397488</v>
      </c>
    </row>
    <row r="1413" spans="1:4" x14ac:dyDescent="0.3">
      <c r="A1413" s="25">
        <v>1412</v>
      </c>
      <c r="B1413" s="25">
        <f>LARGE(Data!$J$2:$J$2379,A1413)</f>
        <v>360</v>
      </c>
      <c r="C1413" s="25">
        <f t="shared" si="22"/>
        <v>1029030</v>
      </c>
      <c r="D1413" s="28">
        <f>C1413/SUM(Data!$J$2:$J$2379)</f>
        <v>0.84388500536331101</v>
      </c>
    </row>
    <row r="1414" spans="1:4" x14ac:dyDescent="0.3">
      <c r="A1414" s="25">
        <v>1413</v>
      </c>
      <c r="B1414" s="25">
        <f>LARGE(Data!$J$2:$J$2379,A1414)</f>
        <v>360</v>
      </c>
      <c r="C1414" s="25">
        <f t="shared" si="22"/>
        <v>1029390</v>
      </c>
      <c r="D1414" s="28">
        <f>C1414/SUM(Data!$J$2:$J$2379)</f>
        <v>0.84418023349264715</v>
      </c>
    </row>
    <row r="1415" spans="1:4" x14ac:dyDescent="0.3">
      <c r="A1415" s="25">
        <v>1414</v>
      </c>
      <c r="B1415" s="25">
        <f>LARGE(Data!$J$2:$J$2379,A1415)</f>
        <v>360</v>
      </c>
      <c r="C1415" s="25">
        <f t="shared" si="22"/>
        <v>1029750</v>
      </c>
      <c r="D1415" s="28">
        <f>C1415/SUM(Data!$J$2:$J$2379)</f>
        <v>0.84447546162198339</v>
      </c>
    </row>
    <row r="1416" spans="1:4" x14ac:dyDescent="0.3">
      <c r="A1416" s="25">
        <v>1415</v>
      </c>
      <c r="B1416" s="25">
        <f>LARGE(Data!$J$2:$J$2379,A1416)</f>
        <v>360</v>
      </c>
      <c r="C1416" s="25">
        <f t="shared" si="22"/>
        <v>1030110</v>
      </c>
      <c r="D1416" s="28">
        <f>C1416/SUM(Data!$J$2:$J$2379)</f>
        <v>0.84477068975131953</v>
      </c>
    </row>
    <row r="1417" spans="1:4" x14ac:dyDescent="0.3">
      <c r="A1417" s="25">
        <v>1416</v>
      </c>
      <c r="B1417" s="25">
        <f>LARGE(Data!$J$2:$J$2379,A1417)</f>
        <v>360</v>
      </c>
      <c r="C1417" s="25">
        <f t="shared" si="22"/>
        <v>1030470</v>
      </c>
      <c r="D1417" s="28">
        <f>C1417/SUM(Data!$J$2:$J$2379)</f>
        <v>0.84506591788065566</v>
      </c>
    </row>
    <row r="1418" spans="1:4" x14ac:dyDescent="0.3">
      <c r="A1418" s="25">
        <v>1417</v>
      </c>
      <c r="B1418" s="25">
        <f>LARGE(Data!$J$2:$J$2379,A1418)</f>
        <v>360</v>
      </c>
      <c r="C1418" s="25">
        <f t="shared" si="22"/>
        <v>1030830</v>
      </c>
      <c r="D1418" s="28">
        <f>C1418/SUM(Data!$J$2:$J$2379)</f>
        <v>0.84536114600999179</v>
      </c>
    </row>
    <row r="1419" spans="1:4" x14ac:dyDescent="0.3">
      <c r="A1419" s="25">
        <v>1418</v>
      </c>
      <c r="B1419" s="25">
        <f>LARGE(Data!$J$2:$J$2379,A1419)</f>
        <v>360</v>
      </c>
      <c r="C1419" s="25">
        <f t="shared" si="22"/>
        <v>1031190</v>
      </c>
      <c r="D1419" s="28">
        <f>C1419/SUM(Data!$J$2:$J$2379)</f>
        <v>0.84565637413932804</v>
      </c>
    </row>
    <row r="1420" spans="1:4" x14ac:dyDescent="0.3">
      <c r="A1420" s="25">
        <v>1419</v>
      </c>
      <c r="B1420" s="25">
        <f>LARGE(Data!$J$2:$J$2379,A1420)</f>
        <v>360</v>
      </c>
      <c r="C1420" s="25">
        <f t="shared" si="22"/>
        <v>1031550</v>
      </c>
      <c r="D1420" s="28">
        <f>C1420/SUM(Data!$J$2:$J$2379)</f>
        <v>0.84595160226866417</v>
      </c>
    </row>
    <row r="1421" spans="1:4" x14ac:dyDescent="0.3">
      <c r="A1421" s="25">
        <v>1420</v>
      </c>
      <c r="B1421" s="25">
        <f>LARGE(Data!$J$2:$J$2379,A1421)</f>
        <v>350</v>
      </c>
      <c r="C1421" s="25">
        <f t="shared" si="22"/>
        <v>1031900</v>
      </c>
      <c r="D1421" s="28">
        <f>C1421/SUM(Data!$J$2:$J$2379)</f>
        <v>0.84623862961662988</v>
      </c>
    </row>
    <row r="1422" spans="1:4" x14ac:dyDescent="0.3">
      <c r="A1422" s="25">
        <v>1421</v>
      </c>
      <c r="B1422" s="25">
        <f>LARGE(Data!$J$2:$J$2379,A1422)</f>
        <v>350</v>
      </c>
      <c r="C1422" s="25">
        <f t="shared" si="22"/>
        <v>1032250</v>
      </c>
      <c r="D1422" s="28">
        <f>C1422/SUM(Data!$J$2:$J$2379)</f>
        <v>0.84652565696459559</v>
      </c>
    </row>
    <row r="1423" spans="1:4" x14ac:dyDescent="0.3">
      <c r="A1423" s="25">
        <v>1422</v>
      </c>
      <c r="B1423" s="25">
        <f>LARGE(Data!$J$2:$J$2379,A1423)</f>
        <v>350</v>
      </c>
      <c r="C1423" s="25">
        <f t="shared" si="22"/>
        <v>1032600</v>
      </c>
      <c r="D1423" s="28">
        <f>C1423/SUM(Data!$J$2:$J$2379)</f>
        <v>0.84681268431256129</v>
      </c>
    </row>
    <row r="1424" spans="1:4" x14ac:dyDescent="0.3">
      <c r="A1424" s="25">
        <v>1423</v>
      </c>
      <c r="B1424" s="25">
        <f>LARGE(Data!$J$2:$J$2379,A1424)</f>
        <v>350</v>
      </c>
      <c r="C1424" s="25">
        <f t="shared" si="22"/>
        <v>1032950</v>
      </c>
      <c r="D1424" s="28">
        <f>C1424/SUM(Data!$J$2:$J$2379)</f>
        <v>0.847099711660527</v>
      </c>
    </row>
    <row r="1425" spans="1:4" x14ac:dyDescent="0.3">
      <c r="A1425" s="25">
        <v>1424</v>
      </c>
      <c r="B1425" s="25">
        <f>LARGE(Data!$J$2:$J$2379,A1425)</f>
        <v>350</v>
      </c>
      <c r="C1425" s="25">
        <f t="shared" si="22"/>
        <v>1033300</v>
      </c>
      <c r="D1425" s="28">
        <f>C1425/SUM(Data!$J$2:$J$2379)</f>
        <v>0.84738673900849271</v>
      </c>
    </row>
    <row r="1426" spans="1:4" x14ac:dyDescent="0.3">
      <c r="A1426" s="25">
        <v>1425</v>
      </c>
      <c r="B1426" s="25">
        <f>LARGE(Data!$J$2:$J$2379,A1426)</f>
        <v>350</v>
      </c>
      <c r="C1426" s="25">
        <f t="shared" si="22"/>
        <v>1033650</v>
      </c>
      <c r="D1426" s="28">
        <f>C1426/SUM(Data!$J$2:$J$2379)</f>
        <v>0.84767376635645841</v>
      </c>
    </row>
    <row r="1427" spans="1:4" x14ac:dyDescent="0.3">
      <c r="A1427" s="25">
        <v>1426</v>
      </c>
      <c r="B1427" s="25">
        <f>LARGE(Data!$J$2:$J$2379,A1427)</f>
        <v>350</v>
      </c>
      <c r="C1427" s="25">
        <f t="shared" si="22"/>
        <v>1034000</v>
      </c>
      <c r="D1427" s="28">
        <f>C1427/SUM(Data!$J$2:$J$2379)</f>
        <v>0.84796079370442412</v>
      </c>
    </row>
    <row r="1428" spans="1:4" x14ac:dyDescent="0.3">
      <c r="A1428" s="25">
        <v>1427</v>
      </c>
      <c r="B1428" s="25">
        <f>LARGE(Data!$J$2:$J$2379,A1428)</f>
        <v>350</v>
      </c>
      <c r="C1428" s="25">
        <f t="shared" si="22"/>
        <v>1034350</v>
      </c>
      <c r="D1428" s="28">
        <f>C1428/SUM(Data!$J$2:$J$2379)</f>
        <v>0.84824782105238983</v>
      </c>
    </row>
    <row r="1429" spans="1:4" x14ac:dyDescent="0.3">
      <c r="A1429" s="25">
        <v>1428</v>
      </c>
      <c r="B1429" s="25">
        <f>LARGE(Data!$J$2:$J$2379,A1429)</f>
        <v>350</v>
      </c>
      <c r="C1429" s="25">
        <f t="shared" si="22"/>
        <v>1034700</v>
      </c>
      <c r="D1429" s="28">
        <f>C1429/SUM(Data!$J$2:$J$2379)</f>
        <v>0.84853484840035553</v>
      </c>
    </row>
    <row r="1430" spans="1:4" x14ac:dyDescent="0.3">
      <c r="A1430" s="25">
        <v>1429</v>
      </c>
      <c r="B1430" s="25">
        <f>LARGE(Data!$J$2:$J$2379,A1430)</f>
        <v>350</v>
      </c>
      <c r="C1430" s="25">
        <f t="shared" si="22"/>
        <v>1035050</v>
      </c>
      <c r="D1430" s="28">
        <f>C1430/SUM(Data!$J$2:$J$2379)</f>
        <v>0.84882187574832135</v>
      </c>
    </row>
    <row r="1431" spans="1:4" x14ac:dyDescent="0.3">
      <c r="A1431" s="25">
        <v>1430</v>
      </c>
      <c r="B1431" s="25">
        <f>LARGE(Data!$J$2:$J$2379,A1431)</f>
        <v>350</v>
      </c>
      <c r="C1431" s="25">
        <f t="shared" si="22"/>
        <v>1035400</v>
      </c>
      <c r="D1431" s="28">
        <f>C1431/SUM(Data!$J$2:$J$2379)</f>
        <v>0.84910890309628706</v>
      </c>
    </row>
    <row r="1432" spans="1:4" x14ac:dyDescent="0.3">
      <c r="A1432" s="25">
        <v>1431</v>
      </c>
      <c r="B1432" s="25">
        <f>LARGE(Data!$J$2:$J$2379,A1432)</f>
        <v>350</v>
      </c>
      <c r="C1432" s="25">
        <f t="shared" si="22"/>
        <v>1035750</v>
      </c>
      <c r="D1432" s="28">
        <f>C1432/SUM(Data!$J$2:$J$2379)</f>
        <v>0.84939593044425277</v>
      </c>
    </row>
    <row r="1433" spans="1:4" x14ac:dyDescent="0.3">
      <c r="A1433" s="25">
        <v>1432</v>
      </c>
      <c r="B1433" s="25">
        <f>LARGE(Data!$J$2:$J$2379,A1433)</f>
        <v>350</v>
      </c>
      <c r="C1433" s="25">
        <f t="shared" si="22"/>
        <v>1036100</v>
      </c>
      <c r="D1433" s="28">
        <f>C1433/SUM(Data!$J$2:$J$2379)</f>
        <v>0.84968295779221847</v>
      </c>
    </row>
    <row r="1434" spans="1:4" x14ac:dyDescent="0.3">
      <c r="A1434" s="25">
        <v>1433</v>
      </c>
      <c r="B1434" s="25">
        <f>LARGE(Data!$J$2:$J$2379,A1434)</f>
        <v>350</v>
      </c>
      <c r="C1434" s="25">
        <f t="shared" si="22"/>
        <v>1036450</v>
      </c>
      <c r="D1434" s="28">
        <f>C1434/SUM(Data!$J$2:$J$2379)</f>
        <v>0.84996998514018418</v>
      </c>
    </row>
    <row r="1435" spans="1:4" x14ac:dyDescent="0.3">
      <c r="A1435" s="25">
        <v>1434</v>
      </c>
      <c r="B1435" s="25">
        <f>LARGE(Data!$J$2:$J$2379,A1435)</f>
        <v>350</v>
      </c>
      <c r="C1435" s="25">
        <f t="shared" si="22"/>
        <v>1036800</v>
      </c>
      <c r="D1435" s="28">
        <f>C1435/SUM(Data!$J$2:$J$2379)</f>
        <v>0.85025701248814989</v>
      </c>
    </row>
    <row r="1436" spans="1:4" x14ac:dyDescent="0.3">
      <c r="A1436" s="25">
        <v>1435</v>
      </c>
      <c r="B1436" s="25">
        <f>LARGE(Data!$J$2:$J$2379,A1436)</f>
        <v>325</v>
      </c>
      <c r="C1436" s="25">
        <f t="shared" si="22"/>
        <v>1037125</v>
      </c>
      <c r="D1436" s="28">
        <f>C1436/SUM(Data!$J$2:$J$2379)</f>
        <v>0.85052353788268942</v>
      </c>
    </row>
    <row r="1437" spans="1:4" x14ac:dyDescent="0.3">
      <c r="A1437" s="25">
        <v>1436</v>
      </c>
      <c r="B1437" s="25">
        <f>LARGE(Data!$J$2:$J$2379,A1437)</f>
        <v>325</v>
      </c>
      <c r="C1437" s="25">
        <f t="shared" si="22"/>
        <v>1037450</v>
      </c>
      <c r="D1437" s="28">
        <f>C1437/SUM(Data!$J$2:$J$2379)</f>
        <v>0.85079006327722906</v>
      </c>
    </row>
    <row r="1438" spans="1:4" x14ac:dyDescent="0.3">
      <c r="A1438" s="25">
        <v>1437</v>
      </c>
      <c r="B1438" s="25">
        <f>LARGE(Data!$J$2:$J$2379,A1438)</f>
        <v>325</v>
      </c>
      <c r="C1438" s="25">
        <f t="shared" si="22"/>
        <v>1037775</v>
      </c>
      <c r="D1438" s="28">
        <f>C1438/SUM(Data!$J$2:$J$2379)</f>
        <v>0.8510565886717687</v>
      </c>
    </row>
    <row r="1439" spans="1:4" x14ac:dyDescent="0.3">
      <c r="A1439" s="25">
        <v>1438</v>
      </c>
      <c r="B1439" s="25">
        <f>LARGE(Data!$J$2:$J$2379,A1439)</f>
        <v>325</v>
      </c>
      <c r="C1439" s="25">
        <f t="shared" si="22"/>
        <v>1038100</v>
      </c>
      <c r="D1439" s="28">
        <f>C1439/SUM(Data!$J$2:$J$2379)</f>
        <v>0.85132311406630823</v>
      </c>
    </row>
    <row r="1440" spans="1:4" x14ac:dyDescent="0.3">
      <c r="A1440" s="25">
        <v>1439</v>
      </c>
      <c r="B1440" s="25">
        <f>LARGE(Data!$J$2:$J$2379,A1440)</f>
        <v>325</v>
      </c>
      <c r="C1440" s="25">
        <f t="shared" si="22"/>
        <v>1038425</v>
      </c>
      <c r="D1440" s="28">
        <f>C1440/SUM(Data!$J$2:$J$2379)</f>
        <v>0.85158963946084787</v>
      </c>
    </row>
    <row r="1441" spans="1:4" x14ac:dyDescent="0.3">
      <c r="A1441" s="25">
        <v>1440</v>
      </c>
      <c r="B1441" s="25">
        <f>LARGE(Data!$J$2:$J$2379,A1441)</f>
        <v>325</v>
      </c>
      <c r="C1441" s="25">
        <f t="shared" si="22"/>
        <v>1038750</v>
      </c>
      <c r="D1441" s="28">
        <f>C1441/SUM(Data!$J$2:$J$2379)</f>
        <v>0.8518561648553874</v>
      </c>
    </row>
    <row r="1442" spans="1:4" x14ac:dyDescent="0.3">
      <c r="A1442" s="25">
        <v>1441</v>
      </c>
      <c r="B1442" s="25">
        <f>LARGE(Data!$J$2:$J$2379,A1442)</f>
        <v>325</v>
      </c>
      <c r="C1442" s="25">
        <f t="shared" si="22"/>
        <v>1039075</v>
      </c>
      <c r="D1442" s="28">
        <f>C1442/SUM(Data!$J$2:$J$2379)</f>
        <v>0.85212269024992704</v>
      </c>
    </row>
    <row r="1443" spans="1:4" x14ac:dyDescent="0.3">
      <c r="A1443" s="25">
        <v>1442</v>
      </c>
      <c r="B1443" s="25">
        <f>LARGE(Data!$J$2:$J$2379,A1443)</f>
        <v>325</v>
      </c>
      <c r="C1443" s="25">
        <f t="shared" si="22"/>
        <v>1039400</v>
      </c>
      <c r="D1443" s="28">
        <f>C1443/SUM(Data!$J$2:$J$2379)</f>
        <v>0.85238921564446657</v>
      </c>
    </row>
    <row r="1444" spans="1:4" x14ac:dyDescent="0.3">
      <c r="A1444" s="25">
        <v>1443</v>
      </c>
      <c r="B1444" s="25">
        <f>LARGE(Data!$J$2:$J$2379,A1444)</f>
        <v>325</v>
      </c>
      <c r="C1444" s="25">
        <f t="shared" si="22"/>
        <v>1039725</v>
      </c>
      <c r="D1444" s="28">
        <f>C1444/SUM(Data!$J$2:$J$2379)</f>
        <v>0.85265574103900621</v>
      </c>
    </row>
    <row r="1445" spans="1:4" x14ac:dyDescent="0.3">
      <c r="A1445" s="25">
        <v>1444</v>
      </c>
      <c r="B1445" s="25">
        <f>LARGE(Data!$J$2:$J$2379,A1445)</f>
        <v>325</v>
      </c>
      <c r="C1445" s="25">
        <f t="shared" si="22"/>
        <v>1040050</v>
      </c>
      <c r="D1445" s="28">
        <f>C1445/SUM(Data!$J$2:$J$2379)</f>
        <v>0.85292226643354574</v>
      </c>
    </row>
    <row r="1446" spans="1:4" x14ac:dyDescent="0.3">
      <c r="A1446" s="25">
        <v>1445</v>
      </c>
      <c r="B1446" s="25">
        <f>LARGE(Data!$J$2:$J$2379,A1446)</f>
        <v>325</v>
      </c>
      <c r="C1446" s="25">
        <f t="shared" si="22"/>
        <v>1040375</v>
      </c>
      <c r="D1446" s="28">
        <f>C1446/SUM(Data!$J$2:$J$2379)</f>
        <v>0.85318879182808538</v>
      </c>
    </row>
    <row r="1447" spans="1:4" x14ac:dyDescent="0.3">
      <c r="A1447" s="25">
        <v>1446</v>
      </c>
      <c r="B1447" s="25">
        <f>LARGE(Data!$J$2:$J$2379,A1447)</f>
        <v>325</v>
      </c>
      <c r="C1447" s="25">
        <f t="shared" si="22"/>
        <v>1040700</v>
      </c>
      <c r="D1447" s="28">
        <f>C1447/SUM(Data!$J$2:$J$2379)</f>
        <v>0.85345531722262502</v>
      </c>
    </row>
    <row r="1448" spans="1:4" x14ac:dyDescent="0.3">
      <c r="A1448" s="25">
        <v>1447</v>
      </c>
      <c r="B1448" s="25">
        <f>LARGE(Data!$J$2:$J$2379,A1448)</f>
        <v>325</v>
      </c>
      <c r="C1448" s="25">
        <f t="shared" si="22"/>
        <v>1041025</v>
      </c>
      <c r="D1448" s="28">
        <f>C1448/SUM(Data!$J$2:$J$2379)</f>
        <v>0.85372184261716455</v>
      </c>
    </row>
    <row r="1449" spans="1:4" x14ac:dyDescent="0.3">
      <c r="A1449" s="25">
        <v>1448</v>
      </c>
      <c r="B1449" s="25">
        <f>LARGE(Data!$J$2:$J$2379,A1449)</f>
        <v>325</v>
      </c>
      <c r="C1449" s="25">
        <f t="shared" si="22"/>
        <v>1041350</v>
      </c>
      <c r="D1449" s="28">
        <f>C1449/SUM(Data!$J$2:$J$2379)</f>
        <v>0.85398836801170419</v>
      </c>
    </row>
    <row r="1450" spans="1:4" x14ac:dyDescent="0.3">
      <c r="A1450" s="25">
        <v>1449</v>
      </c>
      <c r="B1450" s="25">
        <f>LARGE(Data!$J$2:$J$2379,A1450)</f>
        <v>325</v>
      </c>
      <c r="C1450" s="25">
        <f t="shared" si="22"/>
        <v>1041675</v>
      </c>
      <c r="D1450" s="28">
        <f>C1450/SUM(Data!$J$2:$J$2379)</f>
        <v>0.85425489340624372</v>
      </c>
    </row>
    <row r="1451" spans="1:4" x14ac:dyDescent="0.3">
      <c r="A1451" s="25">
        <v>1450</v>
      </c>
      <c r="B1451" s="25">
        <f>LARGE(Data!$J$2:$J$2379,A1451)</f>
        <v>325</v>
      </c>
      <c r="C1451" s="25">
        <f t="shared" si="22"/>
        <v>1042000</v>
      </c>
      <c r="D1451" s="28">
        <f>C1451/SUM(Data!$J$2:$J$2379)</f>
        <v>0.85452141880078336</v>
      </c>
    </row>
    <row r="1452" spans="1:4" x14ac:dyDescent="0.3">
      <c r="A1452" s="25">
        <v>1451</v>
      </c>
      <c r="B1452" s="25">
        <f>LARGE(Data!$J$2:$J$2379,A1452)</f>
        <v>325</v>
      </c>
      <c r="C1452" s="25">
        <f t="shared" si="22"/>
        <v>1042325</v>
      </c>
      <c r="D1452" s="28">
        <f>C1452/SUM(Data!$J$2:$J$2379)</f>
        <v>0.85478794419532289</v>
      </c>
    </row>
    <row r="1453" spans="1:4" x14ac:dyDescent="0.3">
      <c r="A1453" s="25">
        <v>1452</v>
      </c>
      <c r="B1453" s="25">
        <f>LARGE(Data!$J$2:$J$2379,A1453)</f>
        <v>325</v>
      </c>
      <c r="C1453" s="25">
        <f t="shared" si="22"/>
        <v>1042650</v>
      </c>
      <c r="D1453" s="28">
        <f>C1453/SUM(Data!$J$2:$J$2379)</f>
        <v>0.85505446958986253</v>
      </c>
    </row>
    <row r="1454" spans="1:4" x14ac:dyDescent="0.3">
      <c r="A1454" s="25">
        <v>1453</v>
      </c>
      <c r="B1454" s="25">
        <f>LARGE(Data!$J$2:$J$2379,A1454)</f>
        <v>325</v>
      </c>
      <c r="C1454" s="25">
        <f t="shared" si="22"/>
        <v>1042975</v>
      </c>
      <c r="D1454" s="28">
        <f>C1454/SUM(Data!$J$2:$J$2379)</f>
        <v>0.85532099498440206</v>
      </c>
    </row>
    <row r="1455" spans="1:4" x14ac:dyDescent="0.3">
      <c r="A1455" s="25">
        <v>1454</v>
      </c>
      <c r="B1455" s="25">
        <f>LARGE(Data!$J$2:$J$2379,A1455)</f>
        <v>325</v>
      </c>
      <c r="C1455" s="25">
        <f t="shared" si="22"/>
        <v>1043300</v>
      </c>
      <c r="D1455" s="28">
        <f>C1455/SUM(Data!$J$2:$J$2379)</f>
        <v>0.8555875203789417</v>
      </c>
    </row>
    <row r="1456" spans="1:4" x14ac:dyDescent="0.3">
      <c r="A1456" s="25">
        <v>1455</v>
      </c>
      <c r="B1456" s="25">
        <f>LARGE(Data!$J$2:$J$2379,A1456)</f>
        <v>325</v>
      </c>
      <c r="C1456" s="25">
        <f t="shared" si="22"/>
        <v>1043625</v>
      </c>
      <c r="D1456" s="28">
        <f>C1456/SUM(Data!$J$2:$J$2379)</f>
        <v>0.85585404577348134</v>
      </c>
    </row>
    <row r="1457" spans="1:4" x14ac:dyDescent="0.3">
      <c r="A1457" s="25">
        <v>1456</v>
      </c>
      <c r="B1457" s="25">
        <f>LARGE(Data!$J$2:$J$2379,A1457)</f>
        <v>300</v>
      </c>
      <c r="C1457" s="25">
        <f t="shared" si="22"/>
        <v>1043925</v>
      </c>
      <c r="D1457" s="28">
        <f>C1457/SUM(Data!$J$2:$J$2379)</f>
        <v>0.85610006921459481</v>
      </c>
    </row>
    <row r="1458" spans="1:4" x14ac:dyDescent="0.3">
      <c r="A1458" s="25">
        <v>1457</v>
      </c>
      <c r="B1458" s="25">
        <f>LARGE(Data!$J$2:$J$2379,A1458)</f>
        <v>300</v>
      </c>
      <c r="C1458" s="25">
        <f t="shared" si="22"/>
        <v>1044225</v>
      </c>
      <c r="D1458" s="28">
        <f>C1458/SUM(Data!$J$2:$J$2379)</f>
        <v>0.85634609265570827</v>
      </c>
    </row>
    <row r="1459" spans="1:4" x14ac:dyDescent="0.3">
      <c r="A1459" s="25">
        <v>1458</v>
      </c>
      <c r="B1459" s="25">
        <f>LARGE(Data!$J$2:$J$2379,A1459)</f>
        <v>300</v>
      </c>
      <c r="C1459" s="25">
        <f t="shared" si="22"/>
        <v>1044525</v>
      </c>
      <c r="D1459" s="28">
        <f>C1459/SUM(Data!$J$2:$J$2379)</f>
        <v>0.85659211609682173</v>
      </c>
    </row>
    <row r="1460" spans="1:4" x14ac:dyDescent="0.3">
      <c r="A1460" s="25">
        <v>1459</v>
      </c>
      <c r="B1460" s="25">
        <f>LARGE(Data!$J$2:$J$2379,A1460)</f>
        <v>300</v>
      </c>
      <c r="C1460" s="25">
        <f t="shared" si="22"/>
        <v>1044825</v>
      </c>
      <c r="D1460" s="28">
        <f>C1460/SUM(Data!$J$2:$J$2379)</f>
        <v>0.8568381395379352</v>
      </c>
    </row>
    <row r="1461" spans="1:4" x14ac:dyDescent="0.3">
      <c r="A1461" s="25">
        <v>1460</v>
      </c>
      <c r="B1461" s="25">
        <f>LARGE(Data!$J$2:$J$2379,A1461)</f>
        <v>300</v>
      </c>
      <c r="C1461" s="25">
        <f t="shared" si="22"/>
        <v>1045125</v>
      </c>
      <c r="D1461" s="28">
        <f>C1461/SUM(Data!$J$2:$J$2379)</f>
        <v>0.85708416297904866</v>
      </c>
    </row>
    <row r="1462" spans="1:4" x14ac:dyDescent="0.3">
      <c r="A1462" s="25">
        <v>1461</v>
      </c>
      <c r="B1462" s="25">
        <f>LARGE(Data!$J$2:$J$2379,A1462)</f>
        <v>300</v>
      </c>
      <c r="C1462" s="25">
        <f t="shared" si="22"/>
        <v>1045425</v>
      </c>
      <c r="D1462" s="28">
        <f>C1462/SUM(Data!$J$2:$J$2379)</f>
        <v>0.85733018642016212</v>
      </c>
    </row>
    <row r="1463" spans="1:4" x14ac:dyDescent="0.3">
      <c r="A1463" s="25">
        <v>1462</v>
      </c>
      <c r="B1463" s="25">
        <f>LARGE(Data!$J$2:$J$2379,A1463)</f>
        <v>300</v>
      </c>
      <c r="C1463" s="25">
        <f t="shared" si="22"/>
        <v>1045725</v>
      </c>
      <c r="D1463" s="28">
        <f>C1463/SUM(Data!$J$2:$J$2379)</f>
        <v>0.85757620986127558</v>
      </c>
    </row>
    <row r="1464" spans="1:4" x14ac:dyDescent="0.3">
      <c r="A1464" s="25">
        <v>1463</v>
      </c>
      <c r="B1464" s="25">
        <f>LARGE(Data!$J$2:$J$2379,A1464)</f>
        <v>300</v>
      </c>
      <c r="C1464" s="25">
        <f t="shared" si="22"/>
        <v>1046025</v>
      </c>
      <c r="D1464" s="28">
        <f>C1464/SUM(Data!$J$2:$J$2379)</f>
        <v>0.85782223330238905</v>
      </c>
    </row>
    <row r="1465" spans="1:4" x14ac:dyDescent="0.3">
      <c r="A1465" s="25">
        <v>1464</v>
      </c>
      <c r="B1465" s="25">
        <f>LARGE(Data!$J$2:$J$2379,A1465)</f>
        <v>300</v>
      </c>
      <c r="C1465" s="25">
        <f t="shared" si="22"/>
        <v>1046325</v>
      </c>
      <c r="D1465" s="28">
        <f>C1465/SUM(Data!$J$2:$J$2379)</f>
        <v>0.85806825674350251</v>
      </c>
    </row>
    <row r="1466" spans="1:4" x14ac:dyDescent="0.3">
      <c r="A1466" s="25">
        <v>1465</v>
      </c>
      <c r="B1466" s="25">
        <f>LARGE(Data!$J$2:$J$2379,A1466)</f>
        <v>300</v>
      </c>
      <c r="C1466" s="25">
        <f t="shared" si="22"/>
        <v>1046625</v>
      </c>
      <c r="D1466" s="28">
        <f>C1466/SUM(Data!$J$2:$J$2379)</f>
        <v>0.85831428018461597</v>
      </c>
    </row>
    <row r="1467" spans="1:4" x14ac:dyDescent="0.3">
      <c r="A1467" s="25">
        <v>1466</v>
      </c>
      <c r="B1467" s="25">
        <f>LARGE(Data!$J$2:$J$2379,A1467)</f>
        <v>300</v>
      </c>
      <c r="C1467" s="25">
        <f t="shared" si="22"/>
        <v>1046925</v>
      </c>
      <c r="D1467" s="28">
        <f>C1467/SUM(Data!$J$2:$J$2379)</f>
        <v>0.85856030362572944</v>
      </c>
    </row>
    <row r="1468" spans="1:4" x14ac:dyDescent="0.3">
      <c r="A1468" s="25">
        <v>1467</v>
      </c>
      <c r="B1468" s="25">
        <f>LARGE(Data!$J$2:$J$2379,A1468)</f>
        <v>300</v>
      </c>
      <c r="C1468" s="25">
        <f t="shared" si="22"/>
        <v>1047225</v>
      </c>
      <c r="D1468" s="28">
        <f>C1468/SUM(Data!$J$2:$J$2379)</f>
        <v>0.8588063270668429</v>
      </c>
    </row>
    <row r="1469" spans="1:4" x14ac:dyDescent="0.3">
      <c r="A1469" s="25">
        <v>1468</v>
      </c>
      <c r="B1469" s="25">
        <f>LARGE(Data!$J$2:$J$2379,A1469)</f>
        <v>300</v>
      </c>
      <c r="C1469" s="25">
        <f t="shared" si="22"/>
        <v>1047525</v>
      </c>
      <c r="D1469" s="28">
        <f>C1469/SUM(Data!$J$2:$J$2379)</f>
        <v>0.85905235050795636</v>
      </c>
    </row>
    <row r="1470" spans="1:4" x14ac:dyDescent="0.3">
      <c r="A1470" s="25">
        <v>1469</v>
      </c>
      <c r="B1470" s="25">
        <f>LARGE(Data!$J$2:$J$2379,A1470)</f>
        <v>300</v>
      </c>
      <c r="C1470" s="25">
        <f t="shared" si="22"/>
        <v>1047825</v>
      </c>
      <c r="D1470" s="28">
        <f>C1470/SUM(Data!$J$2:$J$2379)</f>
        <v>0.85929837394906983</v>
      </c>
    </row>
    <row r="1471" spans="1:4" x14ac:dyDescent="0.3">
      <c r="A1471" s="25">
        <v>1470</v>
      </c>
      <c r="B1471" s="25">
        <f>LARGE(Data!$J$2:$J$2379,A1471)</f>
        <v>300</v>
      </c>
      <c r="C1471" s="25">
        <f t="shared" si="22"/>
        <v>1048125</v>
      </c>
      <c r="D1471" s="28">
        <f>C1471/SUM(Data!$J$2:$J$2379)</f>
        <v>0.85954439739018329</v>
      </c>
    </row>
    <row r="1472" spans="1:4" x14ac:dyDescent="0.3">
      <c r="A1472" s="25">
        <v>1471</v>
      </c>
      <c r="B1472" s="25">
        <f>LARGE(Data!$J$2:$J$2379,A1472)</f>
        <v>300</v>
      </c>
      <c r="C1472" s="25">
        <f t="shared" si="22"/>
        <v>1048425</v>
      </c>
      <c r="D1472" s="28">
        <f>C1472/SUM(Data!$J$2:$J$2379)</f>
        <v>0.85979042083129675</v>
      </c>
    </row>
    <row r="1473" spans="1:4" x14ac:dyDescent="0.3">
      <c r="A1473" s="25">
        <v>1472</v>
      </c>
      <c r="B1473" s="25">
        <f>LARGE(Data!$J$2:$J$2379,A1473)</f>
        <v>300</v>
      </c>
      <c r="C1473" s="25">
        <f t="shared" si="22"/>
        <v>1048725</v>
      </c>
      <c r="D1473" s="28">
        <f>C1473/SUM(Data!$J$2:$J$2379)</f>
        <v>0.86003644427241033</v>
      </c>
    </row>
    <row r="1474" spans="1:4" x14ac:dyDescent="0.3">
      <c r="A1474" s="25">
        <v>1473</v>
      </c>
      <c r="B1474" s="25">
        <f>LARGE(Data!$J$2:$J$2379,A1474)</f>
        <v>300</v>
      </c>
      <c r="C1474" s="25">
        <f t="shared" si="22"/>
        <v>1049025</v>
      </c>
      <c r="D1474" s="28">
        <f>C1474/SUM(Data!$J$2:$J$2379)</f>
        <v>0.86028246771352379</v>
      </c>
    </row>
    <row r="1475" spans="1:4" x14ac:dyDescent="0.3">
      <c r="A1475" s="25">
        <v>1474</v>
      </c>
      <c r="B1475" s="25">
        <f>LARGE(Data!$J$2:$J$2379,A1475)</f>
        <v>300</v>
      </c>
      <c r="C1475" s="25">
        <f t="shared" ref="C1475:C1538" si="23">C1474+B1475</f>
        <v>1049325</v>
      </c>
      <c r="D1475" s="28">
        <f>C1475/SUM(Data!$J$2:$J$2379)</f>
        <v>0.86052849115463725</v>
      </c>
    </row>
    <row r="1476" spans="1:4" x14ac:dyDescent="0.3">
      <c r="A1476" s="25">
        <v>1475</v>
      </c>
      <c r="B1476" s="25">
        <f>LARGE(Data!$J$2:$J$2379,A1476)</f>
        <v>300</v>
      </c>
      <c r="C1476" s="25">
        <f t="shared" si="23"/>
        <v>1049625</v>
      </c>
      <c r="D1476" s="28">
        <f>C1476/SUM(Data!$J$2:$J$2379)</f>
        <v>0.86077451459575072</v>
      </c>
    </row>
    <row r="1477" spans="1:4" x14ac:dyDescent="0.3">
      <c r="A1477" s="25">
        <v>1476</v>
      </c>
      <c r="B1477" s="25">
        <f>LARGE(Data!$J$2:$J$2379,A1477)</f>
        <v>300</v>
      </c>
      <c r="C1477" s="25">
        <f t="shared" si="23"/>
        <v>1049925</v>
      </c>
      <c r="D1477" s="28">
        <f>C1477/SUM(Data!$J$2:$J$2379)</f>
        <v>0.86102053803686418</v>
      </c>
    </row>
    <row r="1478" spans="1:4" x14ac:dyDescent="0.3">
      <c r="A1478" s="25">
        <v>1477</v>
      </c>
      <c r="B1478" s="25">
        <f>LARGE(Data!$J$2:$J$2379,A1478)</f>
        <v>300</v>
      </c>
      <c r="C1478" s="25">
        <f t="shared" si="23"/>
        <v>1050225</v>
      </c>
      <c r="D1478" s="28">
        <f>C1478/SUM(Data!$J$2:$J$2379)</f>
        <v>0.86126656147797764</v>
      </c>
    </row>
    <row r="1479" spans="1:4" x14ac:dyDescent="0.3">
      <c r="A1479" s="25">
        <v>1478</v>
      </c>
      <c r="B1479" s="25">
        <f>LARGE(Data!$J$2:$J$2379,A1479)</f>
        <v>300</v>
      </c>
      <c r="C1479" s="25">
        <f t="shared" si="23"/>
        <v>1050525</v>
      </c>
      <c r="D1479" s="28">
        <f>C1479/SUM(Data!$J$2:$J$2379)</f>
        <v>0.86151258491909111</v>
      </c>
    </row>
    <row r="1480" spans="1:4" x14ac:dyDescent="0.3">
      <c r="A1480" s="25">
        <v>1479</v>
      </c>
      <c r="B1480" s="25">
        <f>LARGE(Data!$J$2:$J$2379,A1480)</f>
        <v>300</v>
      </c>
      <c r="C1480" s="25">
        <f t="shared" si="23"/>
        <v>1050825</v>
      </c>
      <c r="D1480" s="28">
        <f>C1480/SUM(Data!$J$2:$J$2379)</f>
        <v>0.86175860836020457</v>
      </c>
    </row>
    <row r="1481" spans="1:4" x14ac:dyDescent="0.3">
      <c r="A1481" s="25">
        <v>1480</v>
      </c>
      <c r="B1481" s="25">
        <f>LARGE(Data!$J$2:$J$2379,A1481)</f>
        <v>300</v>
      </c>
      <c r="C1481" s="25">
        <f t="shared" si="23"/>
        <v>1051125</v>
      </c>
      <c r="D1481" s="28">
        <f>C1481/SUM(Data!$J$2:$J$2379)</f>
        <v>0.86200463180131803</v>
      </c>
    </row>
    <row r="1482" spans="1:4" x14ac:dyDescent="0.3">
      <c r="A1482" s="25">
        <v>1481</v>
      </c>
      <c r="B1482" s="25">
        <f>LARGE(Data!$J$2:$J$2379,A1482)</f>
        <v>300</v>
      </c>
      <c r="C1482" s="25">
        <f t="shared" si="23"/>
        <v>1051425</v>
      </c>
      <c r="D1482" s="28">
        <f>C1482/SUM(Data!$J$2:$J$2379)</f>
        <v>0.8622506552424315</v>
      </c>
    </row>
    <row r="1483" spans="1:4" x14ac:dyDescent="0.3">
      <c r="A1483" s="25">
        <v>1482</v>
      </c>
      <c r="B1483" s="25">
        <f>LARGE(Data!$J$2:$J$2379,A1483)</f>
        <v>300</v>
      </c>
      <c r="C1483" s="25">
        <f t="shared" si="23"/>
        <v>1051725</v>
      </c>
      <c r="D1483" s="28">
        <f>C1483/SUM(Data!$J$2:$J$2379)</f>
        <v>0.86249667868354496</v>
      </c>
    </row>
    <row r="1484" spans="1:4" x14ac:dyDescent="0.3">
      <c r="A1484" s="25">
        <v>1483</v>
      </c>
      <c r="B1484" s="25">
        <f>LARGE(Data!$J$2:$J$2379,A1484)</f>
        <v>300</v>
      </c>
      <c r="C1484" s="25">
        <f t="shared" si="23"/>
        <v>1052025</v>
      </c>
      <c r="D1484" s="28">
        <f>C1484/SUM(Data!$J$2:$J$2379)</f>
        <v>0.86274270212465842</v>
      </c>
    </row>
    <row r="1485" spans="1:4" x14ac:dyDescent="0.3">
      <c r="A1485" s="25">
        <v>1484</v>
      </c>
      <c r="B1485" s="25">
        <f>LARGE(Data!$J$2:$J$2379,A1485)</f>
        <v>300</v>
      </c>
      <c r="C1485" s="25">
        <f t="shared" si="23"/>
        <v>1052325</v>
      </c>
      <c r="D1485" s="28">
        <f>C1485/SUM(Data!$J$2:$J$2379)</f>
        <v>0.86298872556577189</v>
      </c>
    </row>
    <row r="1486" spans="1:4" x14ac:dyDescent="0.3">
      <c r="A1486" s="25">
        <v>1485</v>
      </c>
      <c r="B1486" s="25">
        <f>LARGE(Data!$J$2:$J$2379,A1486)</f>
        <v>300</v>
      </c>
      <c r="C1486" s="25">
        <f t="shared" si="23"/>
        <v>1052625</v>
      </c>
      <c r="D1486" s="28">
        <f>C1486/SUM(Data!$J$2:$J$2379)</f>
        <v>0.86323474900688535</v>
      </c>
    </row>
    <row r="1487" spans="1:4" x14ac:dyDescent="0.3">
      <c r="A1487" s="25">
        <v>1486</v>
      </c>
      <c r="B1487" s="25">
        <f>LARGE(Data!$J$2:$J$2379,A1487)</f>
        <v>300</v>
      </c>
      <c r="C1487" s="25">
        <f t="shared" si="23"/>
        <v>1052925</v>
      </c>
      <c r="D1487" s="28">
        <f>C1487/SUM(Data!$J$2:$J$2379)</f>
        <v>0.86348077244799881</v>
      </c>
    </row>
    <row r="1488" spans="1:4" x14ac:dyDescent="0.3">
      <c r="A1488" s="25">
        <v>1487</v>
      </c>
      <c r="B1488" s="25">
        <f>LARGE(Data!$J$2:$J$2379,A1488)</f>
        <v>300</v>
      </c>
      <c r="C1488" s="25">
        <f t="shared" si="23"/>
        <v>1053225</v>
      </c>
      <c r="D1488" s="28">
        <f>C1488/SUM(Data!$J$2:$J$2379)</f>
        <v>0.86372679588911228</v>
      </c>
    </row>
    <row r="1489" spans="1:4" x14ac:dyDescent="0.3">
      <c r="A1489" s="25">
        <v>1488</v>
      </c>
      <c r="B1489" s="25">
        <f>LARGE(Data!$J$2:$J$2379,A1489)</f>
        <v>300</v>
      </c>
      <c r="C1489" s="25">
        <f t="shared" si="23"/>
        <v>1053525</v>
      </c>
      <c r="D1489" s="28">
        <f>C1489/SUM(Data!$J$2:$J$2379)</f>
        <v>0.86397281933022574</v>
      </c>
    </row>
    <row r="1490" spans="1:4" x14ac:dyDescent="0.3">
      <c r="A1490" s="25">
        <v>1489</v>
      </c>
      <c r="B1490" s="25">
        <f>LARGE(Data!$J$2:$J$2379,A1490)</f>
        <v>300</v>
      </c>
      <c r="C1490" s="25">
        <f t="shared" si="23"/>
        <v>1053825</v>
      </c>
      <c r="D1490" s="28">
        <f>C1490/SUM(Data!$J$2:$J$2379)</f>
        <v>0.8642188427713392</v>
      </c>
    </row>
    <row r="1491" spans="1:4" x14ac:dyDescent="0.3">
      <c r="A1491" s="25">
        <v>1490</v>
      </c>
      <c r="B1491" s="25">
        <f>LARGE(Data!$J$2:$J$2379,A1491)</f>
        <v>300</v>
      </c>
      <c r="C1491" s="25">
        <f t="shared" si="23"/>
        <v>1054125</v>
      </c>
      <c r="D1491" s="28">
        <f>C1491/SUM(Data!$J$2:$J$2379)</f>
        <v>0.86446486621245278</v>
      </c>
    </row>
    <row r="1492" spans="1:4" x14ac:dyDescent="0.3">
      <c r="A1492" s="25">
        <v>1491</v>
      </c>
      <c r="B1492" s="25">
        <f>LARGE(Data!$J$2:$J$2379,A1492)</f>
        <v>300</v>
      </c>
      <c r="C1492" s="25">
        <f t="shared" si="23"/>
        <v>1054425</v>
      </c>
      <c r="D1492" s="28">
        <f>C1492/SUM(Data!$J$2:$J$2379)</f>
        <v>0.86471088965356624</v>
      </c>
    </row>
    <row r="1493" spans="1:4" x14ac:dyDescent="0.3">
      <c r="A1493" s="25">
        <v>1492</v>
      </c>
      <c r="B1493" s="25">
        <f>LARGE(Data!$J$2:$J$2379,A1493)</f>
        <v>300</v>
      </c>
      <c r="C1493" s="25">
        <f t="shared" si="23"/>
        <v>1054725</v>
      </c>
      <c r="D1493" s="28">
        <f>C1493/SUM(Data!$J$2:$J$2379)</f>
        <v>0.8649569130946797</v>
      </c>
    </row>
    <row r="1494" spans="1:4" x14ac:dyDescent="0.3">
      <c r="A1494" s="25">
        <v>1493</v>
      </c>
      <c r="B1494" s="25">
        <f>LARGE(Data!$J$2:$J$2379,A1494)</f>
        <v>300</v>
      </c>
      <c r="C1494" s="25">
        <f t="shared" si="23"/>
        <v>1055025</v>
      </c>
      <c r="D1494" s="28">
        <f>C1494/SUM(Data!$J$2:$J$2379)</f>
        <v>0.86520293653579317</v>
      </c>
    </row>
    <row r="1495" spans="1:4" x14ac:dyDescent="0.3">
      <c r="A1495" s="25">
        <v>1494</v>
      </c>
      <c r="B1495" s="25">
        <f>LARGE(Data!$J$2:$J$2379,A1495)</f>
        <v>300</v>
      </c>
      <c r="C1495" s="25">
        <f t="shared" si="23"/>
        <v>1055325</v>
      </c>
      <c r="D1495" s="28">
        <f>C1495/SUM(Data!$J$2:$J$2379)</f>
        <v>0.86544895997690663</v>
      </c>
    </row>
    <row r="1496" spans="1:4" x14ac:dyDescent="0.3">
      <c r="A1496" s="25">
        <v>1495</v>
      </c>
      <c r="B1496" s="25">
        <f>LARGE(Data!$J$2:$J$2379,A1496)</f>
        <v>300</v>
      </c>
      <c r="C1496" s="25">
        <f t="shared" si="23"/>
        <v>1055625</v>
      </c>
      <c r="D1496" s="28">
        <f>C1496/SUM(Data!$J$2:$J$2379)</f>
        <v>0.86569498341802009</v>
      </c>
    </row>
    <row r="1497" spans="1:4" x14ac:dyDescent="0.3">
      <c r="A1497" s="25">
        <v>1496</v>
      </c>
      <c r="B1497" s="25">
        <f>LARGE(Data!$J$2:$J$2379,A1497)</f>
        <v>300</v>
      </c>
      <c r="C1497" s="25">
        <f t="shared" si="23"/>
        <v>1055925</v>
      </c>
      <c r="D1497" s="28">
        <f>C1497/SUM(Data!$J$2:$J$2379)</f>
        <v>0.86594100685913356</v>
      </c>
    </row>
    <row r="1498" spans="1:4" x14ac:dyDescent="0.3">
      <c r="A1498" s="25">
        <v>1497</v>
      </c>
      <c r="B1498" s="25">
        <f>LARGE(Data!$J$2:$J$2379,A1498)</f>
        <v>300</v>
      </c>
      <c r="C1498" s="25">
        <f t="shared" si="23"/>
        <v>1056225</v>
      </c>
      <c r="D1498" s="28">
        <f>C1498/SUM(Data!$J$2:$J$2379)</f>
        <v>0.86618703030024702</v>
      </c>
    </row>
    <row r="1499" spans="1:4" x14ac:dyDescent="0.3">
      <c r="A1499" s="25">
        <v>1498</v>
      </c>
      <c r="B1499" s="25">
        <f>LARGE(Data!$J$2:$J$2379,A1499)</f>
        <v>300</v>
      </c>
      <c r="C1499" s="25">
        <f t="shared" si="23"/>
        <v>1056525</v>
      </c>
      <c r="D1499" s="28">
        <f>C1499/SUM(Data!$J$2:$J$2379)</f>
        <v>0.86643305374136048</v>
      </c>
    </row>
    <row r="1500" spans="1:4" x14ac:dyDescent="0.3">
      <c r="A1500" s="25">
        <v>1499</v>
      </c>
      <c r="B1500" s="25">
        <f>LARGE(Data!$J$2:$J$2379,A1500)</f>
        <v>300</v>
      </c>
      <c r="C1500" s="25">
        <f t="shared" si="23"/>
        <v>1056825</v>
      </c>
      <c r="D1500" s="28">
        <f>C1500/SUM(Data!$J$2:$J$2379)</f>
        <v>0.86667907718247394</v>
      </c>
    </row>
    <row r="1501" spans="1:4" x14ac:dyDescent="0.3">
      <c r="A1501" s="25">
        <v>1500</v>
      </c>
      <c r="B1501" s="25">
        <f>LARGE(Data!$J$2:$J$2379,A1501)</f>
        <v>300</v>
      </c>
      <c r="C1501" s="25">
        <f t="shared" si="23"/>
        <v>1057125</v>
      </c>
      <c r="D1501" s="28">
        <f>C1501/SUM(Data!$J$2:$J$2379)</f>
        <v>0.86692510062358741</v>
      </c>
    </row>
    <row r="1502" spans="1:4" x14ac:dyDescent="0.3">
      <c r="A1502" s="25">
        <v>1501</v>
      </c>
      <c r="B1502" s="25">
        <f>LARGE(Data!$J$2:$J$2379,A1502)</f>
        <v>300</v>
      </c>
      <c r="C1502" s="25">
        <f t="shared" si="23"/>
        <v>1057425</v>
      </c>
      <c r="D1502" s="28">
        <f>C1502/SUM(Data!$J$2:$J$2379)</f>
        <v>0.86717112406470087</v>
      </c>
    </row>
    <row r="1503" spans="1:4" x14ac:dyDescent="0.3">
      <c r="A1503" s="25">
        <v>1502</v>
      </c>
      <c r="B1503" s="25">
        <f>LARGE(Data!$J$2:$J$2379,A1503)</f>
        <v>300</v>
      </c>
      <c r="C1503" s="25">
        <f t="shared" si="23"/>
        <v>1057725</v>
      </c>
      <c r="D1503" s="28">
        <f>C1503/SUM(Data!$J$2:$J$2379)</f>
        <v>0.86741714750581433</v>
      </c>
    </row>
    <row r="1504" spans="1:4" x14ac:dyDescent="0.3">
      <c r="A1504" s="25">
        <v>1503</v>
      </c>
      <c r="B1504" s="25">
        <f>LARGE(Data!$J$2:$J$2379,A1504)</f>
        <v>300</v>
      </c>
      <c r="C1504" s="25">
        <f t="shared" si="23"/>
        <v>1058025</v>
      </c>
      <c r="D1504" s="28">
        <f>C1504/SUM(Data!$J$2:$J$2379)</f>
        <v>0.8676631709469278</v>
      </c>
    </row>
    <row r="1505" spans="1:4" x14ac:dyDescent="0.3">
      <c r="A1505" s="25">
        <v>1504</v>
      </c>
      <c r="B1505" s="25">
        <f>LARGE(Data!$J$2:$J$2379,A1505)</f>
        <v>300</v>
      </c>
      <c r="C1505" s="25">
        <f t="shared" si="23"/>
        <v>1058325</v>
      </c>
      <c r="D1505" s="28">
        <f>C1505/SUM(Data!$J$2:$J$2379)</f>
        <v>0.86790919438804126</v>
      </c>
    </row>
    <row r="1506" spans="1:4" x14ac:dyDescent="0.3">
      <c r="A1506" s="25">
        <v>1505</v>
      </c>
      <c r="B1506" s="25">
        <f>LARGE(Data!$J$2:$J$2379,A1506)</f>
        <v>300</v>
      </c>
      <c r="C1506" s="25">
        <f t="shared" si="23"/>
        <v>1058625</v>
      </c>
      <c r="D1506" s="28">
        <f>C1506/SUM(Data!$J$2:$J$2379)</f>
        <v>0.86815521782915472</v>
      </c>
    </row>
    <row r="1507" spans="1:4" x14ac:dyDescent="0.3">
      <c r="A1507" s="25">
        <v>1506</v>
      </c>
      <c r="B1507" s="25">
        <f>LARGE(Data!$J$2:$J$2379,A1507)</f>
        <v>300</v>
      </c>
      <c r="C1507" s="25">
        <f t="shared" si="23"/>
        <v>1058925</v>
      </c>
      <c r="D1507" s="28">
        <f>C1507/SUM(Data!$J$2:$J$2379)</f>
        <v>0.86840124127026819</v>
      </c>
    </row>
    <row r="1508" spans="1:4" x14ac:dyDescent="0.3">
      <c r="A1508" s="25">
        <v>1507</v>
      </c>
      <c r="B1508" s="25">
        <f>LARGE(Data!$J$2:$J$2379,A1508)</f>
        <v>300</v>
      </c>
      <c r="C1508" s="25">
        <f t="shared" si="23"/>
        <v>1059225</v>
      </c>
      <c r="D1508" s="28">
        <f>C1508/SUM(Data!$J$2:$J$2379)</f>
        <v>0.86864726471138165</v>
      </c>
    </row>
    <row r="1509" spans="1:4" x14ac:dyDescent="0.3">
      <c r="A1509" s="25">
        <v>1508</v>
      </c>
      <c r="B1509" s="25">
        <f>LARGE(Data!$J$2:$J$2379,A1509)</f>
        <v>300</v>
      </c>
      <c r="C1509" s="25">
        <f t="shared" si="23"/>
        <v>1059525</v>
      </c>
      <c r="D1509" s="28">
        <f>C1509/SUM(Data!$J$2:$J$2379)</f>
        <v>0.86889328815249522</v>
      </c>
    </row>
    <row r="1510" spans="1:4" x14ac:dyDescent="0.3">
      <c r="A1510" s="25">
        <v>1509</v>
      </c>
      <c r="B1510" s="25">
        <f>LARGE(Data!$J$2:$J$2379,A1510)</f>
        <v>300</v>
      </c>
      <c r="C1510" s="25">
        <f t="shared" si="23"/>
        <v>1059825</v>
      </c>
      <c r="D1510" s="28">
        <f>C1510/SUM(Data!$J$2:$J$2379)</f>
        <v>0.86913931159360869</v>
      </c>
    </row>
    <row r="1511" spans="1:4" x14ac:dyDescent="0.3">
      <c r="A1511" s="25">
        <v>1510</v>
      </c>
      <c r="B1511" s="25">
        <f>LARGE(Data!$J$2:$J$2379,A1511)</f>
        <v>300</v>
      </c>
      <c r="C1511" s="25">
        <f t="shared" si="23"/>
        <v>1060125</v>
      </c>
      <c r="D1511" s="28">
        <f>C1511/SUM(Data!$J$2:$J$2379)</f>
        <v>0.86938533503472215</v>
      </c>
    </row>
    <row r="1512" spans="1:4" x14ac:dyDescent="0.3">
      <c r="A1512" s="25">
        <v>1511</v>
      </c>
      <c r="B1512" s="25">
        <f>LARGE(Data!$J$2:$J$2379,A1512)</f>
        <v>300</v>
      </c>
      <c r="C1512" s="25">
        <f t="shared" si="23"/>
        <v>1060425</v>
      </c>
      <c r="D1512" s="28">
        <f>C1512/SUM(Data!$J$2:$J$2379)</f>
        <v>0.86963135847583561</v>
      </c>
    </row>
    <row r="1513" spans="1:4" x14ac:dyDescent="0.3">
      <c r="A1513" s="25">
        <v>1512</v>
      </c>
      <c r="B1513" s="25">
        <f>LARGE(Data!$J$2:$J$2379,A1513)</f>
        <v>300</v>
      </c>
      <c r="C1513" s="25">
        <f t="shared" si="23"/>
        <v>1060725</v>
      </c>
      <c r="D1513" s="28">
        <f>C1513/SUM(Data!$J$2:$J$2379)</f>
        <v>0.86987738191694908</v>
      </c>
    </row>
    <row r="1514" spans="1:4" x14ac:dyDescent="0.3">
      <c r="A1514" s="25">
        <v>1513</v>
      </c>
      <c r="B1514" s="25">
        <f>LARGE(Data!$J$2:$J$2379,A1514)</f>
        <v>300</v>
      </c>
      <c r="C1514" s="25">
        <f t="shared" si="23"/>
        <v>1061025</v>
      </c>
      <c r="D1514" s="28">
        <f>C1514/SUM(Data!$J$2:$J$2379)</f>
        <v>0.87012340535806254</v>
      </c>
    </row>
    <row r="1515" spans="1:4" x14ac:dyDescent="0.3">
      <c r="A1515" s="25">
        <v>1514</v>
      </c>
      <c r="B1515" s="25">
        <f>LARGE(Data!$J$2:$J$2379,A1515)</f>
        <v>300</v>
      </c>
      <c r="C1515" s="25">
        <f t="shared" si="23"/>
        <v>1061325</v>
      </c>
      <c r="D1515" s="28">
        <f>C1515/SUM(Data!$J$2:$J$2379)</f>
        <v>0.870369428799176</v>
      </c>
    </row>
    <row r="1516" spans="1:4" x14ac:dyDescent="0.3">
      <c r="A1516" s="25">
        <v>1515</v>
      </c>
      <c r="B1516" s="25">
        <f>LARGE(Data!$J$2:$J$2379,A1516)</f>
        <v>300</v>
      </c>
      <c r="C1516" s="25">
        <f t="shared" si="23"/>
        <v>1061625</v>
      </c>
      <c r="D1516" s="28">
        <f>C1516/SUM(Data!$J$2:$J$2379)</f>
        <v>0.87061545224028947</v>
      </c>
    </row>
    <row r="1517" spans="1:4" x14ac:dyDescent="0.3">
      <c r="A1517" s="25">
        <v>1516</v>
      </c>
      <c r="B1517" s="25">
        <f>LARGE(Data!$J$2:$J$2379,A1517)</f>
        <v>300</v>
      </c>
      <c r="C1517" s="25">
        <f t="shared" si="23"/>
        <v>1061925</v>
      </c>
      <c r="D1517" s="28">
        <f>C1517/SUM(Data!$J$2:$J$2379)</f>
        <v>0.87086147568140293</v>
      </c>
    </row>
    <row r="1518" spans="1:4" x14ac:dyDescent="0.3">
      <c r="A1518" s="25">
        <v>1517</v>
      </c>
      <c r="B1518" s="25">
        <f>LARGE(Data!$J$2:$J$2379,A1518)</f>
        <v>300</v>
      </c>
      <c r="C1518" s="25">
        <f t="shared" si="23"/>
        <v>1062225</v>
      </c>
      <c r="D1518" s="28">
        <f>C1518/SUM(Data!$J$2:$J$2379)</f>
        <v>0.87110749912251639</v>
      </c>
    </row>
    <row r="1519" spans="1:4" x14ac:dyDescent="0.3">
      <c r="A1519" s="25">
        <v>1518</v>
      </c>
      <c r="B1519" s="25">
        <f>LARGE(Data!$J$2:$J$2379,A1519)</f>
        <v>300</v>
      </c>
      <c r="C1519" s="25">
        <f t="shared" si="23"/>
        <v>1062525</v>
      </c>
      <c r="D1519" s="28">
        <f>C1519/SUM(Data!$J$2:$J$2379)</f>
        <v>0.87135352256362986</v>
      </c>
    </row>
    <row r="1520" spans="1:4" x14ac:dyDescent="0.3">
      <c r="A1520" s="25">
        <v>1519</v>
      </c>
      <c r="B1520" s="25">
        <f>LARGE(Data!$J$2:$J$2379,A1520)</f>
        <v>300</v>
      </c>
      <c r="C1520" s="25">
        <f t="shared" si="23"/>
        <v>1062825</v>
      </c>
      <c r="D1520" s="28">
        <f>C1520/SUM(Data!$J$2:$J$2379)</f>
        <v>0.87159954600474332</v>
      </c>
    </row>
    <row r="1521" spans="1:4" x14ac:dyDescent="0.3">
      <c r="A1521" s="25">
        <v>1520</v>
      </c>
      <c r="B1521" s="25">
        <f>LARGE(Data!$J$2:$J$2379,A1521)</f>
        <v>300</v>
      </c>
      <c r="C1521" s="25">
        <f t="shared" si="23"/>
        <v>1063125</v>
      </c>
      <c r="D1521" s="28">
        <f>C1521/SUM(Data!$J$2:$J$2379)</f>
        <v>0.87184556944585678</v>
      </c>
    </row>
    <row r="1522" spans="1:4" x14ac:dyDescent="0.3">
      <c r="A1522" s="25">
        <v>1521</v>
      </c>
      <c r="B1522" s="25">
        <f>LARGE(Data!$J$2:$J$2379,A1522)</f>
        <v>300</v>
      </c>
      <c r="C1522" s="25">
        <f t="shared" si="23"/>
        <v>1063425</v>
      </c>
      <c r="D1522" s="28">
        <f>C1522/SUM(Data!$J$2:$J$2379)</f>
        <v>0.87209159288697025</v>
      </c>
    </row>
    <row r="1523" spans="1:4" x14ac:dyDescent="0.3">
      <c r="A1523" s="25">
        <v>1522</v>
      </c>
      <c r="B1523" s="25">
        <f>LARGE(Data!$J$2:$J$2379,A1523)</f>
        <v>300</v>
      </c>
      <c r="C1523" s="25">
        <f t="shared" si="23"/>
        <v>1063725</v>
      </c>
      <c r="D1523" s="28">
        <f>C1523/SUM(Data!$J$2:$J$2379)</f>
        <v>0.87233761632808371</v>
      </c>
    </row>
    <row r="1524" spans="1:4" x14ac:dyDescent="0.3">
      <c r="A1524" s="25">
        <v>1523</v>
      </c>
      <c r="B1524" s="25">
        <f>LARGE(Data!$J$2:$J$2379,A1524)</f>
        <v>300</v>
      </c>
      <c r="C1524" s="25">
        <f t="shared" si="23"/>
        <v>1064025</v>
      </c>
      <c r="D1524" s="28">
        <f>C1524/SUM(Data!$J$2:$J$2379)</f>
        <v>0.87258363976919717</v>
      </c>
    </row>
    <row r="1525" spans="1:4" x14ac:dyDescent="0.3">
      <c r="A1525" s="25">
        <v>1524</v>
      </c>
      <c r="B1525" s="25">
        <f>LARGE(Data!$J$2:$J$2379,A1525)</f>
        <v>300</v>
      </c>
      <c r="C1525" s="25">
        <f t="shared" si="23"/>
        <v>1064325</v>
      </c>
      <c r="D1525" s="28">
        <f>C1525/SUM(Data!$J$2:$J$2379)</f>
        <v>0.87282966321031064</v>
      </c>
    </row>
    <row r="1526" spans="1:4" x14ac:dyDescent="0.3">
      <c r="A1526" s="25">
        <v>1525</v>
      </c>
      <c r="B1526" s="25">
        <f>LARGE(Data!$J$2:$J$2379,A1526)</f>
        <v>300</v>
      </c>
      <c r="C1526" s="25">
        <f t="shared" si="23"/>
        <v>1064625</v>
      </c>
      <c r="D1526" s="28">
        <f>C1526/SUM(Data!$J$2:$J$2379)</f>
        <v>0.8730756866514241</v>
      </c>
    </row>
    <row r="1527" spans="1:4" x14ac:dyDescent="0.3">
      <c r="A1527" s="25">
        <v>1526</v>
      </c>
      <c r="B1527" s="25">
        <f>LARGE(Data!$J$2:$J$2379,A1527)</f>
        <v>300</v>
      </c>
      <c r="C1527" s="25">
        <f t="shared" si="23"/>
        <v>1064925</v>
      </c>
      <c r="D1527" s="28">
        <f>C1527/SUM(Data!$J$2:$J$2379)</f>
        <v>0.87332171009253756</v>
      </c>
    </row>
    <row r="1528" spans="1:4" x14ac:dyDescent="0.3">
      <c r="A1528" s="25">
        <v>1527</v>
      </c>
      <c r="B1528" s="25">
        <f>LARGE(Data!$J$2:$J$2379,A1528)</f>
        <v>300</v>
      </c>
      <c r="C1528" s="25">
        <f t="shared" si="23"/>
        <v>1065225</v>
      </c>
      <c r="D1528" s="28">
        <f>C1528/SUM(Data!$J$2:$J$2379)</f>
        <v>0.87356773353365114</v>
      </c>
    </row>
    <row r="1529" spans="1:4" x14ac:dyDescent="0.3">
      <c r="A1529" s="25">
        <v>1528</v>
      </c>
      <c r="B1529" s="25">
        <f>LARGE(Data!$J$2:$J$2379,A1529)</f>
        <v>300</v>
      </c>
      <c r="C1529" s="25">
        <f t="shared" si="23"/>
        <v>1065525</v>
      </c>
      <c r="D1529" s="28">
        <f>C1529/SUM(Data!$J$2:$J$2379)</f>
        <v>0.8738137569747646</v>
      </c>
    </row>
    <row r="1530" spans="1:4" x14ac:dyDescent="0.3">
      <c r="A1530" s="25">
        <v>1529</v>
      </c>
      <c r="B1530" s="25">
        <f>LARGE(Data!$J$2:$J$2379,A1530)</f>
        <v>300</v>
      </c>
      <c r="C1530" s="25">
        <f t="shared" si="23"/>
        <v>1065825</v>
      </c>
      <c r="D1530" s="28">
        <f>C1530/SUM(Data!$J$2:$J$2379)</f>
        <v>0.87405978041587806</v>
      </c>
    </row>
    <row r="1531" spans="1:4" x14ac:dyDescent="0.3">
      <c r="A1531" s="25">
        <v>1530</v>
      </c>
      <c r="B1531" s="25">
        <f>LARGE(Data!$J$2:$J$2379,A1531)</f>
        <v>300</v>
      </c>
      <c r="C1531" s="25">
        <f t="shared" si="23"/>
        <v>1066125</v>
      </c>
      <c r="D1531" s="28">
        <f>C1531/SUM(Data!$J$2:$J$2379)</f>
        <v>0.87430580385699153</v>
      </c>
    </row>
    <row r="1532" spans="1:4" x14ac:dyDescent="0.3">
      <c r="A1532" s="25">
        <v>1531</v>
      </c>
      <c r="B1532" s="25">
        <f>LARGE(Data!$J$2:$J$2379,A1532)</f>
        <v>300</v>
      </c>
      <c r="C1532" s="25">
        <f t="shared" si="23"/>
        <v>1066425</v>
      </c>
      <c r="D1532" s="28">
        <f>C1532/SUM(Data!$J$2:$J$2379)</f>
        <v>0.87455182729810499</v>
      </c>
    </row>
    <row r="1533" spans="1:4" x14ac:dyDescent="0.3">
      <c r="A1533" s="25">
        <v>1532</v>
      </c>
      <c r="B1533" s="25">
        <f>LARGE(Data!$J$2:$J$2379,A1533)</f>
        <v>300</v>
      </c>
      <c r="C1533" s="25">
        <f t="shared" si="23"/>
        <v>1066725</v>
      </c>
      <c r="D1533" s="28">
        <f>C1533/SUM(Data!$J$2:$J$2379)</f>
        <v>0.87479785073921845</v>
      </c>
    </row>
    <row r="1534" spans="1:4" x14ac:dyDescent="0.3">
      <c r="A1534" s="25">
        <v>1533</v>
      </c>
      <c r="B1534" s="25">
        <f>LARGE(Data!$J$2:$J$2379,A1534)</f>
        <v>300</v>
      </c>
      <c r="C1534" s="25">
        <f t="shared" si="23"/>
        <v>1067025</v>
      </c>
      <c r="D1534" s="28">
        <f>C1534/SUM(Data!$J$2:$J$2379)</f>
        <v>0.87504387418033192</v>
      </c>
    </row>
    <row r="1535" spans="1:4" x14ac:dyDescent="0.3">
      <c r="A1535" s="25">
        <v>1534</v>
      </c>
      <c r="B1535" s="25">
        <f>LARGE(Data!$J$2:$J$2379,A1535)</f>
        <v>300</v>
      </c>
      <c r="C1535" s="25">
        <f t="shared" si="23"/>
        <v>1067325</v>
      </c>
      <c r="D1535" s="28">
        <f>C1535/SUM(Data!$J$2:$J$2379)</f>
        <v>0.87528989762144538</v>
      </c>
    </row>
    <row r="1536" spans="1:4" x14ac:dyDescent="0.3">
      <c r="A1536" s="25">
        <v>1535</v>
      </c>
      <c r="B1536" s="25">
        <f>LARGE(Data!$J$2:$J$2379,A1536)</f>
        <v>300</v>
      </c>
      <c r="C1536" s="25">
        <f t="shared" si="23"/>
        <v>1067625</v>
      </c>
      <c r="D1536" s="28">
        <f>C1536/SUM(Data!$J$2:$J$2379)</f>
        <v>0.87553592106255884</v>
      </c>
    </row>
    <row r="1537" spans="1:4" x14ac:dyDescent="0.3">
      <c r="A1537" s="25">
        <v>1536</v>
      </c>
      <c r="B1537" s="25">
        <f>LARGE(Data!$J$2:$J$2379,A1537)</f>
        <v>300</v>
      </c>
      <c r="C1537" s="25">
        <f t="shared" si="23"/>
        <v>1067925</v>
      </c>
      <c r="D1537" s="28">
        <f>C1537/SUM(Data!$J$2:$J$2379)</f>
        <v>0.8757819445036723</v>
      </c>
    </row>
    <row r="1538" spans="1:4" x14ac:dyDescent="0.3">
      <c r="A1538" s="25">
        <v>1537</v>
      </c>
      <c r="B1538" s="25">
        <f>LARGE(Data!$J$2:$J$2379,A1538)</f>
        <v>300</v>
      </c>
      <c r="C1538" s="25">
        <f t="shared" si="23"/>
        <v>1068225</v>
      </c>
      <c r="D1538" s="28">
        <f>C1538/SUM(Data!$J$2:$J$2379)</f>
        <v>0.87602796794478577</v>
      </c>
    </row>
    <row r="1539" spans="1:4" x14ac:dyDescent="0.3">
      <c r="A1539" s="25">
        <v>1538</v>
      </c>
      <c r="B1539" s="25">
        <f>LARGE(Data!$J$2:$J$2379,A1539)</f>
        <v>300</v>
      </c>
      <c r="C1539" s="25">
        <f t="shared" ref="C1539:C1602" si="24">C1538+B1539</f>
        <v>1068525</v>
      </c>
      <c r="D1539" s="28">
        <f>C1539/SUM(Data!$J$2:$J$2379)</f>
        <v>0.87627399138589923</v>
      </c>
    </row>
    <row r="1540" spans="1:4" x14ac:dyDescent="0.3">
      <c r="A1540" s="25">
        <v>1539</v>
      </c>
      <c r="B1540" s="25">
        <f>LARGE(Data!$J$2:$J$2379,A1540)</f>
        <v>300</v>
      </c>
      <c r="C1540" s="25">
        <f t="shared" si="24"/>
        <v>1068825</v>
      </c>
      <c r="D1540" s="28">
        <f>C1540/SUM(Data!$J$2:$J$2379)</f>
        <v>0.87652001482701269</v>
      </c>
    </row>
    <row r="1541" spans="1:4" x14ac:dyDescent="0.3">
      <c r="A1541" s="25">
        <v>1540</v>
      </c>
      <c r="B1541" s="25">
        <f>LARGE(Data!$J$2:$J$2379,A1541)</f>
        <v>300</v>
      </c>
      <c r="C1541" s="25">
        <f t="shared" si="24"/>
        <v>1069125</v>
      </c>
      <c r="D1541" s="28">
        <f>C1541/SUM(Data!$J$2:$J$2379)</f>
        <v>0.87676603826812616</v>
      </c>
    </row>
    <row r="1542" spans="1:4" x14ac:dyDescent="0.3">
      <c r="A1542" s="25">
        <v>1541</v>
      </c>
      <c r="B1542" s="25">
        <f>LARGE(Data!$J$2:$J$2379,A1542)</f>
        <v>300</v>
      </c>
      <c r="C1542" s="25">
        <f t="shared" si="24"/>
        <v>1069425</v>
      </c>
      <c r="D1542" s="28">
        <f>C1542/SUM(Data!$J$2:$J$2379)</f>
        <v>0.87701206170923962</v>
      </c>
    </row>
    <row r="1543" spans="1:4" x14ac:dyDescent="0.3">
      <c r="A1543" s="25">
        <v>1542</v>
      </c>
      <c r="B1543" s="25">
        <f>LARGE(Data!$J$2:$J$2379,A1543)</f>
        <v>300</v>
      </c>
      <c r="C1543" s="25">
        <f t="shared" si="24"/>
        <v>1069725</v>
      </c>
      <c r="D1543" s="28">
        <f>C1543/SUM(Data!$J$2:$J$2379)</f>
        <v>0.87725808515035308</v>
      </c>
    </row>
    <row r="1544" spans="1:4" x14ac:dyDescent="0.3">
      <c r="A1544" s="25">
        <v>1543</v>
      </c>
      <c r="B1544" s="25">
        <f>LARGE(Data!$J$2:$J$2379,A1544)</f>
        <v>300</v>
      </c>
      <c r="C1544" s="25">
        <f t="shared" si="24"/>
        <v>1070025</v>
      </c>
      <c r="D1544" s="28">
        <f>C1544/SUM(Data!$J$2:$J$2379)</f>
        <v>0.87750410859146655</v>
      </c>
    </row>
    <row r="1545" spans="1:4" x14ac:dyDescent="0.3">
      <c r="A1545" s="25">
        <v>1544</v>
      </c>
      <c r="B1545" s="25">
        <f>LARGE(Data!$J$2:$J$2379,A1545)</f>
        <v>300</v>
      </c>
      <c r="C1545" s="25">
        <f t="shared" si="24"/>
        <v>1070325</v>
      </c>
      <c r="D1545" s="28">
        <f>C1545/SUM(Data!$J$2:$J$2379)</f>
        <v>0.87775013203258001</v>
      </c>
    </row>
    <row r="1546" spans="1:4" x14ac:dyDescent="0.3">
      <c r="A1546" s="25">
        <v>1545</v>
      </c>
      <c r="B1546" s="25">
        <f>LARGE(Data!$J$2:$J$2379,A1546)</f>
        <v>300</v>
      </c>
      <c r="C1546" s="25">
        <f t="shared" si="24"/>
        <v>1070625</v>
      </c>
      <c r="D1546" s="28">
        <f>C1546/SUM(Data!$J$2:$J$2379)</f>
        <v>0.87799615547369358</v>
      </c>
    </row>
    <row r="1547" spans="1:4" x14ac:dyDescent="0.3">
      <c r="A1547" s="25">
        <v>1546</v>
      </c>
      <c r="B1547" s="25">
        <f>LARGE(Data!$J$2:$J$2379,A1547)</f>
        <v>300</v>
      </c>
      <c r="C1547" s="25">
        <f t="shared" si="24"/>
        <v>1070925</v>
      </c>
      <c r="D1547" s="28">
        <f>C1547/SUM(Data!$J$2:$J$2379)</f>
        <v>0.87824217891480705</v>
      </c>
    </row>
    <row r="1548" spans="1:4" x14ac:dyDescent="0.3">
      <c r="A1548" s="25">
        <v>1547</v>
      </c>
      <c r="B1548" s="25">
        <f>LARGE(Data!$J$2:$J$2379,A1548)</f>
        <v>300</v>
      </c>
      <c r="C1548" s="25">
        <f t="shared" si="24"/>
        <v>1071225</v>
      </c>
      <c r="D1548" s="28">
        <f>C1548/SUM(Data!$J$2:$J$2379)</f>
        <v>0.87848820235592051</v>
      </c>
    </row>
    <row r="1549" spans="1:4" x14ac:dyDescent="0.3">
      <c r="A1549" s="25">
        <v>1548</v>
      </c>
      <c r="B1549" s="25">
        <f>LARGE(Data!$J$2:$J$2379,A1549)</f>
        <v>300</v>
      </c>
      <c r="C1549" s="25">
        <f t="shared" si="24"/>
        <v>1071525</v>
      </c>
      <c r="D1549" s="28">
        <f>C1549/SUM(Data!$J$2:$J$2379)</f>
        <v>0.87873422579703397</v>
      </c>
    </row>
    <row r="1550" spans="1:4" x14ac:dyDescent="0.3">
      <c r="A1550" s="25">
        <v>1549</v>
      </c>
      <c r="B1550" s="25">
        <f>LARGE(Data!$J$2:$J$2379,A1550)</f>
        <v>300</v>
      </c>
      <c r="C1550" s="25">
        <f t="shared" si="24"/>
        <v>1071825</v>
      </c>
      <c r="D1550" s="28">
        <f>C1550/SUM(Data!$J$2:$J$2379)</f>
        <v>0.87898024923814744</v>
      </c>
    </row>
    <row r="1551" spans="1:4" x14ac:dyDescent="0.3">
      <c r="A1551" s="25">
        <v>1550</v>
      </c>
      <c r="B1551" s="25">
        <f>LARGE(Data!$J$2:$J$2379,A1551)</f>
        <v>300</v>
      </c>
      <c r="C1551" s="25">
        <f t="shared" si="24"/>
        <v>1072125</v>
      </c>
      <c r="D1551" s="28">
        <f>C1551/SUM(Data!$J$2:$J$2379)</f>
        <v>0.8792262726792609</v>
      </c>
    </row>
    <row r="1552" spans="1:4" x14ac:dyDescent="0.3">
      <c r="A1552" s="25">
        <v>1551</v>
      </c>
      <c r="B1552" s="25">
        <f>LARGE(Data!$J$2:$J$2379,A1552)</f>
        <v>300</v>
      </c>
      <c r="C1552" s="25">
        <f t="shared" si="24"/>
        <v>1072425</v>
      </c>
      <c r="D1552" s="28">
        <f>C1552/SUM(Data!$J$2:$J$2379)</f>
        <v>0.87947229612037436</v>
      </c>
    </row>
    <row r="1553" spans="1:4" x14ac:dyDescent="0.3">
      <c r="A1553" s="25">
        <v>1552</v>
      </c>
      <c r="B1553" s="25">
        <f>LARGE(Data!$J$2:$J$2379,A1553)</f>
        <v>300</v>
      </c>
      <c r="C1553" s="25">
        <f t="shared" si="24"/>
        <v>1072725</v>
      </c>
      <c r="D1553" s="28">
        <f>C1553/SUM(Data!$J$2:$J$2379)</f>
        <v>0.87971831956148783</v>
      </c>
    </row>
    <row r="1554" spans="1:4" x14ac:dyDescent="0.3">
      <c r="A1554" s="25">
        <v>1553</v>
      </c>
      <c r="B1554" s="25">
        <f>LARGE(Data!$J$2:$J$2379,A1554)</f>
        <v>300</v>
      </c>
      <c r="C1554" s="25">
        <f t="shared" si="24"/>
        <v>1073025</v>
      </c>
      <c r="D1554" s="28">
        <f>C1554/SUM(Data!$J$2:$J$2379)</f>
        <v>0.87996434300260129</v>
      </c>
    </row>
    <row r="1555" spans="1:4" x14ac:dyDescent="0.3">
      <c r="A1555" s="25">
        <v>1554</v>
      </c>
      <c r="B1555" s="25">
        <f>LARGE(Data!$J$2:$J$2379,A1555)</f>
        <v>300</v>
      </c>
      <c r="C1555" s="25">
        <f t="shared" si="24"/>
        <v>1073325</v>
      </c>
      <c r="D1555" s="28">
        <f>C1555/SUM(Data!$J$2:$J$2379)</f>
        <v>0.88021036644371475</v>
      </c>
    </row>
    <row r="1556" spans="1:4" x14ac:dyDescent="0.3">
      <c r="A1556" s="25">
        <v>1555</v>
      </c>
      <c r="B1556" s="25">
        <f>LARGE(Data!$J$2:$J$2379,A1556)</f>
        <v>300</v>
      </c>
      <c r="C1556" s="25">
        <f t="shared" si="24"/>
        <v>1073625</v>
      </c>
      <c r="D1556" s="28">
        <f>C1556/SUM(Data!$J$2:$J$2379)</f>
        <v>0.88045638988482822</v>
      </c>
    </row>
    <row r="1557" spans="1:4" x14ac:dyDescent="0.3">
      <c r="A1557" s="25">
        <v>1556</v>
      </c>
      <c r="B1557" s="25">
        <f>LARGE(Data!$J$2:$J$2379,A1557)</f>
        <v>300</v>
      </c>
      <c r="C1557" s="25">
        <f t="shared" si="24"/>
        <v>1073925</v>
      </c>
      <c r="D1557" s="28">
        <f>C1557/SUM(Data!$J$2:$J$2379)</f>
        <v>0.88070241332594168</v>
      </c>
    </row>
    <row r="1558" spans="1:4" x14ac:dyDescent="0.3">
      <c r="A1558" s="25">
        <v>1557</v>
      </c>
      <c r="B1558" s="25">
        <f>LARGE(Data!$J$2:$J$2379,A1558)</f>
        <v>300</v>
      </c>
      <c r="C1558" s="25">
        <f t="shared" si="24"/>
        <v>1074225</v>
      </c>
      <c r="D1558" s="28">
        <f>C1558/SUM(Data!$J$2:$J$2379)</f>
        <v>0.88094843676705514</v>
      </c>
    </row>
    <row r="1559" spans="1:4" x14ac:dyDescent="0.3">
      <c r="A1559" s="25">
        <v>1558</v>
      </c>
      <c r="B1559" s="25">
        <f>LARGE(Data!$J$2:$J$2379,A1559)</f>
        <v>300</v>
      </c>
      <c r="C1559" s="25">
        <f t="shared" si="24"/>
        <v>1074525</v>
      </c>
      <c r="D1559" s="28">
        <f>C1559/SUM(Data!$J$2:$J$2379)</f>
        <v>0.88119446020816861</v>
      </c>
    </row>
    <row r="1560" spans="1:4" x14ac:dyDescent="0.3">
      <c r="A1560" s="25">
        <v>1559</v>
      </c>
      <c r="B1560" s="25">
        <f>LARGE(Data!$J$2:$J$2379,A1560)</f>
        <v>300</v>
      </c>
      <c r="C1560" s="25">
        <f t="shared" si="24"/>
        <v>1074825</v>
      </c>
      <c r="D1560" s="28">
        <f>C1560/SUM(Data!$J$2:$J$2379)</f>
        <v>0.88144048364928207</v>
      </c>
    </row>
    <row r="1561" spans="1:4" x14ac:dyDescent="0.3">
      <c r="A1561" s="25">
        <v>1560</v>
      </c>
      <c r="B1561" s="25">
        <f>LARGE(Data!$J$2:$J$2379,A1561)</f>
        <v>300</v>
      </c>
      <c r="C1561" s="25">
        <f t="shared" si="24"/>
        <v>1075125</v>
      </c>
      <c r="D1561" s="28">
        <f>C1561/SUM(Data!$J$2:$J$2379)</f>
        <v>0.88168650709039553</v>
      </c>
    </row>
    <row r="1562" spans="1:4" x14ac:dyDescent="0.3">
      <c r="A1562" s="25">
        <v>1561</v>
      </c>
      <c r="B1562" s="25">
        <f>LARGE(Data!$J$2:$J$2379,A1562)</f>
        <v>300</v>
      </c>
      <c r="C1562" s="25">
        <f t="shared" si="24"/>
        <v>1075425</v>
      </c>
      <c r="D1562" s="28">
        <f>C1562/SUM(Data!$J$2:$J$2379)</f>
        <v>0.881932530531509</v>
      </c>
    </row>
    <row r="1563" spans="1:4" x14ac:dyDescent="0.3">
      <c r="A1563" s="25">
        <v>1562</v>
      </c>
      <c r="B1563" s="25">
        <f>LARGE(Data!$J$2:$J$2379,A1563)</f>
        <v>300</v>
      </c>
      <c r="C1563" s="25">
        <f t="shared" si="24"/>
        <v>1075725</v>
      </c>
      <c r="D1563" s="28">
        <f>C1563/SUM(Data!$J$2:$J$2379)</f>
        <v>0.88217855397262246</v>
      </c>
    </row>
    <row r="1564" spans="1:4" x14ac:dyDescent="0.3">
      <c r="A1564" s="25">
        <v>1563</v>
      </c>
      <c r="B1564" s="25">
        <f>LARGE(Data!$J$2:$J$2379,A1564)</f>
        <v>300</v>
      </c>
      <c r="C1564" s="25">
        <f t="shared" si="24"/>
        <v>1076025</v>
      </c>
      <c r="D1564" s="28">
        <f>C1564/SUM(Data!$J$2:$J$2379)</f>
        <v>0.88242457741373603</v>
      </c>
    </row>
    <row r="1565" spans="1:4" x14ac:dyDescent="0.3">
      <c r="A1565" s="25">
        <v>1564</v>
      </c>
      <c r="B1565" s="25">
        <f>LARGE(Data!$J$2:$J$2379,A1565)</f>
        <v>300</v>
      </c>
      <c r="C1565" s="25">
        <f t="shared" si="24"/>
        <v>1076325</v>
      </c>
      <c r="D1565" s="28">
        <f>C1565/SUM(Data!$J$2:$J$2379)</f>
        <v>0.8826706008548495</v>
      </c>
    </row>
    <row r="1566" spans="1:4" x14ac:dyDescent="0.3">
      <c r="A1566" s="25">
        <v>1565</v>
      </c>
      <c r="B1566" s="25">
        <f>LARGE(Data!$J$2:$J$2379,A1566)</f>
        <v>300</v>
      </c>
      <c r="C1566" s="25">
        <f t="shared" si="24"/>
        <v>1076625</v>
      </c>
      <c r="D1566" s="28">
        <f>C1566/SUM(Data!$J$2:$J$2379)</f>
        <v>0.88291662429596296</v>
      </c>
    </row>
    <row r="1567" spans="1:4" x14ac:dyDescent="0.3">
      <c r="A1567" s="25">
        <v>1566</v>
      </c>
      <c r="B1567" s="25">
        <f>LARGE(Data!$J$2:$J$2379,A1567)</f>
        <v>300</v>
      </c>
      <c r="C1567" s="25">
        <f t="shared" si="24"/>
        <v>1076925</v>
      </c>
      <c r="D1567" s="28">
        <f>C1567/SUM(Data!$J$2:$J$2379)</f>
        <v>0.88316264773707642</v>
      </c>
    </row>
    <row r="1568" spans="1:4" x14ac:dyDescent="0.3">
      <c r="A1568" s="25">
        <v>1567</v>
      </c>
      <c r="B1568" s="25">
        <f>LARGE(Data!$J$2:$J$2379,A1568)</f>
        <v>300</v>
      </c>
      <c r="C1568" s="25">
        <f t="shared" si="24"/>
        <v>1077225</v>
      </c>
      <c r="D1568" s="28">
        <f>C1568/SUM(Data!$J$2:$J$2379)</f>
        <v>0.88340867117818989</v>
      </c>
    </row>
    <row r="1569" spans="1:4" x14ac:dyDescent="0.3">
      <c r="A1569" s="25">
        <v>1568</v>
      </c>
      <c r="B1569" s="25">
        <f>LARGE(Data!$J$2:$J$2379,A1569)</f>
        <v>300</v>
      </c>
      <c r="C1569" s="25">
        <f t="shared" si="24"/>
        <v>1077525</v>
      </c>
      <c r="D1569" s="28">
        <f>C1569/SUM(Data!$J$2:$J$2379)</f>
        <v>0.88365469461930335</v>
      </c>
    </row>
    <row r="1570" spans="1:4" x14ac:dyDescent="0.3">
      <c r="A1570" s="25">
        <v>1569</v>
      </c>
      <c r="B1570" s="25">
        <f>LARGE(Data!$J$2:$J$2379,A1570)</f>
        <v>300</v>
      </c>
      <c r="C1570" s="25">
        <f t="shared" si="24"/>
        <v>1077825</v>
      </c>
      <c r="D1570" s="28">
        <f>C1570/SUM(Data!$J$2:$J$2379)</f>
        <v>0.88390071806041681</v>
      </c>
    </row>
    <row r="1571" spans="1:4" x14ac:dyDescent="0.3">
      <c r="A1571" s="25">
        <v>1570</v>
      </c>
      <c r="B1571" s="25">
        <f>LARGE(Data!$J$2:$J$2379,A1571)</f>
        <v>300</v>
      </c>
      <c r="C1571" s="25">
        <f t="shared" si="24"/>
        <v>1078125</v>
      </c>
      <c r="D1571" s="28">
        <f>C1571/SUM(Data!$J$2:$J$2379)</f>
        <v>0.88414674150153028</v>
      </c>
    </row>
    <row r="1572" spans="1:4" x14ac:dyDescent="0.3">
      <c r="A1572" s="25">
        <v>1571</v>
      </c>
      <c r="B1572" s="25">
        <f>LARGE(Data!$J$2:$J$2379,A1572)</f>
        <v>300</v>
      </c>
      <c r="C1572" s="25">
        <f t="shared" si="24"/>
        <v>1078425</v>
      </c>
      <c r="D1572" s="28">
        <f>C1572/SUM(Data!$J$2:$J$2379)</f>
        <v>0.88439276494264374</v>
      </c>
    </row>
    <row r="1573" spans="1:4" x14ac:dyDescent="0.3">
      <c r="A1573" s="25">
        <v>1572</v>
      </c>
      <c r="B1573" s="25">
        <f>LARGE(Data!$J$2:$J$2379,A1573)</f>
        <v>300</v>
      </c>
      <c r="C1573" s="25">
        <f t="shared" si="24"/>
        <v>1078725</v>
      </c>
      <c r="D1573" s="28">
        <f>C1573/SUM(Data!$J$2:$J$2379)</f>
        <v>0.8846387883837572</v>
      </c>
    </row>
    <row r="1574" spans="1:4" x14ac:dyDescent="0.3">
      <c r="A1574" s="25">
        <v>1573</v>
      </c>
      <c r="B1574" s="25">
        <f>LARGE(Data!$J$2:$J$2379,A1574)</f>
        <v>300</v>
      </c>
      <c r="C1574" s="25">
        <f t="shared" si="24"/>
        <v>1079025</v>
      </c>
      <c r="D1574" s="28">
        <f>C1574/SUM(Data!$J$2:$J$2379)</f>
        <v>0.88488481182487067</v>
      </c>
    </row>
    <row r="1575" spans="1:4" x14ac:dyDescent="0.3">
      <c r="A1575" s="25">
        <v>1574</v>
      </c>
      <c r="B1575" s="25">
        <f>LARGE(Data!$J$2:$J$2379,A1575)</f>
        <v>300</v>
      </c>
      <c r="C1575" s="25">
        <f t="shared" si="24"/>
        <v>1079325</v>
      </c>
      <c r="D1575" s="28">
        <f>C1575/SUM(Data!$J$2:$J$2379)</f>
        <v>0.88513083526598413</v>
      </c>
    </row>
    <row r="1576" spans="1:4" x14ac:dyDescent="0.3">
      <c r="A1576" s="25">
        <v>1575</v>
      </c>
      <c r="B1576" s="25">
        <f>LARGE(Data!$J$2:$J$2379,A1576)</f>
        <v>300</v>
      </c>
      <c r="C1576" s="25">
        <f t="shared" si="24"/>
        <v>1079625</v>
      </c>
      <c r="D1576" s="28">
        <f>C1576/SUM(Data!$J$2:$J$2379)</f>
        <v>0.88537685870709759</v>
      </c>
    </row>
    <row r="1577" spans="1:4" x14ac:dyDescent="0.3">
      <c r="A1577" s="25">
        <v>1576</v>
      </c>
      <c r="B1577" s="25">
        <f>LARGE(Data!$J$2:$J$2379,A1577)</f>
        <v>300</v>
      </c>
      <c r="C1577" s="25">
        <f t="shared" si="24"/>
        <v>1079925</v>
      </c>
      <c r="D1577" s="28">
        <f>C1577/SUM(Data!$J$2:$J$2379)</f>
        <v>0.88562288214821105</v>
      </c>
    </row>
    <row r="1578" spans="1:4" x14ac:dyDescent="0.3">
      <c r="A1578" s="25">
        <v>1577</v>
      </c>
      <c r="B1578" s="25">
        <f>LARGE(Data!$J$2:$J$2379,A1578)</f>
        <v>300</v>
      </c>
      <c r="C1578" s="25">
        <f t="shared" si="24"/>
        <v>1080225</v>
      </c>
      <c r="D1578" s="28">
        <f>C1578/SUM(Data!$J$2:$J$2379)</f>
        <v>0.88586890558932452</v>
      </c>
    </row>
    <row r="1579" spans="1:4" x14ac:dyDescent="0.3">
      <c r="A1579" s="25">
        <v>1578</v>
      </c>
      <c r="B1579" s="25">
        <f>LARGE(Data!$J$2:$J$2379,A1579)</f>
        <v>300</v>
      </c>
      <c r="C1579" s="25">
        <f t="shared" si="24"/>
        <v>1080525</v>
      </c>
      <c r="D1579" s="28">
        <f>C1579/SUM(Data!$J$2:$J$2379)</f>
        <v>0.88611492903043798</v>
      </c>
    </row>
    <row r="1580" spans="1:4" x14ac:dyDescent="0.3">
      <c r="A1580" s="25">
        <v>1579</v>
      </c>
      <c r="B1580" s="25">
        <f>LARGE(Data!$J$2:$J$2379,A1580)</f>
        <v>300</v>
      </c>
      <c r="C1580" s="25">
        <f t="shared" si="24"/>
        <v>1080825</v>
      </c>
      <c r="D1580" s="28">
        <f>C1580/SUM(Data!$J$2:$J$2379)</f>
        <v>0.88636095247155144</v>
      </c>
    </row>
    <row r="1581" spans="1:4" x14ac:dyDescent="0.3">
      <c r="A1581" s="25">
        <v>1580</v>
      </c>
      <c r="B1581" s="25">
        <f>LARGE(Data!$J$2:$J$2379,A1581)</f>
        <v>300</v>
      </c>
      <c r="C1581" s="25">
        <f t="shared" si="24"/>
        <v>1081125</v>
      </c>
      <c r="D1581" s="28">
        <f>C1581/SUM(Data!$J$2:$J$2379)</f>
        <v>0.88660697591266491</v>
      </c>
    </row>
    <row r="1582" spans="1:4" x14ac:dyDescent="0.3">
      <c r="A1582" s="25">
        <v>1581</v>
      </c>
      <c r="B1582" s="25">
        <f>LARGE(Data!$J$2:$J$2379,A1582)</f>
        <v>300</v>
      </c>
      <c r="C1582" s="25">
        <f t="shared" si="24"/>
        <v>1081425</v>
      </c>
      <c r="D1582" s="28">
        <f>C1582/SUM(Data!$J$2:$J$2379)</f>
        <v>0.88685299935377848</v>
      </c>
    </row>
    <row r="1583" spans="1:4" x14ac:dyDescent="0.3">
      <c r="A1583" s="25">
        <v>1582</v>
      </c>
      <c r="B1583" s="25">
        <f>LARGE(Data!$J$2:$J$2379,A1583)</f>
        <v>300</v>
      </c>
      <c r="C1583" s="25">
        <f t="shared" si="24"/>
        <v>1081725</v>
      </c>
      <c r="D1583" s="28">
        <f>C1583/SUM(Data!$J$2:$J$2379)</f>
        <v>0.88709902279489194</v>
      </c>
    </row>
    <row r="1584" spans="1:4" x14ac:dyDescent="0.3">
      <c r="A1584" s="25">
        <v>1583</v>
      </c>
      <c r="B1584" s="25">
        <f>LARGE(Data!$J$2:$J$2379,A1584)</f>
        <v>300</v>
      </c>
      <c r="C1584" s="25">
        <f t="shared" si="24"/>
        <v>1082025</v>
      </c>
      <c r="D1584" s="28">
        <f>C1584/SUM(Data!$J$2:$J$2379)</f>
        <v>0.88734504623600541</v>
      </c>
    </row>
    <row r="1585" spans="1:4" x14ac:dyDescent="0.3">
      <c r="A1585" s="25">
        <v>1584</v>
      </c>
      <c r="B1585" s="25">
        <f>LARGE(Data!$J$2:$J$2379,A1585)</f>
        <v>300</v>
      </c>
      <c r="C1585" s="25">
        <f t="shared" si="24"/>
        <v>1082325</v>
      </c>
      <c r="D1585" s="28">
        <f>C1585/SUM(Data!$J$2:$J$2379)</f>
        <v>0.88759106967711887</v>
      </c>
    </row>
    <row r="1586" spans="1:4" x14ac:dyDescent="0.3">
      <c r="A1586" s="25">
        <v>1585</v>
      </c>
      <c r="B1586" s="25">
        <f>LARGE(Data!$J$2:$J$2379,A1586)</f>
        <v>300</v>
      </c>
      <c r="C1586" s="25">
        <f t="shared" si="24"/>
        <v>1082625</v>
      </c>
      <c r="D1586" s="28">
        <f>C1586/SUM(Data!$J$2:$J$2379)</f>
        <v>0.88783709311823233</v>
      </c>
    </row>
    <row r="1587" spans="1:4" x14ac:dyDescent="0.3">
      <c r="A1587" s="25">
        <v>1586</v>
      </c>
      <c r="B1587" s="25">
        <f>LARGE(Data!$J$2:$J$2379,A1587)</f>
        <v>300</v>
      </c>
      <c r="C1587" s="25">
        <f t="shared" si="24"/>
        <v>1082925</v>
      </c>
      <c r="D1587" s="28">
        <f>C1587/SUM(Data!$J$2:$J$2379)</f>
        <v>0.8880831165593458</v>
      </c>
    </row>
    <row r="1588" spans="1:4" x14ac:dyDescent="0.3">
      <c r="A1588" s="25">
        <v>1587</v>
      </c>
      <c r="B1588" s="25">
        <f>LARGE(Data!$J$2:$J$2379,A1588)</f>
        <v>300</v>
      </c>
      <c r="C1588" s="25">
        <f t="shared" si="24"/>
        <v>1083225</v>
      </c>
      <c r="D1588" s="28">
        <f>C1588/SUM(Data!$J$2:$J$2379)</f>
        <v>0.88832914000045926</v>
      </c>
    </row>
    <row r="1589" spans="1:4" x14ac:dyDescent="0.3">
      <c r="A1589" s="25">
        <v>1588</v>
      </c>
      <c r="B1589" s="25">
        <f>LARGE(Data!$J$2:$J$2379,A1589)</f>
        <v>300</v>
      </c>
      <c r="C1589" s="25">
        <f t="shared" si="24"/>
        <v>1083525</v>
      </c>
      <c r="D1589" s="28">
        <f>C1589/SUM(Data!$J$2:$J$2379)</f>
        <v>0.88857516344157272</v>
      </c>
    </row>
    <row r="1590" spans="1:4" x14ac:dyDescent="0.3">
      <c r="A1590" s="25">
        <v>1589</v>
      </c>
      <c r="B1590" s="25">
        <f>LARGE(Data!$J$2:$J$2379,A1590)</f>
        <v>300</v>
      </c>
      <c r="C1590" s="25">
        <f t="shared" si="24"/>
        <v>1083825</v>
      </c>
      <c r="D1590" s="28">
        <f>C1590/SUM(Data!$J$2:$J$2379)</f>
        <v>0.88882118688268619</v>
      </c>
    </row>
    <row r="1591" spans="1:4" x14ac:dyDescent="0.3">
      <c r="A1591" s="25">
        <v>1590</v>
      </c>
      <c r="B1591" s="25">
        <f>LARGE(Data!$J$2:$J$2379,A1591)</f>
        <v>300</v>
      </c>
      <c r="C1591" s="25">
        <f t="shared" si="24"/>
        <v>1084125</v>
      </c>
      <c r="D1591" s="28">
        <f>C1591/SUM(Data!$J$2:$J$2379)</f>
        <v>0.88906721032379965</v>
      </c>
    </row>
    <row r="1592" spans="1:4" x14ac:dyDescent="0.3">
      <c r="A1592" s="25">
        <v>1591</v>
      </c>
      <c r="B1592" s="25">
        <f>LARGE(Data!$J$2:$J$2379,A1592)</f>
        <v>300</v>
      </c>
      <c r="C1592" s="25">
        <f t="shared" si="24"/>
        <v>1084425</v>
      </c>
      <c r="D1592" s="28">
        <f>C1592/SUM(Data!$J$2:$J$2379)</f>
        <v>0.88931323376491311</v>
      </c>
    </row>
    <row r="1593" spans="1:4" x14ac:dyDescent="0.3">
      <c r="A1593" s="25">
        <v>1592</v>
      </c>
      <c r="B1593" s="25">
        <f>LARGE(Data!$J$2:$J$2379,A1593)</f>
        <v>300</v>
      </c>
      <c r="C1593" s="25">
        <f t="shared" si="24"/>
        <v>1084725</v>
      </c>
      <c r="D1593" s="28">
        <f>C1593/SUM(Data!$J$2:$J$2379)</f>
        <v>0.88955925720602658</v>
      </c>
    </row>
    <row r="1594" spans="1:4" x14ac:dyDescent="0.3">
      <c r="A1594" s="25">
        <v>1593</v>
      </c>
      <c r="B1594" s="25">
        <f>LARGE(Data!$J$2:$J$2379,A1594)</f>
        <v>300</v>
      </c>
      <c r="C1594" s="25">
        <f t="shared" si="24"/>
        <v>1085025</v>
      </c>
      <c r="D1594" s="28">
        <f>C1594/SUM(Data!$J$2:$J$2379)</f>
        <v>0.88980528064714004</v>
      </c>
    </row>
    <row r="1595" spans="1:4" x14ac:dyDescent="0.3">
      <c r="A1595" s="25">
        <v>1594</v>
      </c>
      <c r="B1595" s="25">
        <f>LARGE(Data!$J$2:$J$2379,A1595)</f>
        <v>300</v>
      </c>
      <c r="C1595" s="25">
        <f t="shared" si="24"/>
        <v>1085325</v>
      </c>
      <c r="D1595" s="28">
        <f>C1595/SUM(Data!$J$2:$J$2379)</f>
        <v>0.8900513040882535</v>
      </c>
    </row>
    <row r="1596" spans="1:4" x14ac:dyDescent="0.3">
      <c r="A1596" s="25">
        <v>1595</v>
      </c>
      <c r="B1596" s="25">
        <f>LARGE(Data!$J$2:$J$2379,A1596)</f>
        <v>300</v>
      </c>
      <c r="C1596" s="25">
        <f t="shared" si="24"/>
        <v>1085625</v>
      </c>
      <c r="D1596" s="28">
        <f>C1596/SUM(Data!$J$2:$J$2379)</f>
        <v>0.89029732752936697</v>
      </c>
    </row>
    <row r="1597" spans="1:4" x14ac:dyDescent="0.3">
      <c r="A1597" s="25">
        <v>1596</v>
      </c>
      <c r="B1597" s="25">
        <f>LARGE(Data!$J$2:$J$2379,A1597)</f>
        <v>300</v>
      </c>
      <c r="C1597" s="25">
        <f t="shared" si="24"/>
        <v>1085925</v>
      </c>
      <c r="D1597" s="28">
        <f>C1597/SUM(Data!$J$2:$J$2379)</f>
        <v>0.89054335097048043</v>
      </c>
    </row>
    <row r="1598" spans="1:4" x14ac:dyDescent="0.3">
      <c r="A1598" s="25">
        <v>1597</v>
      </c>
      <c r="B1598" s="25">
        <f>LARGE(Data!$J$2:$J$2379,A1598)</f>
        <v>300</v>
      </c>
      <c r="C1598" s="25">
        <f t="shared" si="24"/>
        <v>1086225</v>
      </c>
      <c r="D1598" s="28">
        <f>C1598/SUM(Data!$J$2:$J$2379)</f>
        <v>0.89078937441159389</v>
      </c>
    </row>
    <row r="1599" spans="1:4" x14ac:dyDescent="0.3">
      <c r="A1599" s="25">
        <v>1598</v>
      </c>
      <c r="B1599" s="25">
        <f>LARGE(Data!$J$2:$J$2379,A1599)</f>
        <v>300</v>
      </c>
      <c r="C1599" s="25">
        <f t="shared" si="24"/>
        <v>1086525</v>
      </c>
      <c r="D1599" s="28">
        <f>C1599/SUM(Data!$J$2:$J$2379)</f>
        <v>0.89103539785270736</v>
      </c>
    </row>
    <row r="1600" spans="1:4" x14ac:dyDescent="0.3">
      <c r="A1600" s="25">
        <v>1599</v>
      </c>
      <c r="B1600" s="25">
        <f>LARGE(Data!$J$2:$J$2379,A1600)</f>
        <v>300</v>
      </c>
      <c r="C1600" s="25">
        <f t="shared" si="24"/>
        <v>1086825</v>
      </c>
      <c r="D1600" s="28">
        <f>C1600/SUM(Data!$J$2:$J$2379)</f>
        <v>0.89128142129382093</v>
      </c>
    </row>
    <row r="1601" spans="1:4" x14ac:dyDescent="0.3">
      <c r="A1601" s="25">
        <v>1600</v>
      </c>
      <c r="B1601" s="25">
        <f>LARGE(Data!$J$2:$J$2379,A1601)</f>
        <v>300</v>
      </c>
      <c r="C1601" s="25">
        <f t="shared" si="24"/>
        <v>1087125</v>
      </c>
      <c r="D1601" s="28">
        <f>C1601/SUM(Data!$J$2:$J$2379)</f>
        <v>0.89152744473493439</v>
      </c>
    </row>
    <row r="1602" spans="1:4" x14ac:dyDescent="0.3">
      <c r="A1602" s="25">
        <v>1601</v>
      </c>
      <c r="B1602" s="25">
        <f>LARGE(Data!$J$2:$J$2379,A1602)</f>
        <v>300</v>
      </c>
      <c r="C1602" s="25">
        <f t="shared" si="24"/>
        <v>1087425</v>
      </c>
      <c r="D1602" s="28">
        <f>C1602/SUM(Data!$J$2:$J$2379)</f>
        <v>0.89177346817604786</v>
      </c>
    </row>
    <row r="1603" spans="1:4" x14ac:dyDescent="0.3">
      <c r="A1603" s="25">
        <v>1602</v>
      </c>
      <c r="B1603" s="25">
        <f>LARGE(Data!$J$2:$J$2379,A1603)</f>
        <v>300</v>
      </c>
      <c r="C1603" s="25">
        <f t="shared" ref="C1603:C1666" si="25">C1602+B1603</f>
        <v>1087725</v>
      </c>
      <c r="D1603" s="28">
        <f>C1603/SUM(Data!$J$2:$J$2379)</f>
        <v>0.89201949161716132</v>
      </c>
    </row>
    <row r="1604" spans="1:4" x14ac:dyDescent="0.3">
      <c r="A1604" s="25">
        <v>1603</v>
      </c>
      <c r="B1604" s="25">
        <f>LARGE(Data!$J$2:$J$2379,A1604)</f>
        <v>300</v>
      </c>
      <c r="C1604" s="25">
        <f t="shared" si="25"/>
        <v>1088025</v>
      </c>
      <c r="D1604" s="28">
        <f>C1604/SUM(Data!$J$2:$J$2379)</f>
        <v>0.89226551505827478</v>
      </c>
    </row>
    <row r="1605" spans="1:4" x14ac:dyDescent="0.3">
      <c r="A1605" s="25">
        <v>1604</v>
      </c>
      <c r="B1605" s="25">
        <f>LARGE(Data!$J$2:$J$2379,A1605)</f>
        <v>300</v>
      </c>
      <c r="C1605" s="25">
        <f t="shared" si="25"/>
        <v>1088325</v>
      </c>
      <c r="D1605" s="28">
        <f>C1605/SUM(Data!$J$2:$J$2379)</f>
        <v>0.89251153849938825</v>
      </c>
    </row>
    <row r="1606" spans="1:4" x14ac:dyDescent="0.3">
      <c r="A1606" s="25">
        <v>1605</v>
      </c>
      <c r="B1606" s="25">
        <f>LARGE(Data!$J$2:$J$2379,A1606)</f>
        <v>300</v>
      </c>
      <c r="C1606" s="25">
        <f t="shared" si="25"/>
        <v>1088625</v>
      </c>
      <c r="D1606" s="28">
        <f>C1606/SUM(Data!$J$2:$J$2379)</f>
        <v>0.89275756194050171</v>
      </c>
    </row>
    <row r="1607" spans="1:4" x14ac:dyDescent="0.3">
      <c r="A1607" s="25">
        <v>1606</v>
      </c>
      <c r="B1607" s="25">
        <f>LARGE(Data!$J$2:$J$2379,A1607)</f>
        <v>300</v>
      </c>
      <c r="C1607" s="25">
        <f t="shared" si="25"/>
        <v>1088925</v>
      </c>
      <c r="D1607" s="28">
        <f>C1607/SUM(Data!$J$2:$J$2379)</f>
        <v>0.89300358538161517</v>
      </c>
    </row>
    <row r="1608" spans="1:4" x14ac:dyDescent="0.3">
      <c r="A1608" s="25">
        <v>1607</v>
      </c>
      <c r="B1608" s="25">
        <f>LARGE(Data!$J$2:$J$2379,A1608)</f>
        <v>300</v>
      </c>
      <c r="C1608" s="25">
        <f t="shared" si="25"/>
        <v>1089225</v>
      </c>
      <c r="D1608" s="28">
        <f>C1608/SUM(Data!$J$2:$J$2379)</f>
        <v>0.89324960882272864</v>
      </c>
    </row>
    <row r="1609" spans="1:4" x14ac:dyDescent="0.3">
      <c r="A1609" s="25">
        <v>1608</v>
      </c>
      <c r="B1609" s="25">
        <f>LARGE(Data!$J$2:$J$2379,A1609)</f>
        <v>300</v>
      </c>
      <c r="C1609" s="25">
        <f t="shared" si="25"/>
        <v>1089525</v>
      </c>
      <c r="D1609" s="28">
        <f>C1609/SUM(Data!$J$2:$J$2379)</f>
        <v>0.8934956322638421</v>
      </c>
    </row>
    <row r="1610" spans="1:4" x14ac:dyDescent="0.3">
      <c r="A1610" s="25">
        <v>1609</v>
      </c>
      <c r="B1610" s="25">
        <f>LARGE(Data!$J$2:$J$2379,A1610)</f>
        <v>300</v>
      </c>
      <c r="C1610" s="25">
        <f t="shared" si="25"/>
        <v>1089825</v>
      </c>
      <c r="D1610" s="28">
        <f>C1610/SUM(Data!$J$2:$J$2379)</f>
        <v>0.89374165570495556</v>
      </c>
    </row>
    <row r="1611" spans="1:4" x14ac:dyDescent="0.3">
      <c r="A1611" s="25">
        <v>1610</v>
      </c>
      <c r="B1611" s="25">
        <f>LARGE(Data!$J$2:$J$2379,A1611)</f>
        <v>300</v>
      </c>
      <c r="C1611" s="25">
        <f t="shared" si="25"/>
        <v>1090125</v>
      </c>
      <c r="D1611" s="28">
        <f>C1611/SUM(Data!$J$2:$J$2379)</f>
        <v>0.89398767914606903</v>
      </c>
    </row>
    <row r="1612" spans="1:4" x14ac:dyDescent="0.3">
      <c r="A1612" s="25">
        <v>1611</v>
      </c>
      <c r="B1612" s="25">
        <f>LARGE(Data!$J$2:$J$2379,A1612)</f>
        <v>300</v>
      </c>
      <c r="C1612" s="25">
        <f t="shared" si="25"/>
        <v>1090425</v>
      </c>
      <c r="D1612" s="28">
        <f>C1612/SUM(Data!$J$2:$J$2379)</f>
        <v>0.89423370258718249</v>
      </c>
    </row>
    <row r="1613" spans="1:4" x14ac:dyDescent="0.3">
      <c r="A1613" s="25">
        <v>1612</v>
      </c>
      <c r="B1613" s="25">
        <f>LARGE(Data!$J$2:$J$2379,A1613)</f>
        <v>300</v>
      </c>
      <c r="C1613" s="25">
        <f t="shared" si="25"/>
        <v>1090725</v>
      </c>
      <c r="D1613" s="28">
        <f>C1613/SUM(Data!$J$2:$J$2379)</f>
        <v>0.89447972602829595</v>
      </c>
    </row>
    <row r="1614" spans="1:4" x14ac:dyDescent="0.3">
      <c r="A1614" s="25">
        <v>1613</v>
      </c>
      <c r="B1614" s="25">
        <f>LARGE(Data!$J$2:$J$2379,A1614)</f>
        <v>300</v>
      </c>
      <c r="C1614" s="25">
        <f t="shared" si="25"/>
        <v>1091025</v>
      </c>
      <c r="D1614" s="28">
        <f>C1614/SUM(Data!$J$2:$J$2379)</f>
        <v>0.89472574946940941</v>
      </c>
    </row>
    <row r="1615" spans="1:4" x14ac:dyDescent="0.3">
      <c r="A1615" s="25">
        <v>1614</v>
      </c>
      <c r="B1615" s="25">
        <f>LARGE(Data!$J$2:$J$2379,A1615)</f>
        <v>300</v>
      </c>
      <c r="C1615" s="25">
        <f t="shared" si="25"/>
        <v>1091325</v>
      </c>
      <c r="D1615" s="28">
        <f>C1615/SUM(Data!$J$2:$J$2379)</f>
        <v>0.89497177291052288</v>
      </c>
    </row>
    <row r="1616" spans="1:4" x14ac:dyDescent="0.3">
      <c r="A1616" s="25">
        <v>1615</v>
      </c>
      <c r="B1616" s="25">
        <f>LARGE(Data!$J$2:$J$2379,A1616)</f>
        <v>285</v>
      </c>
      <c r="C1616" s="25">
        <f t="shared" si="25"/>
        <v>1091610</v>
      </c>
      <c r="D1616" s="28">
        <f>C1616/SUM(Data!$J$2:$J$2379)</f>
        <v>0.8952054951795807</v>
      </c>
    </row>
    <row r="1617" spans="1:4" x14ac:dyDescent="0.3">
      <c r="A1617" s="25">
        <v>1616</v>
      </c>
      <c r="B1617" s="25">
        <f>LARGE(Data!$J$2:$J$2379,A1617)</f>
        <v>285</v>
      </c>
      <c r="C1617" s="25">
        <f t="shared" si="25"/>
        <v>1091895</v>
      </c>
      <c r="D1617" s="28">
        <f>C1617/SUM(Data!$J$2:$J$2379)</f>
        <v>0.89543921744863852</v>
      </c>
    </row>
    <row r="1618" spans="1:4" x14ac:dyDescent="0.3">
      <c r="A1618" s="25">
        <v>1617</v>
      </c>
      <c r="B1618" s="25">
        <f>LARGE(Data!$J$2:$J$2379,A1618)</f>
        <v>285</v>
      </c>
      <c r="C1618" s="25">
        <f t="shared" si="25"/>
        <v>1092180</v>
      </c>
      <c r="D1618" s="28">
        <f>C1618/SUM(Data!$J$2:$J$2379)</f>
        <v>0.89567293971769635</v>
      </c>
    </row>
    <row r="1619" spans="1:4" x14ac:dyDescent="0.3">
      <c r="A1619" s="25">
        <v>1618</v>
      </c>
      <c r="B1619" s="25">
        <f>LARGE(Data!$J$2:$J$2379,A1619)</f>
        <v>285</v>
      </c>
      <c r="C1619" s="25">
        <f t="shared" si="25"/>
        <v>1092465</v>
      </c>
      <c r="D1619" s="28">
        <f>C1619/SUM(Data!$J$2:$J$2379)</f>
        <v>0.89590666198675406</v>
      </c>
    </row>
    <row r="1620" spans="1:4" x14ac:dyDescent="0.3">
      <c r="A1620" s="25">
        <v>1619</v>
      </c>
      <c r="B1620" s="25">
        <f>LARGE(Data!$J$2:$J$2379,A1620)</f>
        <v>285</v>
      </c>
      <c r="C1620" s="25">
        <f t="shared" si="25"/>
        <v>1092750</v>
      </c>
      <c r="D1620" s="28">
        <f>C1620/SUM(Data!$J$2:$J$2379)</f>
        <v>0.89614038425581188</v>
      </c>
    </row>
    <row r="1621" spans="1:4" x14ac:dyDescent="0.3">
      <c r="A1621" s="25">
        <v>1620</v>
      </c>
      <c r="B1621" s="25">
        <f>LARGE(Data!$J$2:$J$2379,A1621)</f>
        <v>285</v>
      </c>
      <c r="C1621" s="25">
        <f t="shared" si="25"/>
        <v>1093035</v>
      </c>
      <c r="D1621" s="28">
        <f>C1621/SUM(Data!$J$2:$J$2379)</f>
        <v>0.89637410652486971</v>
      </c>
    </row>
    <row r="1622" spans="1:4" x14ac:dyDescent="0.3">
      <c r="A1622" s="25">
        <v>1621</v>
      </c>
      <c r="B1622" s="25">
        <f>LARGE(Data!$J$2:$J$2379,A1622)</f>
        <v>285</v>
      </c>
      <c r="C1622" s="25">
        <f t="shared" si="25"/>
        <v>1093320</v>
      </c>
      <c r="D1622" s="28">
        <f>C1622/SUM(Data!$J$2:$J$2379)</f>
        <v>0.89660782879392753</v>
      </c>
    </row>
    <row r="1623" spans="1:4" x14ac:dyDescent="0.3">
      <c r="A1623" s="25">
        <v>1622</v>
      </c>
      <c r="B1623" s="25">
        <f>LARGE(Data!$J$2:$J$2379,A1623)</f>
        <v>285</v>
      </c>
      <c r="C1623" s="25">
        <f t="shared" si="25"/>
        <v>1093605</v>
      </c>
      <c r="D1623" s="28">
        <f>C1623/SUM(Data!$J$2:$J$2379)</f>
        <v>0.89684155106298524</v>
      </c>
    </row>
    <row r="1624" spans="1:4" x14ac:dyDescent="0.3">
      <c r="A1624" s="25">
        <v>1623</v>
      </c>
      <c r="B1624" s="25">
        <f>LARGE(Data!$J$2:$J$2379,A1624)</f>
        <v>285</v>
      </c>
      <c r="C1624" s="25">
        <f t="shared" si="25"/>
        <v>1093890</v>
      </c>
      <c r="D1624" s="28">
        <f>C1624/SUM(Data!$J$2:$J$2379)</f>
        <v>0.89707527333204307</v>
      </c>
    </row>
    <row r="1625" spans="1:4" x14ac:dyDescent="0.3">
      <c r="A1625" s="25">
        <v>1624</v>
      </c>
      <c r="B1625" s="25">
        <f>LARGE(Data!$J$2:$J$2379,A1625)</f>
        <v>285</v>
      </c>
      <c r="C1625" s="25">
        <f t="shared" si="25"/>
        <v>1094175</v>
      </c>
      <c r="D1625" s="28">
        <f>C1625/SUM(Data!$J$2:$J$2379)</f>
        <v>0.89730899560110089</v>
      </c>
    </row>
    <row r="1626" spans="1:4" x14ac:dyDescent="0.3">
      <c r="A1626" s="25">
        <v>1625</v>
      </c>
      <c r="B1626" s="25">
        <f>LARGE(Data!$J$2:$J$2379,A1626)</f>
        <v>285</v>
      </c>
      <c r="C1626" s="25">
        <f t="shared" si="25"/>
        <v>1094460</v>
      </c>
      <c r="D1626" s="28">
        <f>C1626/SUM(Data!$J$2:$J$2379)</f>
        <v>0.89754271787015871</v>
      </c>
    </row>
    <row r="1627" spans="1:4" x14ac:dyDescent="0.3">
      <c r="A1627" s="25">
        <v>1626</v>
      </c>
      <c r="B1627" s="25">
        <f>LARGE(Data!$J$2:$J$2379,A1627)</f>
        <v>285</v>
      </c>
      <c r="C1627" s="25">
        <f t="shared" si="25"/>
        <v>1094745</v>
      </c>
      <c r="D1627" s="28">
        <f>C1627/SUM(Data!$J$2:$J$2379)</f>
        <v>0.89777644013921643</v>
      </c>
    </row>
    <row r="1628" spans="1:4" x14ac:dyDescent="0.3">
      <c r="A1628" s="25">
        <v>1627</v>
      </c>
      <c r="B1628" s="25">
        <f>LARGE(Data!$J$2:$J$2379,A1628)</f>
        <v>285</v>
      </c>
      <c r="C1628" s="25">
        <f t="shared" si="25"/>
        <v>1095030</v>
      </c>
      <c r="D1628" s="28">
        <f>C1628/SUM(Data!$J$2:$J$2379)</f>
        <v>0.89801016240827425</v>
      </c>
    </row>
    <row r="1629" spans="1:4" x14ac:dyDescent="0.3">
      <c r="A1629" s="25">
        <v>1628</v>
      </c>
      <c r="B1629" s="25">
        <f>LARGE(Data!$J$2:$J$2379,A1629)</f>
        <v>280</v>
      </c>
      <c r="C1629" s="25">
        <f t="shared" si="25"/>
        <v>1095310</v>
      </c>
      <c r="D1629" s="28">
        <f>C1629/SUM(Data!$J$2:$J$2379)</f>
        <v>0.89823978428664686</v>
      </c>
    </row>
    <row r="1630" spans="1:4" x14ac:dyDescent="0.3">
      <c r="A1630" s="25">
        <v>1629</v>
      </c>
      <c r="B1630" s="25">
        <f>LARGE(Data!$J$2:$J$2379,A1630)</f>
        <v>280</v>
      </c>
      <c r="C1630" s="25">
        <f t="shared" si="25"/>
        <v>1095590</v>
      </c>
      <c r="D1630" s="28">
        <f>C1630/SUM(Data!$J$2:$J$2379)</f>
        <v>0.89846940616501936</v>
      </c>
    </row>
    <row r="1631" spans="1:4" x14ac:dyDescent="0.3">
      <c r="A1631" s="25">
        <v>1630</v>
      </c>
      <c r="B1631" s="25">
        <f>LARGE(Data!$J$2:$J$2379,A1631)</f>
        <v>280</v>
      </c>
      <c r="C1631" s="25">
        <f t="shared" si="25"/>
        <v>1095870</v>
      </c>
      <c r="D1631" s="28">
        <f>C1631/SUM(Data!$J$2:$J$2379)</f>
        <v>0.89869902804339197</v>
      </c>
    </row>
    <row r="1632" spans="1:4" x14ac:dyDescent="0.3">
      <c r="A1632" s="25">
        <v>1631</v>
      </c>
      <c r="B1632" s="25">
        <f>LARGE(Data!$J$2:$J$2379,A1632)</f>
        <v>280</v>
      </c>
      <c r="C1632" s="25">
        <f t="shared" si="25"/>
        <v>1096150</v>
      </c>
      <c r="D1632" s="28">
        <f>C1632/SUM(Data!$J$2:$J$2379)</f>
        <v>0.89892864992176458</v>
      </c>
    </row>
    <row r="1633" spans="1:4" x14ac:dyDescent="0.3">
      <c r="A1633" s="25">
        <v>1632</v>
      </c>
      <c r="B1633" s="25">
        <f>LARGE(Data!$J$2:$J$2379,A1633)</f>
        <v>280</v>
      </c>
      <c r="C1633" s="25">
        <f t="shared" si="25"/>
        <v>1096430</v>
      </c>
      <c r="D1633" s="28">
        <f>C1633/SUM(Data!$J$2:$J$2379)</f>
        <v>0.89915827180013708</v>
      </c>
    </row>
    <row r="1634" spans="1:4" x14ac:dyDescent="0.3">
      <c r="A1634" s="25">
        <v>1633</v>
      </c>
      <c r="B1634" s="25">
        <f>LARGE(Data!$J$2:$J$2379,A1634)</f>
        <v>280</v>
      </c>
      <c r="C1634" s="25">
        <f t="shared" si="25"/>
        <v>1096710</v>
      </c>
      <c r="D1634" s="28">
        <f>C1634/SUM(Data!$J$2:$J$2379)</f>
        <v>0.89938789367850969</v>
      </c>
    </row>
    <row r="1635" spans="1:4" x14ac:dyDescent="0.3">
      <c r="A1635" s="25">
        <v>1634</v>
      </c>
      <c r="B1635" s="25">
        <f>LARGE(Data!$J$2:$J$2379,A1635)</f>
        <v>280</v>
      </c>
      <c r="C1635" s="25">
        <f t="shared" si="25"/>
        <v>1096990</v>
      </c>
      <c r="D1635" s="28">
        <f>C1635/SUM(Data!$J$2:$J$2379)</f>
        <v>0.8996175155568823</v>
      </c>
    </row>
    <row r="1636" spans="1:4" x14ac:dyDescent="0.3">
      <c r="A1636" s="25">
        <v>1635</v>
      </c>
      <c r="B1636" s="25">
        <f>LARGE(Data!$J$2:$J$2379,A1636)</f>
        <v>280</v>
      </c>
      <c r="C1636" s="25">
        <f t="shared" si="25"/>
        <v>1097270</v>
      </c>
      <c r="D1636" s="28">
        <f>C1636/SUM(Data!$J$2:$J$2379)</f>
        <v>0.8998471374352548</v>
      </c>
    </row>
    <row r="1637" spans="1:4" x14ac:dyDescent="0.3">
      <c r="A1637" s="25">
        <v>1636</v>
      </c>
      <c r="B1637" s="25">
        <f>LARGE(Data!$J$2:$J$2379,A1637)</f>
        <v>280</v>
      </c>
      <c r="C1637" s="25">
        <f t="shared" si="25"/>
        <v>1097550</v>
      </c>
      <c r="D1637" s="28">
        <f>C1637/SUM(Data!$J$2:$J$2379)</f>
        <v>0.90007675931362741</v>
      </c>
    </row>
    <row r="1638" spans="1:4" x14ac:dyDescent="0.3">
      <c r="A1638" s="25">
        <v>1637</v>
      </c>
      <c r="B1638" s="25">
        <f>LARGE(Data!$J$2:$J$2379,A1638)</f>
        <v>280</v>
      </c>
      <c r="C1638" s="25">
        <f t="shared" si="25"/>
        <v>1097830</v>
      </c>
      <c r="D1638" s="28">
        <f>C1638/SUM(Data!$J$2:$J$2379)</f>
        <v>0.90030638119200002</v>
      </c>
    </row>
    <row r="1639" spans="1:4" x14ac:dyDescent="0.3">
      <c r="A1639" s="25">
        <v>1638</v>
      </c>
      <c r="B1639" s="25">
        <f>LARGE(Data!$J$2:$J$2379,A1639)</f>
        <v>280</v>
      </c>
      <c r="C1639" s="25">
        <f t="shared" si="25"/>
        <v>1098110</v>
      </c>
      <c r="D1639" s="28">
        <f>C1639/SUM(Data!$J$2:$J$2379)</f>
        <v>0.90053600307037251</v>
      </c>
    </row>
    <row r="1640" spans="1:4" x14ac:dyDescent="0.3">
      <c r="A1640" s="25">
        <v>1639</v>
      </c>
      <c r="B1640" s="25">
        <f>LARGE(Data!$J$2:$J$2379,A1640)</f>
        <v>280</v>
      </c>
      <c r="C1640" s="25">
        <f t="shared" si="25"/>
        <v>1098390</v>
      </c>
      <c r="D1640" s="28">
        <f>C1640/SUM(Data!$J$2:$J$2379)</f>
        <v>0.90076562494874512</v>
      </c>
    </row>
    <row r="1641" spans="1:4" x14ac:dyDescent="0.3">
      <c r="A1641" s="25">
        <v>1640</v>
      </c>
      <c r="B1641" s="25">
        <f>LARGE(Data!$J$2:$J$2379,A1641)</f>
        <v>280</v>
      </c>
      <c r="C1641" s="25">
        <f t="shared" si="25"/>
        <v>1098670</v>
      </c>
      <c r="D1641" s="28">
        <f>C1641/SUM(Data!$J$2:$J$2379)</f>
        <v>0.90099524682711774</v>
      </c>
    </row>
    <row r="1642" spans="1:4" x14ac:dyDescent="0.3">
      <c r="A1642" s="25">
        <v>1641</v>
      </c>
      <c r="B1642" s="25">
        <f>LARGE(Data!$J$2:$J$2379,A1642)</f>
        <v>280</v>
      </c>
      <c r="C1642" s="25">
        <f t="shared" si="25"/>
        <v>1098950</v>
      </c>
      <c r="D1642" s="28">
        <f>C1642/SUM(Data!$J$2:$J$2379)</f>
        <v>0.90122486870549023</v>
      </c>
    </row>
    <row r="1643" spans="1:4" x14ac:dyDescent="0.3">
      <c r="A1643" s="25">
        <v>1642</v>
      </c>
      <c r="B1643" s="25">
        <f>LARGE(Data!$J$2:$J$2379,A1643)</f>
        <v>280</v>
      </c>
      <c r="C1643" s="25">
        <f t="shared" si="25"/>
        <v>1099230</v>
      </c>
      <c r="D1643" s="28">
        <f>C1643/SUM(Data!$J$2:$J$2379)</f>
        <v>0.90145449058386284</v>
      </c>
    </row>
    <row r="1644" spans="1:4" x14ac:dyDescent="0.3">
      <c r="A1644" s="25">
        <v>1643</v>
      </c>
      <c r="B1644" s="25">
        <f>LARGE(Data!$J$2:$J$2379,A1644)</f>
        <v>280</v>
      </c>
      <c r="C1644" s="25">
        <f t="shared" si="25"/>
        <v>1099510</v>
      </c>
      <c r="D1644" s="28">
        <f>C1644/SUM(Data!$J$2:$J$2379)</f>
        <v>0.90168411246223545</v>
      </c>
    </row>
    <row r="1645" spans="1:4" x14ac:dyDescent="0.3">
      <c r="A1645" s="25">
        <v>1644</v>
      </c>
      <c r="B1645" s="25">
        <f>LARGE(Data!$J$2:$J$2379,A1645)</f>
        <v>280</v>
      </c>
      <c r="C1645" s="25">
        <f t="shared" si="25"/>
        <v>1099790</v>
      </c>
      <c r="D1645" s="28">
        <f>C1645/SUM(Data!$J$2:$J$2379)</f>
        <v>0.90191373434060795</v>
      </c>
    </row>
    <row r="1646" spans="1:4" x14ac:dyDescent="0.3">
      <c r="A1646" s="25">
        <v>1645</v>
      </c>
      <c r="B1646" s="25">
        <f>LARGE(Data!$J$2:$J$2379,A1646)</f>
        <v>280</v>
      </c>
      <c r="C1646" s="25">
        <f t="shared" si="25"/>
        <v>1100070</v>
      </c>
      <c r="D1646" s="28">
        <f>C1646/SUM(Data!$J$2:$J$2379)</f>
        <v>0.90214335621898056</v>
      </c>
    </row>
    <row r="1647" spans="1:4" x14ac:dyDescent="0.3">
      <c r="A1647" s="25">
        <v>1646</v>
      </c>
      <c r="B1647" s="25">
        <f>LARGE(Data!$J$2:$J$2379,A1647)</f>
        <v>280</v>
      </c>
      <c r="C1647" s="25">
        <f t="shared" si="25"/>
        <v>1100350</v>
      </c>
      <c r="D1647" s="28">
        <f>C1647/SUM(Data!$J$2:$J$2379)</f>
        <v>0.90237297809735306</v>
      </c>
    </row>
    <row r="1648" spans="1:4" x14ac:dyDescent="0.3">
      <c r="A1648" s="25">
        <v>1647</v>
      </c>
      <c r="B1648" s="25">
        <f>LARGE(Data!$J$2:$J$2379,A1648)</f>
        <v>280</v>
      </c>
      <c r="C1648" s="25">
        <f t="shared" si="25"/>
        <v>1100630</v>
      </c>
      <c r="D1648" s="28">
        <f>C1648/SUM(Data!$J$2:$J$2379)</f>
        <v>0.90260259997572567</v>
      </c>
    </row>
    <row r="1649" spans="1:4" x14ac:dyDescent="0.3">
      <c r="A1649" s="25">
        <v>1648</v>
      </c>
      <c r="B1649" s="25">
        <f>LARGE(Data!$J$2:$J$2379,A1649)</f>
        <v>280</v>
      </c>
      <c r="C1649" s="25">
        <f t="shared" si="25"/>
        <v>1100910</v>
      </c>
      <c r="D1649" s="28">
        <f>C1649/SUM(Data!$J$2:$J$2379)</f>
        <v>0.90283222185409828</v>
      </c>
    </row>
    <row r="1650" spans="1:4" x14ac:dyDescent="0.3">
      <c r="A1650" s="25">
        <v>1649</v>
      </c>
      <c r="B1650" s="25">
        <f>LARGE(Data!$J$2:$J$2379,A1650)</f>
        <v>280</v>
      </c>
      <c r="C1650" s="25">
        <f t="shared" si="25"/>
        <v>1101190</v>
      </c>
      <c r="D1650" s="28">
        <f>C1650/SUM(Data!$J$2:$J$2379)</f>
        <v>0.90306184373247078</v>
      </c>
    </row>
    <row r="1651" spans="1:4" x14ac:dyDescent="0.3">
      <c r="A1651" s="25">
        <v>1650</v>
      </c>
      <c r="B1651" s="25">
        <f>LARGE(Data!$J$2:$J$2379,A1651)</f>
        <v>280</v>
      </c>
      <c r="C1651" s="25">
        <f t="shared" si="25"/>
        <v>1101470</v>
      </c>
      <c r="D1651" s="28">
        <f>C1651/SUM(Data!$J$2:$J$2379)</f>
        <v>0.90329146561084339</v>
      </c>
    </row>
    <row r="1652" spans="1:4" x14ac:dyDescent="0.3">
      <c r="A1652" s="25">
        <v>1651</v>
      </c>
      <c r="B1652" s="25">
        <f>LARGE(Data!$J$2:$J$2379,A1652)</f>
        <v>280</v>
      </c>
      <c r="C1652" s="25">
        <f t="shared" si="25"/>
        <v>1101750</v>
      </c>
      <c r="D1652" s="28">
        <f>C1652/SUM(Data!$J$2:$J$2379)</f>
        <v>0.903521087489216</v>
      </c>
    </row>
    <row r="1653" spans="1:4" x14ac:dyDescent="0.3">
      <c r="A1653" s="25">
        <v>1652</v>
      </c>
      <c r="B1653" s="25">
        <f>LARGE(Data!$J$2:$J$2379,A1653)</f>
        <v>280</v>
      </c>
      <c r="C1653" s="25">
        <f t="shared" si="25"/>
        <v>1102030</v>
      </c>
      <c r="D1653" s="28">
        <f>C1653/SUM(Data!$J$2:$J$2379)</f>
        <v>0.9037507093675885</v>
      </c>
    </row>
    <row r="1654" spans="1:4" x14ac:dyDescent="0.3">
      <c r="A1654" s="25">
        <v>1653</v>
      </c>
      <c r="B1654" s="25">
        <f>LARGE(Data!$J$2:$J$2379,A1654)</f>
        <v>280</v>
      </c>
      <c r="C1654" s="25">
        <f t="shared" si="25"/>
        <v>1102310</v>
      </c>
      <c r="D1654" s="28">
        <f>C1654/SUM(Data!$J$2:$J$2379)</f>
        <v>0.90398033124596111</v>
      </c>
    </row>
    <row r="1655" spans="1:4" x14ac:dyDescent="0.3">
      <c r="A1655" s="25">
        <v>1654</v>
      </c>
      <c r="B1655" s="25">
        <f>LARGE(Data!$J$2:$J$2379,A1655)</f>
        <v>280</v>
      </c>
      <c r="C1655" s="25">
        <f t="shared" si="25"/>
        <v>1102590</v>
      </c>
      <c r="D1655" s="28">
        <f>C1655/SUM(Data!$J$2:$J$2379)</f>
        <v>0.90420995312433372</v>
      </c>
    </row>
    <row r="1656" spans="1:4" x14ac:dyDescent="0.3">
      <c r="A1656" s="25">
        <v>1655</v>
      </c>
      <c r="B1656" s="25">
        <f>LARGE(Data!$J$2:$J$2379,A1656)</f>
        <v>280</v>
      </c>
      <c r="C1656" s="25">
        <f t="shared" si="25"/>
        <v>1102870</v>
      </c>
      <c r="D1656" s="28">
        <f>C1656/SUM(Data!$J$2:$J$2379)</f>
        <v>0.90443957500270622</v>
      </c>
    </row>
    <row r="1657" spans="1:4" x14ac:dyDescent="0.3">
      <c r="A1657" s="25">
        <v>1656</v>
      </c>
      <c r="B1657" s="25">
        <f>LARGE(Data!$J$2:$J$2379,A1657)</f>
        <v>280</v>
      </c>
      <c r="C1657" s="25">
        <f t="shared" si="25"/>
        <v>1103150</v>
      </c>
      <c r="D1657" s="28">
        <f>C1657/SUM(Data!$J$2:$J$2379)</f>
        <v>0.90466919688107883</v>
      </c>
    </row>
    <row r="1658" spans="1:4" x14ac:dyDescent="0.3">
      <c r="A1658" s="25">
        <v>1657</v>
      </c>
      <c r="B1658" s="25">
        <f>LARGE(Data!$J$2:$J$2379,A1658)</f>
        <v>280</v>
      </c>
      <c r="C1658" s="25">
        <f t="shared" si="25"/>
        <v>1103430</v>
      </c>
      <c r="D1658" s="28">
        <f>C1658/SUM(Data!$J$2:$J$2379)</f>
        <v>0.90489881875945144</v>
      </c>
    </row>
    <row r="1659" spans="1:4" x14ac:dyDescent="0.3">
      <c r="A1659" s="25">
        <v>1658</v>
      </c>
      <c r="B1659" s="25">
        <f>LARGE(Data!$J$2:$J$2379,A1659)</f>
        <v>280</v>
      </c>
      <c r="C1659" s="25">
        <f t="shared" si="25"/>
        <v>1103710</v>
      </c>
      <c r="D1659" s="28">
        <f>C1659/SUM(Data!$J$2:$J$2379)</f>
        <v>0.90512844063782394</v>
      </c>
    </row>
    <row r="1660" spans="1:4" x14ac:dyDescent="0.3">
      <c r="A1660" s="25">
        <v>1659</v>
      </c>
      <c r="B1660" s="25">
        <f>LARGE(Data!$J$2:$J$2379,A1660)</f>
        <v>280</v>
      </c>
      <c r="C1660" s="25">
        <f t="shared" si="25"/>
        <v>1103990</v>
      </c>
      <c r="D1660" s="28">
        <f>C1660/SUM(Data!$J$2:$J$2379)</f>
        <v>0.90535806251619655</v>
      </c>
    </row>
    <row r="1661" spans="1:4" x14ac:dyDescent="0.3">
      <c r="A1661" s="25">
        <v>1660</v>
      </c>
      <c r="B1661" s="25">
        <f>LARGE(Data!$J$2:$J$2379,A1661)</f>
        <v>280</v>
      </c>
      <c r="C1661" s="25">
        <f t="shared" si="25"/>
        <v>1104270</v>
      </c>
      <c r="D1661" s="28">
        <f>C1661/SUM(Data!$J$2:$J$2379)</f>
        <v>0.90558768439456916</v>
      </c>
    </row>
    <row r="1662" spans="1:4" x14ac:dyDescent="0.3">
      <c r="A1662" s="25">
        <v>1661</v>
      </c>
      <c r="B1662" s="25">
        <f>LARGE(Data!$J$2:$J$2379,A1662)</f>
        <v>280</v>
      </c>
      <c r="C1662" s="25">
        <f t="shared" si="25"/>
        <v>1104550</v>
      </c>
      <c r="D1662" s="28">
        <f>C1662/SUM(Data!$J$2:$J$2379)</f>
        <v>0.90581730627294166</v>
      </c>
    </row>
    <row r="1663" spans="1:4" x14ac:dyDescent="0.3">
      <c r="A1663" s="25">
        <v>1662</v>
      </c>
      <c r="B1663" s="25">
        <f>LARGE(Data!$J$2:$J$2379,A1663)</f>
        <v>280</v>
      </c>
      <c r="C1663" s="25">
        <f t="shared" si="25"/>
        <v>1104830</v>
      </c>
      <c r="D1663" s="28">
        <f>C1663/SUM(Data!$J$2:$J$2379)</f>
        <v>0.90604692815131427</v>
      </c>
    </row>
    <row r="1664" spans="1:4" x14ac:dyDescent="0.3">
      <c r="A1664" s="25">
        <v>1663</v>
      </c>
      <c r="B1664" s="25">
        <f>LARGE(Data!$J$2:$J$2379,A1664)</f>
        <v>280</v>
      </c>
      <c r="C1664" s="25">
        <f t="shared" si="25"/>
        <v>1105110</v>
      </c>
      <c r="D1664" s="28">
        <f>C1664/SUM(Data!$J$2:$J$2379)</f>
        <v>0.90627655002968688</v>
      </c>
    </row>
    <row r="1665" spans="1:4" x14ac:dyDescent="0.3">
      <c r="A1665" s="25">
        <v>1664</v>
      </c>
      <c r="B1665" s="25">
        <f>LARGE(Data!$J$2:$J$2379,A1665)</f>
        <v>280</v>
      </c>
      <c r="C1665" s="25">
        <f t="shared" si="25"/>
        <v>1105390</v>
      </c>
      <c r="D1665" s="28">
        <f>C1665/SUM(Data!$J$2:$J$2379)</f>
        <v>0.90650617190805938</v>
      </c>
    </row>
    <row r="1666" spans="1:4" x14ac:dyDescent="0.3">
      <c r="A1666" s="25">
        <v>1665</v>
      </c>
      <c r="B1666" s="25">
        <f>LARGE(Data!$J$2:$J$2379,A1666)</f>
        <v>280</v>
      </c>
      <c r="C1666" s="25">
        <f t="shared" si="25"/>
        <v>1105670</v>
      </c>
      <c r="D1666" s="28">
        <f>C1666/SUM(Data!$J$2:$J$2379)</f>
        <v>0.90673579378643199</v>
      </c>
    </row>
    <row r="1667" spans="1:4" x14ac:dyDescent="0.3">
      <c r="A1667" s="25">
        <v>1666</v>
      </c>
      <c r="B1667" s="25">
        <f>LARGE(Data!$J$2:$J$2379,A1667)</f>
        <v>280</v>
      </c>
      <c r="C1667" s="25">
        <f t="shared" ref="C1667:C1730" si="26">C1666+B1667</f>
        <v>1105950</v>
      </c>
      <c r="D1667" s="28">
        <f>C1667/SUM(Data!$J$2:$J$2379)</f>
        <v>0.9069654156648046</v>
      </c>
    </row>
    <row r="1668" spans="1:4" x14ac:dyDescent="0.3">
      <c r="A1668" s="25">
        <v>1667</v>
      </c>
      <c r="B1668" s="25">
        <f>LARGE(Data!$J$2:$J$2379,A1668)</f>
        <v>280</v>
      </c>
      <c r="C1668" s="25">
        <f t="shared" si="26"/>
        <v>1106230</v>
      </c>
      <c r="D1668" s="28">
        <f>C1668/SUM(Data!$J$2:$J$2379)</f>
        <v>0.9071950375431771</v>
      </c>
    </row>
    <row r="1669" spans="1:4" x14ac:dyDescent="0.3">
      <c r="A1669" s="25">
        <v>1668</v>
      </c>
      <c r="B1669" s="25">
        <f>LARGE(Data!$J$2:$J$2379,A1669)</f>
        <v>280</v>
      </c>
      <c r="C1669" s="25">
        <f t="shared" si="26"/>
        <v>1106510</v>
      </c>
      <c r="D1669" s="28">
        <f>C1669/SUM(Data!$J$2:$J$2379)</f>
        <v>0.90742465942154971</v>
      </c>
    </row>
    <row r="1670" spans="1:4" x14ac:dyDescent="0.3">
      <c r="A1670" s="25">
        <v>1669</v>
      </c>
      <c r="B1670" s="25">
        <f>LARGE(Data!$J$2:$J$2379,A1670)</f>
        <v>280</v>
      </c>
      <c r="C1670" s="25">
        <f t="shared" si="26"/>
        <v>1106790</v>
      </c>
      <c r="D1670" s="28">
        <f>C1670/SUM(Data!$J$2:$J$2379)</f>
        <v>0.90765428129992221</v>
      </c>
    </row>
    <row r="1671" spans="1:4" x14ac:dyDescent="0.3">
      <c r="A1671" s="25">
        <v>1670</v>
      </c>
      <c r="B1671" s="25">
        <f>LARGE(Data!$J$2:$J$2379,A1671)</f>
        <v>280</v>
      </c>
      <c r="C1671" s="25">
        <f t="shared" si="26"/>
        <v>1107070</v>
      </c>
      <c r="D1671" s="28">
        <f>C1671/SUM(Data!$J$2:$J$2379)</f>
        <v>0.90788390317829482</v>
      </c>
    </row>
    <row r="1672" spans="1:4" x14ac:dyDescent="0.3">
      <c r="A1672" s="25">
        <v>1671</v>
      </c>
      <c r="B1672" s="25">
        <f>LARGE(Data!$J$2:$J$2379,A1672)</f>
        <v>280</v>
      </c>
      <c r="C1672" s="25">
        <f t="shared" si="26"/>
        <v>1107350</v>
      </c>
      <c r="D1672" s="28">
        <f>C1672/SUM(Data!$J$2:$J$2379)</f>
        <v>0.90811352505666743</v>
      </c>
    </row>
    <row r="1673" spans="1:4" x14ac:dyDescent="0.3">
      <c r="A1673" s="25">
        <v>1672</v>
      </c>
      <c r="B1673" s="25">
        <f>LARGE(Data!$J$2:$J$2379,A1673)</f>
        <v>280</v>
      </c>
      <c r="C1673" s="25">
        <f t="shared" si="26"/>
        <v>1107630</v>
      </c>
      <c r="D1673" s="28">
        <f>C1673/SUM(Data!$J$2:$J$2379)</f>
        <v>0.90834314693503992</v>
      </c>
    </row>
    <row r="1674" spans="1:4" x14ac:dyDescent="0.3">
      <c r="A1674" s="25">
        <v>1673</v>
      </c>
      <c r="B1674" s="25">
        <f>LARGE(Data!$J$2:$J$2379,A1674)</f>
        <v>280</v>
      </c>
      <c r="C1674" s="25">
        <f t="shared" si="26"/>
        <v>1107910</v>
      </c>
      <c r="D1674" s="28">
        <f>C1674/SUM(Data!$J$2:$J$2379)</f>
        <v>0.90857276881341253</v>
      </c>
    </row>
    <row r="1675" spans="1:4" x14ac:dyDescent="0.3">
      <c r="A1675" s="25">
        <v>1674</v>
      </c>
      <c r="B1675" s="25">
        <f>LARGE(Data!$J$2:$J$2379,A1675)</f>
        <v>280</v>
      </c>
      <c r="C1675" s="25">
        <f t="shared" si="26"/>
        <v>1108190</v>
      </c>
      <c r="D1675" s="28">
        <f>C1675/SUM(Data!$J$2:$J$2379)</f>
        <v>0.90880239069178514</v>
      </c>
    </row>
    <row r="1676" spans="1:4" x14ac:dyDescent="0.3">
      <c r="A1676" s="25">
        <v>1675</v>
      </c>
      <c r="B1676" s="25">
        <f>LARGE(Data!$J$2:$J$2379,A1676)</f>
        <v>280</v>
      </c>
      <c r="C1676" s="25">
        <f t="shared" si="26"/>
        <v>1108470</v>
      </c>
      <c r="D1676" s="28">
        <f>C1676/SUM(Data!$J$2:$J$2379)</f>
        <v>0.90903201257015764</v>
      </c>
    </row>
    <row r="1677" spans="1:4" x14ac:dyDescent="0.3">
      <c r="A1677" s="25">
        <v>1676</v>
      </c>
      <c r="B1677" s="25">
        <f>LARGE(Data!$J$2:$J$2379,A1677)</f>
        <v>270</v>
      </c>
      <c r="C1677" s="25">
        <f t="shared" si="26"/>
        <v>1108740</v>
      </c>
      <c r="D1677" s="28">
        <f>C1677/SUM(Data!$J$2:$J$2379)</f>
        <v>0.90925343366715983</v>
      </c>
    </row>
    <row r="1678" spans="1:4" x14ac:dyDescent="0.3">
      <c r="A1678" s="25">
        <v>1677</v>
      </c>
      <c r="B1678" s="25">
        <f>LARGE(Data!$J$2:$J$2379,A1678)</f>
        <v>260</v>
      </c>
      <c r="C1678" s="25">
        <f t="shared" si="26"/>
        <v>1109000</v>
      </c>
      <c r="D1678" s="28">
        <f>C1678/SUM(Data!$J$2:$J$2379)</f>
        <v>0.90946665398279147</v>
      </c>
    </row>
    <row r="1679" spans="1:4" x14ac:dyDescent="0.3">
      <c r="A1679" s="25">
        <v>1678</v>
      </c>
      <c r="B1679" s="25">
        <f>LARGE(Data!$J$2:$J$2379,A1679)</f>
        <v>260</v>
      </c>
      <c r="C1679" s="25">
        <f t="shared" si="26"/>
        <v>1109260</v>
      </c>
      <c r="D1679" s="28">
        <f>C1679/SUM(Data!$J$2:$J$2379)</f>
        <v>0.90967987429842312</v>
      </c>
    </row>
    <row r="1680" spans="1:4" x14ac:dyDescent="0.3">
      <c r="A1680" s="25">
        <v>1679</v>
      </c>
      <c r="B1680" s="25">
        <f>LARGE(Data!$J$2:$J$2379,A1680)</f>
        <v>260</v>
      </c>
      <c r="C1680" s="25">
        <f t="shared" si="26"/>
        <v>1109520</v>
      </c>
      <c r="D1680" s="28">
        <f>C1680/SUM(Data!$J$2:$J$2379)</f>
        <v>0.90989309461405488</v>
      </c>
    </row>
    <row r="1681" spans="1:4" x14ac:dyDescent="0.3">
      <c r="A1681" s="25">
        <v>1680</v>
      </c>
      <c r="B1681" s="25">
        <f>LARGE(Data!$J$2:$J$2379,A1681)</f>
        <v>260</v>
      </c>
      <c r="C1681" s="25">
        <f t="shared" si="26"/>
        <v>1109780</v>
      </c>
      <c r="D1681" s="28">
        <f>C1681/SUM(Data!$J$2:$J$2379)</f>
        <v>0.91010631492968652</v>
      </c>
    </row>
    <row r="1682" spans="1:4" x14ac:dyDescent="0.3">
      <c r="A1682" s="25">
        <v>1681</v>
      </c>
      <c r="B1682" s="25">
        <f>LARGE(Data!$J$2:$J$2379,A1682)</f>
        <v>260</v>
      </c>
      <c r="C1682" s="25">
        <f t="shared" si="26"/>
        <v>1110040</v>
      </c>
      <c r="D1682" s="28">
        <f>C1682/SUM(Data!$J$2:$J$2379)</f>
        <v>0.91031953524531817</v>
      </c>
    </row>
    <row r="1683" spans="1:4" x14ac:dyDescent="0.3">
      <c r="A1683" s="25">
        <v>1682</v>
      </c>
      <c r="B1683" s="25">
        <f>LARGE(Data!$J$2:$J$2379,A1683)</f>
        <v>260</v>
      </c>
      <c r="C1683" s="25">
        <f t="shared" si="26"/>
        <v>1110300</v>
      </c>
      <c r="D1683" s="28">
        <f>C1683/SUM(Data!$J$2:$J$2379)</f>
        <v>0.91053275556094981</v>
      </c>
    </row>
    <row r="1684" spans="1:4" x14ac:dyDescent="0.3">
      <c r="A1684" s="25">
        <v>1683</v>
      </c>
      <c r="B1684" s="25">
        <f>LARGE(Data!$J$2:$J$2379,A1684)</f>
        <v>260</v>
      </c>
      <c r="C1684" s="25">
        <f t="shared" si="26"/>
        <v>1110560</v>
      </c>
      <c r="D1684" s="28">
        <f>C1684/SUM(Data!$J$2:$J$2379)</f>
        <v>0.91074597587658157</v>
      </c>
    </row>
    <row r="1685" spans="1:4" x14ac:dyDescent="0.3">
      <c r="A1685" s="25">
        <v>1684</v>
      </c>
      <c r="B1685" s="25">
        <f>LARGE(Data!$J$2:$J$2379,A1685)</f>
        <v>260</v>
      </c>
      <c r="C1685" s="25">
        <f t="shared" si="26"/>
        <v>1110820</v>
      </c>
      <c r="D1685" s="28">
        <f>C1685/SUM(Data!$J$2:$J$2379)</f>
        <v>0.91095919619221322</v>
      </c>
    </row>
    <row r="1686" spans="1:4" x14ac:dyDescent="0.3">
      <c r="A1686" s="25">
        <v>1685</v>
      </c>
      <c r="B1686" s="25">
        <f>LARGE(Data!$J$2:$J$2379,A1686)</f>
        <v>260</v>
      </c>
      <c r="C1686" s="25">
        <f t="shared" si="26"/>
        <v>1111080</v>
      </c>
      <c r="D1686" s="28">
        <f>C1686/SUM(Data!$J$2:$J$2379)</f>
        <v>0.91117241650784486</v>
      </c>
    </row>
    <row r="1687" spans="1:4" x14ac:dyDescent="0.3">
      <c r="A1687" s="25">
        <v>1686</v>
      </c>
      <c r="B1687" s="25">
        <f>LARGE(Data!$J$2:$J$2379,A1687)</f>
        <v>260</v>
      </c>
      <c r="C1687" s="25">
        <f t="shared" si="26"/>
        <v>1111340</v>
      </c>
      <c r="D1687" s="28">
        <f>C1687/SUM(Data!$J$2:$J$2379)</f>
        <v>0.91138563682347651</v>
      </c>
    </row>
    <row r="1688" spans="1:4" x14ac:dyDescent="0.3">
      <c r="A1688" s="25">
        <v>1687</v>
      </c>
      <c r="B1688" s="25">
        <f>LARGE(Data!$J$2:$J$2379,A1688)</f>
        <v>260</v>
      </c>
      <c r="C1688" s="25">
        <f t="shared" si="26"/>
        <v>1111600</v>
      </c>
      <c r="D1688" s="28">
        <f>C1688/SUM(Data!$J$2:$J$2379)</f>
        <v>0.91159885713910827</v>
      </c>
    </row>
    <row r="1689" spans="1:4" x14ac:dyDescent="0.3">
      <c r="A1689" s="25">
        <v>1688</v>
      </c>
      <c r="B1689" s="25">
        <f>LARGE(Data!$J$2:$J$2379,A1689)</f>
        <v>260</v>
      </c>
      <c r="C1689" s="25">
        <f t="shared" si="26"/>
        <v>1111860</v>
      </c>
      <c r="D1689" s="28">
        <f>C1689/SUM(Data!$J$2:$J$2379)</f>
        <v>0.91181207745473991</v>
      </c>
    </row>
    <row r="1690" spans="1:4" x14ac:dyDescent="0.3">
      <c r="A1690" s="25">
        <v>1689</v>
      </c>
      <c r="B1690" s="25">
        <f>LARGE(Data!$J$2:$J$2379,A1690)</f>
        <v>260</v>
      </c>
      <c r="C1690" s="25">
        <f t="shared" si="26"/>
        <v>1112120</v>
      </c>
      <c r="D1690" s="28">
        <f>C1690/SUM(Data!$J$2:$J$2379)</f>
        <v>0.91202529777037156</v>
      </c>
    </row>
    <row r="1691" spans="1:4" x14ac:dyDescent="0.3">
      <c r="A1691" s="25">
        <v>1690</v>
      </c>
      <c r="B1691" s="25">
        <f>LARGE(Data!$J$2:$J$2379,A1691)</f>
        <v>260</v>
      </c>
      <c r="C1691" s="25">
        <f t="shared" si="26"/>
        <v>1112380</v>
      </c>
      <c r="D1691" s="28">
        <f>C1691/SUM(Data!$J$2:$J$2379)</f>
        <v>0.9122385180860032</v>
      </c>
    </row>
    <row r="1692" spans="1:4" x14ac:dyDescent="0.3">
      <c r="A1692" s="25">
        <v>1691</v>
      </c>
      <c r="B1692" s="25">
        <f>LARGE(Data!$J$2:$J$2379,A1692)</f>
        <v>260</v>
      </c>
      <c r="C1692" s="25">
        <f t="shared" si="26"/>
        <v>1112640</v>
      </c>
      <c r="D1692" s="28">
        <f>C1692/SUM(Data!$J$2:$J$2379)</f>
        <v>0.91245173840163496</v>
      </c>
    </row>
    <row r="1693" spans="1:4" x14ac:dyDescent="0.3">
      <c r="A1693" s="25">
        <v>1692</v>
      </c>
      <c r="B1693" s="25">
        <f>LARGE(Data!$J$2:$J$2379,A1693)</f>
        <v>260</v>
      </c>
      <c r="C1693" s="25">
        <f t="shared" si="26"/>
        <v>1112900</v>
      </c>
      <c r="D1693" s="28">
        <f>C1693/SUM(Data!$J$2:$J$2379)</f>
        <v>0.91266495871726661</v>
      </c>
    </row>
    <row r="1694" spans="1:4" x14ac:dyDescent="0.3">
      <c r="A1694" s="25">
        <v>1693</v>
      </c>
      <c r="B1694" s="25">
        <f>LARGE(Data!$J$2:$J$2379,A1694)</f>
        <v>260</v>
      </c>
      <c r="C1694" s="25">
        <f t="shared" si="26"/>
        <v>1113160</v>
      </c>
      <c r="D1694" s="28">
        <f>C1694/SUM(Data!$J$2:$J$2379)</f>
        <v>0.91287817903289825</v>
      </c>
    </row>
    <row r="1695" spans="1:4" x14ac:dyDescent="0.3">
      <c r="A1695" s="25">
        <v>1694</v>
      </c>
      <c r="B1695" s="25">
        <f>LARGE(Data!$J$2:$J$2379,A1695)</f>
        <v>260</v>
      </c>
      <c r="C1695" s="25">
        <f t="shared" si="26"/>
        <v>1113420</v>
      </c>
      <c r="D1695" s="28">
        <f>C1695/SUM(Data!$J$2:$J$2379)</f>
        <v>0.9130913993485299</v>
      </c>
    </row>
    <row r="1696" spans="1:4" x14ac:dyDescent="0.3">
      <c r="A1696" s="25">
        <v>1695</v>
      </c>
      <c r="B1696" s="25">
        <f>LARGE(Data!$J$2:$J$2379,A1696)</f>
        <v>260</v>
      </c>
      <c r="C1696" s="25">
        <f t="shared" si="26"/>
        <v>1113680</v>
      </c>
      <c r="D1696" s="28">
        <f>C1696/SUM(Data!$J$2:$J$2379)</f>
        <v>0.91330461966416165</v>
      </c>
    </row>
    <row r="1697" spans="1:4" x14ac:dyDescent="0.3">
      <c r="A1697" s="25">
        <v>1696</v>
      </c>
      <c r="B1697" s="25">
        <f>LARGE(Data!$J$2:$J$2379,A1697)</f>
        <v>260</v>
      </c>
      <c r="C1697" s="25">
        <f t="shared" si="26"/>
        <v>1113940</v>
      </c>
      <c r="D1697" s="28">
        <f>C1697/SUM(Data!$J$2:$J$2379)</f>
        <v>0.9135178399797933</v>
      </c>
    </row>
    <row r="1698" spans="1:4" x14ac:dyDescent="0.3">
      <c r="A1698" s="25">
        <v>1697</v>
      </c>
      <c r="B1698" s="25">
        <f>LARGE(Data!$J$2:$J$2379,A1698)</f>
        <v>260</v>
      </c>
      <c r="C1698" s="25">
        <f t="shared" si="26"/>
        <v>1114200</v>
      </c>
      <c r="D1698" s="28">
        <f>C1698/SUM(Data!$J$2:$J$2379)</f>
        <v>0.91373106029542495</v>
      </c>
    </row>
    <row r="1699" spans="1:4" x14ac:dyDescent="0.3">
      <c r="A1699" s="25">
        <v>1698</v>
      </c>
      <c r="B1699" s="25">
        <f>LARGE(Data!$J$2:$J$2379,A1699)</f>
        <v>260</v>
      </c>
      <c r="C1699" s="25">
        <f t="shared" si="26"/>
        <v>1114460</v>
      </c>
      <c r="D1699" s="28">
        <f>C1699/SUM(Data!$J$2:$J$2379)</f>
        <v>0.91394428061105659</v>
      </c>
    </row>
    <row r="1700" spans="1:4" x14ac:dyDescent="0.3">
      <c r="A1700" s="25">
        <v>1699</v>
      </c>
      <c r="B1700" s="25">
        <f>LARGE(Data!$J$2:$J$2379,A1700)</f>
        <v>260</v>
      </c>
      <c r="C1700" s="25">
        <f t="shared" si="26"/>
        <v>1114720</v>
      </c>
      <c r="D1700" s="28">
        <f>C1700/SUM(Data!$J$2:$J$2379)</f>
        <v>0.91415750092668835</v>
      </c>
    </row>
    <row r="1701" spans="1:4" x14ac:dyDescent="0.3">
      <c r="A1701" s="25">
        <v>1700</v>
      </c>
      <c r="B1701" s="25">
        <f>LARGE(Data!$J$2:$J$2379,A1701)</f>
        <v>260</v>
      </c>
      <c r="C1701" s="25">
        <f t="shared" si="26"/>
        <v>1114980</v>
      </c>
      <c r="D1701" s="28">
        <f>C1701/SUM(Data!$J$2:$J$2379)</f>
        <v>0.91437072124231999</v>
      </c>
    </row>
    <row r="1702" spans="1:4" x14ac:dyDescent="0.3">
      <c r="A1702" s="25">
        <v>1701</v>
      </c>
      <c r="B1702" s="25">
        <f>LARGE(Data!$J$2:$J$2379,A1702)</f>
        <v>260</v>
      </c>
      <c r="C1702" s="25">
        <f t="shared" si="26"/>
        <v>1115240</v>
      </c>
      <c r="D1702" s="28">
        <f>C1702/SUM(Data!$J$2:$J$2379)</f>
        <v>0.91458394155795164</v>
      </c>
    </row>
    <row r="1703" spans="1:4" x14ac:dyDescent="0.3">
      <c r="A1703" s="25">
        <v>1702</v>
      </c>
      <c r="B1703" s="25">
        <f>LARGE(Data!$J$2:$J$2379,A1703)</f>
        <v>260</v>
      </c>
      <c r="C1703" s="25">
        <f t="shared" si="26"/>
        <v>1115500</v>
      </c>
      <c r="D1703" s="28">
        <f>C1703/SUM(Data!$J$2:$J$2379)</f>
        <v>0.91479716187358329</v>
      </c>
    </row>
    <row r="1704" spans="1:4" x14ac:dyDescent="0.3">
      <c r="A1704" s="25">
        <v>1703</v>
      </c>
      <c r="B1704" s="25">
        <f>LARGE(Data!$J$2:$J$2379,A1704)</f>
        <v>260</v>
      </c>
      <c r="C1704" s="25">
        <f t="shared" si="26"/>
        <v>1115760</v>
      </c>
      <c r="D1704" s="28">
        <f>C1704/SUM(Data!$J$2:$J$2379)</f>
        <v>0.91501038218921504</v>
      </c>
    </row>
    <row r="1705" spans="1:4" x14ac:dyDescent="0.3">
      <c r="A1705" s="25">
        <v>1704</v>
      </c>
      <c r="B1705" s="25">
        <f>LARGE(Data!$J$2:$J$2379,A1705)</f>
        <v>260</v>
      </c>
      <c r="C1705" s="25">
        <f t="shared" si="26"/>
        <v>1116020</v>
      </c>
      <c r="D1705" s="28">
        <f>C1705/SUM(Data!$J$2:$J$2379)</f>
        <v>0.91522360250484669</v>
      </c>
    </row>
    <row r="1706" spans="1:4" x14ac:dyDescent="0.3">
      <c r="A1706" s="25">
        <v>1705</v>
      </c>
      <c r="B1706" s="25">
        <f>LARGE(Data!$J$2:$J$2379,A1706)</f>
        <v>260</v>
      </c>
      <c r="C1706" s="25">
        <f t="shared" si="26"/>
        <v>1116280</v>
      </c>
      <c r="D1706" s="28">
        <f>C1706/SUM(Data!$J$2:$J$2379)</f>
        <v>0.91543682282047834</v>
      </c>
    </row>
    <row r="1707" spans="1:4" x14ac:dyDescent="0.3">
      <c r="A1707" s="25">
        <v>1706</v>
      </c>
      <c r="B1707" s="25">
        <f>LARGE(Data!$J$2:$J$2379,A1707)</f>
        <v>260</v>
      </c>
      <c r="C1707" s="25">
        <f t="shared" si="26"/>
        <v>1116540</v>
      </c>
      <c r="D1707" s="28">
        <f>C1707/SUM(Data!$J$2:$J$2379)</f>
        <v>0.91565004313610998</v>
      </c>
    </row>
    <row r="1708" spans="1:4" x14ac:dyDescent="0.3">
      <c r="A1708" s="25">
        <v>1707</v>
      </c>
      <c r="B1708" s="25">
        <f>LARGE(Data!$J$2:$J$2379,A1708)</f>
        <v>260</v>
      </c>
      <c r="C1708" s="25">
        <f t="shared" si="26"/>
        <v>1116800</v>
      </c>
      <c r="D1708" s="28">
        <f>C1708/SUM(Data!$J$2:$J$2379)</f>
        <v>0.91586326345174163</v>
      </c>
    </row>
    <row r="1709" spans="1:4" x14ac:dyDescent="0.3">
      <c r="A1709" s="25">
        <v>1708</v>
      </c>
      <c r="B1709" s="25">
        <f>LARGE(Data!$J$2:$J$2379,A1709)</f>
        <v>260</v>
      </c>
      <c r="C1709" s="25">
        <f t="shared" si="26"/>
        <v>1117060</v>
      </c>
      <c r="D1709" s="28">
        <f>C1709/SUM(Data!$J$2:$J$2379)</f>
        <v>0.91607648376737338</v>
      </c>
    </row>
    <row r="1710" spans="1:4" x14ac:dyDescent="0.3">
      <c r="A1710" s="25">
        <v>1709</v>
      </c>
      <c r="B1710" s="25">
        <f>LARGE(Data!$J$2:$J$2379,A1710)</f>
        <v>260</v>
      </c>
      <c r="C1710" s="25">
        <f t="shared" si="26"/>
        <v>1117320</v>
      </c>
      <c r="D1710" s="28">
        <f>C1710/SUM(Data!$J$2:$J$2379)</f>
        <v>0.91628970408300503</v>
      </c>
    </row>
    <row r="1711" spans="1:4" x14ac:dyDescent="0.3">
      <c r="A1711" s="25">
        <v>1710</v>
      </c>
      <c r="B1711" s="25">
        <f>LARGE(Data!$J$2:$J$2379,A1711)</f>
        <v>260</v>
      </c>
      <c r="C1711" s="25">
        <f t="shared" si="26"/>
        <v>1117580</v>
      </c>
      <c r="D1711" s="28">
        <f>C1711/SUM(Data!$J$2:$J$2379)</f>
        <v>0.91650292439863668</v>
      </c>
    </row>
    <row r="1712" spans="1:4" x14ac:dyDescent="0.3">
      <c r="A1712" s="25">
        <v>1711</v>
      </c>
      <c r="B1712" s="25">
        <f>LARGE(Data!$J$2:$J$2379,A1712)</f>
        <v>260</v>
      </c>
      <c r="C1712" s="25">
        <f t="shared" si="26"/>
        <v>1117840</v>
      </c>
      <c r="D1712" s="28">
        <f>C1712/SUM(Data!$J$2:$J$2379)</f>
        <v>0.91671614471426832</v>
      </c>
    </row>
    <row r="1713" spans="1:4" x14ac:dyDescent="0.3">
      <c r="A1713" s="25">
        <v>1712</v>
      </c>
      <c r="B1713" s="25">
        <f>LARGE(Data!$J$2:$J$2379,A1713)</f>
        <v>260</v>
      </c>
      <c r="C1713" s="25">
        <f t="shared" si="26"/>
        <v>1118100</v>
      </c>
      <c r="D1713" s="28">
        <f>C1713/SUM(Data!$J$2:$J$2379)</f>
        <v>0.91692936502990008</v>
      </c>
    </row>
    <row r="1714" spans="1:4" x14ac:dyDescent="0.3">
      <c r="A1714" s="25">
        <v>1713</v>
      </c>
      <c r="B1714" s="25">
        <f>LARGE(Data!$J$2:$J$2379,A1714)</f>
        <v>260</v>
      </c>
      <c r="C1714" s="25">
        <f t="shared" si="26"/>
        <v>1118360</v>
      </c>
      <c r="D1714" s="28">
        <f>C1714/SUM(Data!$J$2:$J$2379)</f>
        <v>0.91714258534553172</v>
      </c>
    </row>
    <row r="1715" spans="1:4" x14ac:dyDescent="0.3">
      <c r="A1715" s="25">
        <v>1714</v>
      </c>
      <c r="B1715" s="25">
        <f>LARGE(Data!$J$2:$J$2379,A1715)</f>
        <v>260</v>
      </c>
      <c r="C1715" s="25">
        <f t="shared" si="26"/>
        <v>1118620</v>
      </c>
      <c r="D1715" s="28">
        <f>C1715/SUM(Data!$J$2:$J$2379)</f>
        <v>0.91735580566116337</v>
      </c>
    </row>
    <row r="1716" spans="1:4" x14ac:dyDescent="0.3">
      <c r="A1716" s="25">
        <v>1715</v>
      </c>
      <c r="B1716" s="25">
        <f>LARGE(Data!$J$2:$J$2379,A1716)</f>
        <v>260</v>
      </c>
      <c r="C1716" s="25">
        <f t="shared" si="26"/>
        <v>1118880</v>
      </c>
      <c r="D1716" s="28">
        <f>C1716/SUM(Data!$J$2:$J$2379)</f>
        <v>0.91756902597679502</v>
      </c>
    </row>
    <row r="1717" spans="1:4" x14ac:dyDescent="0.3">
      <c r="A1717" s="25">
        <v>1716</v>
      </c>
      <c r="B1717" s="25">
        <f>LARGE(Data!$J$2:$J$2379,A1717)</f>
        <v>260</v>
      </c>
      <c r="C1717" s="25">
        <f t="shared" si="26"/>
        <v>1119140</v>
      </c>
      <c r="D1717" s="28">
        <f>C1717/SUM(Data!$J$2:$J$2379)</f>
        <v>0.91778224629242677</v>
      </c>
    </row>
    <row r="1718" spans="1:4" x14ac:dyDescent="0.3">
      <c r="A1718" s="25">
        <v>1717</v>
      </c>
      <c r="B1718" s="25">
        <f>LARGE(Data!$J$2:$J$2379,A1718)</f>
        <v>260</v>
      </c>
      <c r="C1718" s="25">
        <f t="shared" si="26"/>
        <v>1119400</v>
      </c>
      <c r="D1718" s="28">
        <f>C1718/SUM(Data!$J$2:$J$2379)</f>
        <v>0.91799546660805842</v>
      </c>
    </row>
    <row r="1719" spans="1:4" x14ac:dyDescent="0.3">
      <c r="A1719" s="25">
        <v>1718</v>
      </c>
      <c r="B1719" s="25">
        <f>LARGE(Data!$J$2:$J$2379,A1719)</f>
        <v>260</v>
      </c>
      <c r="C1719" s="25">
        <f t="shared" si="26"/>
        <v>1119660</v>
      </c>
      <c r="D1719" s="28">
        <f>C1719/SUM(Data!$J$2:$J$2379)</f>
        <v>0.91820868692369007</v>
      </c>
    </row>
    <row r="1720" spans="1:4" x14ac:dyDescent="0.3">
      <c r="A1720" s="25">
        <v>1719</v>
      </c>
      <c r="B1720" s="25">
        <f>LARGE(Data!$J$2:$J$2379,A1720)</f>
        <v>260</v>
      </c>
      <c r="C1720" s="25">
        <f t="shared" si="26"/>
        <v>1119920</v>
      </c>
      <c r="D1720" s="28">
        <f>C1720/SUM(Data!$J$2:$J$2379)</f>
        <v>0.91842190723932171</v>
      </c>
    </row>
    <row r="1721" spans="1:4" x14ac:dyDescent="0.3">
      <c r="A1721" s="25">
        <v>1720</v>
      </c>
      <c r="B1721" s="25">
        <f>LARGE(Data!$J$2:$J$2379,A1721)</f>
        <v>260</v>
      </c>
      <c r="C1721" s="25">
        <f t="shared" si="26"/>
        <v>1120180</v>
      </c>
      <c r="D1721" s="28">
        <f>C1721/SUM(Data!$J$2:$J$2379)</f>
        <v>0.91863512755495347</v>
      </c>
    </row>
    <row r="1722" spans="1:4" x14ac:dyDescent="0.3">
      <c r="A1722" s="25">
        <v>1721</v>
      </c>
      <c r="B1722" s="25">
        <f>LARGE(Data!$J$2:$J$2379,A1722)</f>
        <v>260</v>
      </c>
      <c r="C1722" s="25">
        <f t="shared" si="26"/>
        <v>1120440</v>
      </c>
      <c r="D1722" s="28">
        <f>C1722/SUM(Data!$J$2:$J$2379)</f>
        <v>0.91884834787058511</v>
      </c>
    </row>
    <row r="1723" spans="1:4" x14ac:dyDescent="0.3">
      <c r="A1723" s="25">
        <v>1722</v>
      </c>
      <c r="B1723" s="25">
        <f>LARGE(Data!$J$2:$J$2379,A1723)</f>
        <v>260</v>
      </c>
      <c r="C1723" s="25">
        <f t="shared" si="26"/>
        <v>1120700</v>
      </c>
      <c r="D1723" s="28">
        <f>C1723/SUM(Data!$J$2:$J$2379)</f>
        <v>0.91906156818621676</v>
      </c>
    </row>
    <row r="1724" spans="1:4" x14ac:dyDescent="0.3">
      <c r="A1724" s="25">
        <v>1723</v>
      </c>
      <c r="B1724" s="25">
        <f>LARGE(Data!$J$2:$J$2379,A1724)</f>
        <v>260</v>
      </c>
      <c r="C1724" s="25">
        <f t="shared" si="26"/>
        <v>1120960</v>
      </c>
      <c r="D1724" s="28">
        <f>C1724/SUM(Data!$J$2:$J$2379)</f>
        <v>0.91927478850184841</v>
      </c>
    </row>
    <row r="1725" spans="1:4" x14ac:dyDescent="0.3">
      <c r="A1725" s="25">
        <v>1724</v>
      </c>
      <c r="B1725" s="25">
        <f>LARGE(Data!$J$2:$J$2379,A1725)</f>
        <v>260</v>
      </c>
      <c r="C1725" s="25">
        <f t="shared" si="26"/>
        <v>1121220</v>
      </c>
      <c r="D1725" s="28">
        <f>C1725/SUM(Data!$J$2:$J$2379)</f>
        <v>0.91948800881748016</v>
      </c>
    </row>
    <row r="1726" spans="1:4" x14ac:dyDescent="0.3">
      <c r="A1726" s="25">
        <v>1725</v>
      </c>
      <c r="B1726" s="25">
        <f>LARGE(Data!$J$2:$J$2379,A1726)</f>
        <v>260</v>
      </c>
      <c r="C1726" s="25">
        <f t="shared" si="26"/>
        <v>1121480</v>
      </c>
      <c r="D1726" s="28">
        <f>C1726/SUM(Data!$J$2:$J$2379)</f>
        <v>0.91970122913311181</v>
      </c>
    </row>
    <row r="1727" spans="1:4" x14ac:dyDescent="0.3">
      <c r="A1727" s="25">
        <v>1726</v>
      </c>
      <c r="B1727" s="25">
        <f>LARGE(Data!$J$2:$J$2379,A1727)</f>
        <v>260</v>
      </c>
      <c r="C1727" s="25">
        <f t="shared" si="26"/>
        <v>1121740</v>
      </c>
      <c r="D1727" s="28">
        <f>C1727/SUM(Data!$J$2:$J$2379)</f>
        <v>0.91991444944874345</v>
      </c>
    </row>
    <row r="1728" spans="1:4" x14ac:dyDescent="0.3">
      <c r="A1728" s="25">
        <v>1727</v>
      </c>
      <c r="B1728" s="25">
        <f>LARGE(Data!$J$2:$J$2379,A1728)</f>
        <v>260</v>
      </c>
      <c r="C1728" s="25">
        <f t="shared" si="26"/>
        <v>1122000</v>
      </c>
      <c r="D1728" s="28">
        <f>C1728/SUM(Data!$J$2:$J$2379)</f>
        <v>0.9201276697643751</v>
      </c>
    </row>
    <row r="1729" spans="1:4" x14ac:dyDescent="0.3">
      <c r="A1729" s="25">
        <v>1728</v>
      </c>
      <c r="B1729" s="25">
        <f>LARGE(Data!$J$2:$J$2379,A1729)</f>
        <v>260</v>
      </c>
      <c r="C1729" s="25">
        <f t="shared" si="26"/>
        <v>1122260</v>
      </c>
      <c r="D1729" s="28">
        <f>C1729/SUM(Data!$J$2:$J$2379)</f>
        <v>0.92034089008000686</v>
      </c>
    </row>
    <row r="1730" spans="1:4" x14ac:dyDescent="0.3">
      <c r="A1730" s="25">
        <v>1729</v>
      </c>
      <c r="B1730" s="25">
        <f>LARGE(Data!$J$2:$J$2379,A1730)</f>
        <v>260</v>
      </c>
      <c r="C1730" s="25">
        <f t="shared" si="26"/>
        <v>1122520</v>
      </c>
      <c r="D1730" s="28">
        <f>C1730/SUM(Data!$J$2:$J$2379)</f>
        <v>0.9205541103956385</v>
      </c>
    </row>
    <row r="1731" spans="1:4" x14ac:dyDescent="0.3">
      <c r="A1731" s="25">
        <v>1730</v>
      </c>
      <c r="B1731" s="25">
        <f>LARGE(Data!$J$2:$J$2379,A1731)</f>
        <v>260</v>
      </c>
      <c r="C1731" s="25">
        <f t="shared" ref="C1731:C1794" si="27">C1730+B1731</f>
        <v>1122780</v>
      </c>
      <c r="D1731" s="28">
        <f>C1731/SUM(Data!$J$2:$J$2379)</f>
        <v>0.92076733071127015</v>
      </c>
    </row>
    <row r="1732" spans="1:4" x14ac:dyDescent="0.3">
      <c r="A1732" s="25">
        <v>1731</v>
      </c>
      <c r="B1732" s="25">
        <f>LARGE(Data!$J$2:$J$2379,A1732)</f>
        <v>260</v>
      </c>
      <c r="C1732" s="25">
        <f t="shared" si="27"/>
        <v>1123040</v>
      </c>
      <c r="D1732" s="28">
        <f>C1732/SUM(Data!$J$2:$J$2379)</f>
        <v>0.92098055102690179</v>
      </c>
    </row>
    <row r="1733" spans="1:4" x14ac:dyDescent="0.3">
      <c r="A1733" s="25">
        <v>1732</v>
      </c>
      <c r="B1733" s="25">
        <f>LARGE(Data!$J$2:$J$2379,A1733)</f>
        <v>260</v>
      </c>
      <c r="C1733" s="25">
        <f t="shared" si="27"/>
        <v>1123300</v>
      </c>
      <c r="D1733" s="28">
        <f>C1733/SUM(Data!$J$2:$J$2379)</f>
        <v>0.92119377134253355</v>
      </c>
    </row>
    <row r="1734" spans="1:4" x14ac:dyDescent="0.3">
      <c r="A1734" s="25">
        <v>1733</v>
      </c>
      <c r="B1734" s="25">
        <f>LARGE(Data!$J$2:$J$2379,A1734)</f>
        <v>260</v>
      </c>
      <c r="C1734" s="25">
        <f t="shared" si="27"/>
        <v>1123560</v>
      </c>
      <c r="D1734" s="28">
        <f>C1734/SUM(Data!$J$2:$J$2379)</f>
        <v>0.9214069916581652</v>
      </c>
    </row>
    <row r="1735" spans="1:4" x14ac:dyDescent="0.3">
      <c r="A1735" s="25">
        <v>1734</v>
      </c>
      <c r="B1735" s="25">
        <f>LARGE(Data!$J$2:$J$2379,A1735)</f>
        <v>260</v>
      </c>
      <c r="C1735" s="25">
        <f t="shared" si="27"/>
        <v>1123820</v>
      </c>
      <c r="D1735" s="28">
        <f>C1735/SUM(Data!$J$2:$J$2379)</f>
        <v>0.92162021197379684</v>
      </c>
    </row>
    <row r="1736" spans="1:4" x14ac:dyDescent="0.3">
      <c r="A1736" s="25">
        <v>1735</v>
      </c>
      <c r="B1736" s="25">
        <f>LARGE(Data!$J$2:$J$2379,A1736)</f>
        <v>260</v>
      </c>
      <c r="C1736" s="25">
        <f t="shared" si="27"/>
        <v>1124080</v>
      </c>
      <c r="D1736" s="28">
        <f>C1736/SUM(Data!$J$2:$J$2379)</f>
        <v>0.92183343228942849</v>
      </c>
    </row>
    <row r="1737" spans="1:4" x14ac:dyDescent="0.3">
      <c r="A1737" s="25">
        <v>1736</v>
      </c>
      <c r="B1737" s="25">
        <f>LARGE(Data!$J$2:$J$2379,A1737)</f>
        <v>260</v>
      </c>
      <c r="C1737" s="25">
        <f t="shared" si="27"/>
        <v>1124340</v>
      </c>
      <c r="D1737" s="28">
        <f>C1737/SUM(Data!$J$2:$J$2379)</f>
        <v>0.92204665260506025</v>
      </c>
    </row>
    <row r="1738" spans="1:4" x14ac:dyDescent="0.3">
      <c r="A1738" s="25">
        <v>1737</v>
      </c>
      <c r="B1738" s="25">
        <f>LARGE(Data!$J$2:$J$2379,A1738)</f>
        <v>260</v>
      </c>
      <c r="C1738" s="25">
        <f t="shared" si="27"/>
        <v>1124600</v>
      </c>
      <c r="D1738" s="28">
        <f>C1738/SUM(Data!$J$2:$J$2379)</f>
        <v>0.92225987292069189</v>
      </c>
    </row>
    <row r="1739" spans="1:4" x14ac:dyDescent="0.3">
      <c r="A1739" s="25">
        <v>1738</v>
      </c>
      <c r="B1739" s="25">
        <f>LARGE(Data!$J$2:$J$2379,A1739)</f>
        <v>260</v>
      </c>
      <c r="C1739" s="25">
        <f t="shared" si="27"/>
        <v>1124860</v>
      </c>
      <c r="D1739" s="28">
        <f>C1739/SUM(Data!$J$2:$J$2379)</f>
        <v>0.92247309323632354</v>
      </c>
    </row>
    <row r="1740" spans="1:4" x14ac:dyDescent="0.3">
      <c r="A1740" s="25">
        <v>1739</v>
      </c>
      <c r="B1740" s="25">
        <f>LARGE(Data!$J$2:$J$2379,A1740)</f>
        <v>260</v>
      </c>
      <c r="C1740" s="25">
        <f t="shared" si="27"/>
        <v>1125120</v>
      </c>
      <c r="D1740" s="28">
        <f>C1740/SUM(Data!$J$2:$J$2379)</f>
        <v>0.92268631355195518</v>
      </c>
    </row>
    <row r="1741" spans="1:4" x14ac:dyDescent="0.3">
      <c r="A1741" s="25">
        <v>1740</v>
      </c>
      <c r="B1741" s="25">
        <f>LARGE(Data!$J$2:$J$2379,A1741)</f>
        <v>260</v>
      </c>
      <c r="C1741" s="25">
        <f t="shared" si="27"/>
        <v>1125380</v>
      </c>
      <c r="D1741" s="28">
        <f>C1741/SUM(Data!$J$2:$J$2379)</f>
        <v>0.92289953386758694</v>
      </c>
    </row>
    <row r="1742" spans="1:4" x14ac:dyDescent="0.3">
      <c r="A1742" s="25">
        <v>1741</v>
      </c>
      <c r="B1742" s="25">
        <f>LARGE(Data!$J$2:$J$2379,A1742)</f>
        <v>260</v>
      </c>
      <c r="C1742" s="25">
        <f t="shared" si="27"/>
        <v>1125640</v>
      </c>
      <c r="D1742" s="28">
        <f>C1742/SUM(Data!$J$2:$J$2379)</f>
        <v>0.92311275418321859</v>
      </c>
    </row>
    <row r="1743" spans="1:4" x14ac:dyDescent="0.3">
      <c r="A1743" s="25">
        <v>1742</v>
      </c>
      <c r="B1743" s="25">
        <f>LARGE(Data!$J$2:$J$2379,A1743)</f>
        <v>260</v>
      </c>
      <c r="C1743" s="25">
        <f t="shared" si="27"/>
        <v>1125900</v>
      </c>
      <c r="D1743" s="28">
        <f>C1743/SUM(Data!$J$2:$J$2379)</f>
        <v>0.92332597449885023</v>
      </c>
    </row>
    <row r="1744" spans="1:4" x14ac:dyDescent="0.3">
      <c r="A1744" s="25">
        <v>1743</v>
      </c>
      <c r="B1744" s="25">
        <f>LARGE(Data!$J$2:$J$2379,A1744)</f>
        <v>260</v>
      </c>
      <c r="C1744" s="25">
        <f t="shared" si="27"/>
        <v>1126160</v>
      </c>
      <c r="D1744" s="28">
        <f>C1744/SUM(Data!$J$2:$J$2379)</f>
        <v>0.92353919481448188</v>
      </c>
    </row>
    <row r="1745" spans="1:4" x14ac:dyDescent="0.3">
      <c r="A1745" s="25">
        <v>1744</v>
      </c>
      <c r="B1745" s="25">
        <f>LARGE(Data!$J$2:$J$2379,A1745)</f>
        <v>260</v>
      </c>
      <c r="C1745" s="25">
        <f t="shared" si="27"/>
        <v>1126420</v>
      </c>
      <c r="D1745" s="28">
        <f>C1745/SUM(Data!$J$2:$J$2379)</f>
        <v>0.92375241513011364</v>
      </c>
    </row>
    <row r="1746" spans="1:4" x14ac:dyDescent="0.3">
      <c r="A1746" s="25">
        <v>1745</v>
      </c>
      <c r="B1746" s="25">
        <f>LARGE(Data!$J$2:$J$2379,A1746)</f>
        <v>260</v>
      </c>
      <c r="C1746" s="25">
        <f t="shared" si="27"/>
        <v>1126680</v>
      </c>
      <c r="D1746" s="28">
        <f>C1746/SUM(Data!$J$2:$J$2379)</f>
        <v>0.92396563544574528</v>
      </c>
    </row>
    <row r="1747" spans="1:4" x14ac:dyDescent="0.3">
      <c r="A1747" s="25">
        <v>1746</v>
      </c>
      <c r="B1747" s="25">
        <f>LARGE(Data!$J$2:$J$2379,A1747)</f>
        <v>260</v>
      </c>
      <c r="C1747" s="25">
        <f t="shared" si="27"/>
        <v>1126940</v>
      </c>
      <c r="D1747" s="28">
        <f>C1747/SUM(Data!$J$2:$J$2379)</f>
        <v>0.92417885576137693</v>
      </c>
    </row>
    <row r="1748" spans="1:4" x14ac:dyDescent="0.3">
      <c r="A1748" s="25">
        <v>1747</v>
      </c>
      <c r="B1748" s="25">
        <f>LARGE(Data!$J$2:$J$2379,A1748)</f>
        <v>260</v>
      </c>
      <c r="C1748" s="25">
        <f t="shared" si="27"/>
        <v>1127200</v>
      </c>
      <c r="D1748" s="28">
        <f>C1748/SUM(Data!$J$2:$J$2379)</f>
        <v>0.92439207607700857</v>
      </c>
    </row>
    <row r="1749" spans="1:4" x14ac:dyDescent="0.3">
      <c r="A1749" s="25">
        <v>1748</v>
      </c>
      <c r="B1749" s="25">
        <f>LARGE(Data!$J$2:$J$2379,A1749)</f>
        <v>260</v>
      </c>
      <c r="C1749" s="25">
        <f t="shared" si="27"/>
        <v>1127460</v>
      </c>
      <c r="D1749" s="28">
        <f>C1749/SUM(Data!$J$2:$J$2379)</f>
        <v>0.92460529639264033</v>
      </c>
    </row>
    <row r="1750" spans="1:4" x14ac:dyDescent="0.3">
      <c r="A1750" s="25">
        <v>1749</v>
      </c>
      <c r="B1750" s="25">
        <f>LARGE(Data!$J$2:$J$2379,A1750)</f>
        <v>260</v>
      </c>
      <c r="C1750" s="25">
        <f t="shared" si="27"/>
        <v>1127720</v>
      </c>
      <c r="D1750" s="28">
        <f>C1750/SUM(Data!$J$2:$J$2379)</f>
        <v>0.92481851670827198</v>
      </c>
    </row>
    <row r="1751" spans="1:4" x14ac:dyDescent="0.3">
      <c r="A1751" s="25">
        <v>1750</v>
      </c>
      <c r="B1751" s="25">
        <f>LARGE(Data!$J$2:$J$2379,A1751)</f>
        <v>260</v>
      </c>
      <c r="C1751" s="25">
        <f t="shared" si="27"/>
        <v>1127980</v>
      </c>
      <c r="D1751" s="28">
        <f>C1751/SUM(Data!$J$2:$J$2379)</f>
        <v>0.92503173702390362</v>
      </c>
    </row>
    <row r="1752" spans="1:4" x14ac:dyDescent="0.3">
      <c r="A1752" s="25">
        <v>1751</v>
      </c>
      <c r="B1752" s="25">
        <f>LARGE(Data!$J$2:$J$2379,A1752)</f>
        <v>260</v>
      </c>
      <c r="C1752" s="25">
        <f t="shared" si="27"/>
        <v>1128240</v>
      </c>
      <c r="D1752" s="28">
        <f>C1752/SUM(Data!$J$2:$J$2379)</f>
        <v>0.92524495733953527</v>
      </c>
    </row>
    <row r="1753" spans="1:4" x14ac:dyDescent="0.3">
      <c r="A1753" s="25">
        <v>1752</v>
      </c>
      <c r="B1753" s="25">
        <f>LARGE(Data!$J$2:$J$2379,A1753)</f>
        <v>260</v>
      </c>
      <c r="C1753" s="25">
        <f t="shared" si="27"/>
        <v>1128500</v>
      </c>
      <c r="D1753" s="28">
        <f>C1753/SUM(Data!$J$2:$J$2379)</f>
        <v>0.92545817765516702</v>
      </c>
    </row>
    <row r="1754" spans="1:4" x14ac:dyDescent="0.3">
      <c r="A1754" s="25">
        <v>1753</v>
      </c>
      <c r="B1754" s="25">
        <f>LARGE(Data!$J$2:$J$2379,A1754)</f>
        <v>260</v>
      </c>
      <c r="C1754" s="25">
        <f t="shared" si="27"/>
        <v>1128760</v>
      </c>
      <c r="D1754" s="28">
        <f>C1754/SUM(Data!$J$2:$J$2379)</f>
        <v>0.92567139797079867</v>
      </c>
    </row>
    <row r="1755" spans="1:4" x14ac:dyDescent="0.3">
      <c r="A1755" s="25">
        <v>1754</v>
      </c>
      <c r="B1755" s="25">
        <f>LARGE(Data!$J$2:$J$2379,A1755)</f>
        <v>260</v>
      </c>
      <c r="C1755" s="25">
        <f t="shared" si="27"/>
        <v>1129020</v>
      </c>
      <c r="D1755" s="28">
        <f>C1755/SUM(Data!$J$2:$J$2379)</f>
        <v>0.92588461828643032</v>
      </c>
    </row>
    <row r="1756" spans="1:4" x14ac:dyDescent="0.3">
      <c r="A1756" s="25">
        <v>1755</v>
      </c>
      <c r="B1756" s="25">
        <f>LARGE(Data!$J$2:$J$2379,A1756)</f>
        <v>260</v>
      </c>
      <c r="C1756" s="25">
        <f t="shared" si="27"/>
        <v>1129280</v>
      </c>
      <c r="D1756" s="28">
        <f>C1756/SUM(Data!$J$2:$J$2379)</f>
        <v>0.92609783860206196</v>
      </c>
    </row>
    <row r="1757" spans="1:4" x14ac:dyDescent="0.3">
      <c r="A1757" s="25">
        <v>1756</v>
      </c>
      <c r="B1757" s="25">
        <f>LARGE(Data!$J$2:$J$2379,A1757)</f>
        <v>260</v>
      </c>
      <c r="C1757" s="25">
        <f t="shared" si="27"/>
        <v>1129540</v>
      </c>
      <c r="D1757" s="28">
        <f>C1757/SUM(Data!$J$2:$J$2379)</f>
        <v>0.92631105891769372</v>
      </c>
    </row>
    <row r="1758" spans="1:4" x14ac:dyDescent="0.3">
      <c r="A1758" s="25">
        <v>1757</v>
      </c>
      <c r="B1758" s="25">
        <f>LARGE(Data!$J$2:$J$2379,A1758)</f>
        <v>260</v>
      </c>
      <c r="C1758" s="25">
        <f t="shared" si="27"/>
        <v>1129800</v>
      </c>
      <c r="D1758" s="28">
        <f>C1758/SUM(Data!$J$2:$J$2379)</f>
        <v>0.92652427923332537</v>
      </c>
    </row>
    <row r="1759" spans="1:4" x14ac:dyDescent="0.3">
      <c r="A1759" s="25">
        <v>1758</v>
      </c>
      <c r="B1759" s="25">
        <f>LARGE(Data!$J$2:$J$2379,A1759)</f>
        <v>260</v>
      </c>
      <c r="C1759" s="25">
        <f t="shared" si="27"/>
        <v>1130060</v>
      </c>
      <c r="D1759" s="28">
        <f>C1759/SUM(Data!$J$2:$J$2379)</f>
        <v>0.92673749954895701</v>
      </c>
    </row>
    <row r="1760" spans="1:4" x14ac:dyDescent="0.3">
      <c r="A1760" s="25">
        <v>1759</v>
      </c>
      <c r="B1760" s="25">
        <f>LARGE(Data!$J$2:$J$2379,A1760)</f>
        <v>260</v>
      </c>
      <c r="C1760" s="25">
        <f t="shared" si="27"/>
        <v>1130320</v>
      </c>
      <c r="D1760" s="28">
        <f>C1760/SUM(Data!$J$2:$J$2379)</f>
        <v>0.92695071986458866</v>
      </c>
    </row>
    <row r="1761" spans="1:4" x14ac:dyDescent="0.3">
      <c r="A1761" s="25">
        <v>1760</v>
      </c>
      <c r="B1761" s="25">
        <f>LARGE(Data!$J$2:$J$2379,A1761)</f>
        <v>260</v>
      </c>
      <c r="C1761" s="25">
        <f t="shared" si="27"/>
        <v>1130580</v>
      </c>
      <c r="D1761" s="28">
        <f>C1761/SUM(Data!$J$2:$J$2379)</f>
        <v>0.92716394018022041</v>
      </c>
    </row>
    <row r="1762" spans="1:4" x14ac:dyDescent="0.3">
      <c r="A1762" s="25">
        <v>1761</v>
      </c>
      <c r="B1762" s="25">
        <f>LARGE(Data!$J$2:$J$2379,A1762)</f>
        <v>260</v>
      </c>
      <c r="C1762" s="25">
        <f t="shared" si="27"/>
        <v>1130840</v>
      </c>
      <c r="D1762" s="28">
        <f>C1762/SUM(Data!$J$2:$J$2379)</f>
        <v>0.92737716049585206</v>
      </c>
    </row>
    <row r="1763" spans="1:4" x14ac:dyDescent="0.3">
      <c r="A1763" s="25">
        <v>1762</v>
      </c>
      <c r="B1763" s="25">
        <f>LARGE(Data!$J$2:$J$2379,A1763)</f>
        <v>260</v>
      </c>
      <c r="C1763" s="25">
        <f t="shared" si="27"/>
        <v>1131100</v>
      </c>
      <c r="D1763" s="28">
        <f>C1763/SUM(Data!$J$2:$J$2379)</f>
        <v>0.92759038081148371</v>
      </c>
    </row>
    <row r="1764" spans="1:4" x14ac:dyDescent="0.3">
      <c r="A1764" s="25">
        <v>1763</v>
      </c>
      <c r="B1764" s="25">
        <f>LARGE(Data!$J$2:$J$2379,A1764)</f>
        <v>260</v>
      </c>
      <c r="C1764" s="25">
        <f t="shared" si="27"/>
        <v>1131360</v>
      </c>
      <c r="D1764" s="28">
        <f>C1764/SUM(Data!$J$2:$J$2379)</f>
        <v>0.92780360112711535</v>
      </c>
    </row>
    <row r="1765" spans="1:4" x14ac:dyDescent="0.3">
      <c r="A1765" s="25">
        <v>1764</v>
      </c>
      <c r="B1765" s="25">
        <f>LARGE(Data!$J$2:$J$2379,A1765)</f>
        <v>260</v>
      </c>
      <c r="C1765" s="25">
        <f t="shared" si="27"/>
        <v>1131620</v>
      </c>
      <c r="D1765" s="28">
        <f>C1765/SUM(Data!$J$2:$J$2379)</f>
        <v>0.92801682144274711</v>
      </c>
    </row>
    <row r="1766" spans="1:4" x14ac:dyDescent="0.3">
      <c r="A1766" s="25">
        <v>1765</v>
      </c>
      <c r="B1766" s="25">
        <f>LARGE(Data!$J$2:$J$2379,A1766)</f>
        <v>260</v>
      </c>
      <c r="C1766" s="25">
        <f t="shared" si="27"/>
        <v>1131880</v>
      </c>
      <c r="D1766" s="28">
        <f>C1766/SUM(Data!$J$2:$J$2379)</f>
        <v>0.92823004175837875</v>
      </c>
    </row>
    <row r="1767" spans="1:4" x14ac:dyDescent="0.3">
      <c r="A1767" s="25">
        <v>1766</v>
      </c>
      <c r="B1767" s="25">
        <f>LARGE(Data!$J$2:$J$2379,A1767)</f>
        <v>260</v>
      </c>
      <c r="C1767" s="25">
        <f t="shared" si="27"/>
        <v>1132140</v>
      </c>
      <c r="D1767" s="28">
        <f>C1767/SUM(Data!$J$2:$J$2379)</f>
        <v>0.9284432620740104</v>
      </c>
    </row>
    <row r="1768" spans="1:4" x14ac:dyDescent="0.3">
      <c r="A1768" s="25">
        <v>1767</v>
      </c>
      <c r="B1768" s="25">
        <f>LARGE(Data!$J$2:$J$2379,A1768)</f>
        <v>260</v>
      </c>
      <c r="C1768" s="25">
        <f t="shared" si="27"/>
        <v>1132400</v>
      </c>
      <c r="D1768" s="28">
        <f>C1768/SUM(Data!$J$2:$J$2379)</f>
        <v>0.92865648238964205</v>
      </c>
    </row>
    <row r="1769" spans="1:4" x14ac:dyDescent="0.3">
      <c r="A1769" s="25">
        <v>1768</v>
      </c>
      <c r="B1769" s="25">
        <f>LARGE(Data!$J$2:$J$2379,A1769)</f>
        <v>260</v>
      </c>
      <c r="C1769" s="25">
        <f t="shared" si="27"/>
        <v>1132660</v>
      </c>
      <c r="D1769" s="28">
        <f>C1769/SUM(Data!$J$2:$J$2379)</f>
        <v>0.9288697027052738</v>
      </c>
    </row>
    <row r="1770" spans="1:4" x14ac:dyDescent="0.3">
      <c r="A1770" s="25">
        <v>1769</v>
      </c>
      <c r="B1770" s="25">
        <f>LARGE(Data!$J$2:$J$2379,A1770)</f>
        <v>260</v>
      </c>
      <c r="C1770" s="25">
        <f t="shared" si="27"/>
        <v>1132920</v>
      </c>
      <c r="D1770" s="28">
        <f>C1770/SUM(Data!$J$2:$J$2379)</f>
        <v>0.92908292302090545</v>
      </c>
    </row>
    <row r="1771" spans="1:4" x14ac:dyDescent="0.3">
      <c r="A1771" s="25">
        <v>1770</v>
      </c>
      <c r="B1771" s="25">
        <f>LARGE(Data!$J$2:$J$2379,A1771)</f>
        <v>260</v>
      </c>
      <c r="C1771" s="25">
        <f t="shared" si="27"/>
        <v>1133180</v>
      </c>
      <c r="D1771" s="28">
        <f>C1771/SUM(Data!$J$2:$J$2379)</f>
        <v>0.92929614333653709</v>
      </c>
    </row>
    <row r="1772" spans="1:4" x14ac:dyDescent="0.3">
      <c r="A1772" s="25">
        <v>1771</v>
      </c>
      <c r="B1772" s="25">
        <f>LARGE(Data!$J$2:$J$2379,A1772)</f>
        <v>260</v>
      </c>
      <c r="C1772" s="25">
        <f t="shared" si="27"/>
        <v>1133440</v>
      </c>
      <c r="D1772" s="28">
        <f>C1772/SUM(Data!$J$2:$J$2379)</f>
        <v>0.92950936365216874</v>
      </c>
    </row>
    <row r="1773" spans="1:4" x14ac:dyDescent="0.3">
      <c r="A1773" s="25">
        <v>1772</v>
      </c>
      <c r="B1773" s="25">
        <f>LARGE(Data!$J$2:$J$2379,A1773)</f>
        <v>260</v>
      </c>
      <c r="C1773" s="25">
        <f t="shared" si="27"/>
        <v>1133700</v>
      </c>
      <c r="D1773" s="28">
        <f>C1773/SUM(Data!$J$2:$J$2379)</f>
        <v>0.9297225839678005</v>
      </c>
    </row>
    <row r="1774" spans="1:4" x14ac:dyDescent="0.3">
      <c r="A1774" s="25">
        <v>1773</v>
      </c>
      <c r="B1774" s="25">
        <f>LARGE(Data!$J$2:$J$2379,A1774)</f>
        <v>260</v>
      </c>
      <c r="C1774" s="25">
        <f t="shared" si="27"/>
        <v>1133960</v>
      </c>
      <c r="D1774" s="28">
        <f>C1774/SUM(Data!$J$2:$J$2379)</f>
        <v>0.92993580428343214</v>
      </c>
    </row>
    <row r="1775" spans="1:4" x14ac:dyDescent="0.3">
      <c r="A1775" s="25">
        <v>1774</v>
      </c>
      <c r="B1775" s="25">
        <f>LARGE(Data!$J$2:$J$2379,A1775)</f>
        <v>260</v>
      </c>
      <c r="C1775" s="25">
        <f t="shared" si="27"/>
        <v>1134220</v>
      </c>
      <c r="D1775" s="28">
        <f>C1775/SUM(Data!$J$2:$J$2379)</f>
        <v>0.93014902459906379</v>
      </c>
    </row>
    <row r="1776" spans="1:4" x14ac:dyDescent="0.3">
      <c r="A1776" s="25">
        <v>1775</v>
      </c>
      <c r="B1776" s="25">
        <f>LARGE(Data!$J$2:$J$2379,A1776)</f>
        <v>260</v>
      </c>
      <c r="C1776" s="25">
        <f t="shared" si="27"/>
        <v>1134480</v>
      </c>
      <c r="D1776" s="28">
        <f>C1776/SUM(Data!$J$2:$J$2379)</f>
        <v>0.93036224491469544</v>
      </c>
    </row>
    <row r="1777" spans="1:4" x14ac:dyDescent="0.3">
      <c r="A1777" s="25">
        <v>1776</v>
      </c>
      <c r="B1777" s="25">
        <f>LARGE(Data!$J$2:$J$2379,A1777)</f>
        <v>260</v>
      </c>
      <c r="C1777" s="25">
        <f t="shared" si="27"/>
        <v>1134740</v>
      </c>
      <c r="D1777" s="28">
        <f>C1777/SUM(Data!$J$2:$J$2379)</f>
        <v>0.93057546523032719</v>
      </c>
    </row>
    <row r="1778" spans="1:4" x14ac:dyDescent="0.3">
      <c r="A1778" s="25">
        <v>1777</v>
      </c>
      <c r="B1778" s="25">
        <f>LARGE(Data!$J$2:$J$2379,A1778)</f>
        <v>260</v>
      </c>
      <c r="C1778" s="25">
        <f t="shared" si="27"/>
        <v>1135000</v>
      </c>
      <c r="D1778" s="28">
        <f>C1778/SUM(Data!$J$2:$J$2379)</f>
        <v>0.93078868554595884</v>
      </c>
    </row>
    <row r="1779" spans="1:4" x14ac:dyDescent="0.3">
      <c r="A1779" s="25">
        <v>1778</v>
      </c>
      <c r="B1779" s="25">
        <f>LARGE(Data!$J$2:$J$2379,A1779)</f>
        <v>260</v>
      </c>
      <c r="C1779" s="25">
        <f t="shared" si="27"/>
        <v>1135260</v>
      </c>
      <c r="D1779" s="28">
        <f>C1779/SUM(Data!$J$2:$J$2379)</f>
        <v>0.93100190586159048</v>
      </c>
    </row>
    <row r="1780" spans="1:4" x14ac:dyDescent="0.3">
      <c r="A1780" s="25">
        <v>1779</v>
      </c>
      <c r="B1780" s="25">
        <f>LARGE(Data!$J$2:$J$2379,A1780)</f>
        <v>260</v>
      </c>
      <c r="C1780" s="25">
        <f t="shared" si="27"/>
        <v>1135520</v>
      </c>
      <c r="D1780" s="28">
        <f>C1780/SUM(Data!$J$2:$J$2379)</f>
        <v>0.93121512617722213</v>
      </c>
    </row>
    <row r="1781" spans="1:4" x14ac:dyDescent="0.3">
      <c r="A1781" s="25">
        <v>1780</v>
      </c>
      <c r="B1781" s="25">
        <f>LARGE(Data!$J$2:$J$2379,A1781)</f>
        <v>260</v>
      </c>
      <c r="C1781" s="25">
        <f t="shared" si="27"/>
        <v>1135780</v>
      </c>
      <c r="D1781" s="28">
        <f>C1781/SUM(Data!$J$2:$J$2379)</f>
        <v>0.93142834649285389</v>
      </c>
    </row>
    <row r="1782" spans="1:4" x14ac:dyDescent="0.3">
      <c r="A1782" s="25">
        <v>1781</v>
      </c>
      <c r="B1782" s="25">
        <f>LARGE(Data!$J$2:$J$2379,A1782)</f>
        <v>260</v>
      </c>
      <c r="C1782" s="25">
        <f t="shared" si="27"/>
        <v>1136040</v>
      </c>
      <c r="D1782" s="28">
        <f>C1782/SUM(Data!$J$2:$J$2379)</f>
        <v>0.93164156680848553</v>
      </c>
    </row>
    <row r="1783" spans="1:4" x14ac:dyDescent="0.3">
      <c r="A1783" s="25">
        <v>1782</v>
      </c>
      <c r="B1783" s="25">
        <f>LARGE(Data!$J$2:$J$2379,A1783)</f>
        <v>260</v>
      </c>
      <c r="C1783" s="25">
        <f t="shared" si="27"/>
        <v>1136300</v>
      </c>
      <c r="D1783" s="28">
        <f>C1783/SUM(Data!$J$2:$J$2379)</f>
        <v>0.93185478712411718</v>
      </c>
    </row>
    <row r="1784" spans="1:4" x14ac:dyDescent="0.3">
      <c r="A1784" s="25">
        <v>1783</v>
      </c>
      <c r="B1784" s="25">
        <f>LARGE(Data!$J$2:$J$2379,A1784)</f>
        <v>260</v>
      </c>
      <c r="C1784" s="25">
        <f t="shared" si="27"/>
        <v>1136560</v>
      </c>
      <c r="D1784" s="28">
        <f>C1784/SUM(Data!$J$2:$J$2379)</f>
        <v>0.93206800743974882</v>
      </c>
    </row>
    <row r="1785" spans="1:4" x14ac:dyDescent="0.3">
      <c r="A1785" s="25">
        <v>1784</v>
      </c>
      <c r="B1785" s="25">
        <f>LARGE(Data!$J$2:$J$2379,A1785)</f>
        <v>260</v>
      </c>
      <c r="C1785" s="25">
        <f t="shared" si="27"/>
        <v>1136820</v>
      </c>
      <c r="D1785" s="28">
        <f>C1785/SUM(Data!$J$2:$J$2379)</f>
        <v>0.93228122775538058</v>
      </c>
    </row>
    <row r="1786" spans="1:4" x14ac:dyDescent="0.3">
      <c r="A1786" s="25">
        <v>1785</v>
      </c>
      <c r="B1786" s="25">
        <f>LARGE(Data!$J$2:$J$2379,A1786)</f>
        <v>260</v>
      </c>
      <c r="C1786" s="25">
        <f t="shared" si="27"/>
        <v>1137080</v>
      </c>
      <c r="D1786" s="28">
        <f>C1786/SUM(Data!$J$2:$J$2379)</f>
        <v>0.93249444807101223</v>
      </c>
    </row>
    <row r="1787" spans="1:4" x14ac:dyDescent="0.3">
      <c r="A1787" s="25">
        <v>1786</v>
      </c>
      <c r="B1787" s="25">
        <f>LARGE(Data!$J$2:$J$2379,A1787)</f>
        <v>260</v>
      </c>
      <c r="C1787" s="25">
        <f t="shared" si="27"/>
        <v>1137340</v>
      </c>
      <c r="D1787" s="28">
        <f>C1787/SUM(Data!$J$2:$J$2379)</f>
        <v>0.93270766838664387</v>
      </c>
    </row>
    <row r="1788" spans="1:4" x14ac:dyDescent="0.3">
      <c r="A1788" s="25">
        <v>1787</v>
      </c>
      <c r="B1788" s="25">
        <f>LARGE(Data!$J$2:$J$2379,A1788)</f>
        <v>260</v>
      </c>
      <c r="C1788" s="25">
        <f t="shared" si="27"/>
        <v>1137600</v>
      </c>
      <c r="D1788" s="28">
        <f>C1788/SUM(Data!$J$2:$J$2379)</f>
        <v>0.93292088870227552</v>
      </c>
    </row>
    <row r="1789" spans="1:4" x14ac:dyDescent="0.3">
      <c r="A1789" s="25">
        <v>1788</v>
      </c>
      <c r="B1789" s="25">
        <f>LARGE(Data!$J$2:$J$2379,A1789)</f>
        <v>260</v>
      </c>
      <c r="C1789" s="25">
        <f t="shared" si="27"/>
        <v>1137860</v>
      </c>
      <c r="D1789" s="28">
        <f>C1789/SUM(Data!$J$2:$J$2379)</f>
        <v>0.93313410901790728</v>
      </c>
    </row>
    <row r="1790" spans="1:4" x14ac:dyDescent="0.3">
      <c r="A1790" s="25">
        <v>1789</v>
      </c>
      <c r="B1790" s="25">
        <f>LARGE(Data!$J$2:$J$2379,A1790)</f>
        <v>260</v>
      </c>
      <c r="C1790" s="25">
        <f t="shared" si="27"/>
        <v>1138120</v>
      </c>
      <c r="D1790" s="28">
        <f>C1790/SUM(Data!$J$2:$J$2379)</f>
        <v>0.93334732933353892</v>
      </c>
    </row>
    <row r="1791" spans="1:4" x14ac:dyDescent="0.3">
      <c r="A1791" s="25">
        <v>1790</v>
      </c>
      <c r="B1791" s="25">
        <f>LARGE(Data!$J$2:$J$2379,A1791)</f>
        <v>260</v>
      </c>
      <c r="C1791" s="25">
        <f t="shared" si="27"/>
        <v>1138380</v>
      </c>
      <c r="D1791" s="28">
        <f>C1791/SUM(Data!$J$2:$J$2379)</f>
        <v>0.93356054964917057</v>
      </c>
    </row>
    <row r="1792" spans="1:4" x14ac:dyDescent="0.3">
      <c r="A1792" s="25">
        <v>1791</v>
      </c>
      <c r="B1792" s="25">
        <f>LARGE(Data!$J$2:$J$2379,A1792)</f>
        <v>260</v>
      </c>
      <c r="C1792" s="25">
        <f t="shared" si="27"/>
        <v>1138640</v>
      </c>
      <c r="D1792" s="28">
        <f>C1792/SUM(Data!$J$2:$J$2379)</f>
        <v>0.93377376996480221</v>
      </c>
    </row>
    <row r="1793" spans="1:4" x14ac:dyDescent="0.3">
      <c r="A1793" s="25">
        <v>1792</v>
      </c>
      <c r="B1793" s="25">
        <f>LARGE(Data!$J$2:$J$2379,A1793)</f>
        <v>260</v>
      </c>
      <c r="C1793" s="25">
        <f t="shared" si="27"/>
        <v>1138900</v>
      </c>
      <c r="D1793" s="28">
        <f>C1793/SUM(Data!$J$2:$J$2379)</f>
        <v>0.93398699028043397</v>
      </c>
    </row>
    <row r="1794" spans="1:4" x14ac:dyDescent="0.3">
      <c r="A1794" s="25">
        <v>1793</v>
      </c>
      <c r="B1794" s="25">
        <f>LARGE(Data!$J$2:$J$2379,A1794)</f>
        <v>260</v>
      </c>
      <c r="C1794" s="25">
        <f t="shared" si="27"/>
        <v>1139160</v>
      </c>
      <c r="D1794" s="28">
        <f>C1794/SUM(Data!$J$2:$J$2379)</f>
        <v>0.93420021059606562</v>
      </c>
    </row>
    <row r="1795" spans="1:4" x14ac:dyDescent="0.3">
      <c r="A1795" s="25">
        <v>1794</v>
      </c>
      <c r="B1795" s="25">
        <f>LARGE(Data!$J$2:$J$2379,A1795)</f>
        <v>260</v>
      </c>
      <c r="C1795" s="25">
        <f t="shared" ref="C1795:C1858" si="28">C1794+B1795</f>
        <v>1139420</v>
      </c>
      <c r="D1795" s="28">
        <f>C1795/SUM(Data!$J$2:$J$2379)</f>
        <v>0.93441343091169726</v>
      </c>
    </row>
    <row r="1796" spans="1:4" x14ac:dyDescent="0.3">
      <c r="A1796" s="25">
        <v>1795</v>
      </c>
      <c r="B1796" s="25">
        <f>LARGE(Data!$J$2:$J$2379,A1796)</f>
        <v>260</v>
      </c>
      <c r="C1796" s="25">
        <f t="shared" si="28"/>
        <v>1139680</v>
      </c>
      <c r="D1796" s="28">
        <f>C1796/SUM(Data!$J$2:$J$2379)</f>
        <v>0.93462665122732891</v>
      </c>
    </row>
    <row r="1797" spans="1:4" x14ac:dyDescent="0.3">
      <c r="A1797" s="25">
        <v>1796</v>
      </c>
      <c r="B1797" s="25">
        <f>LARGE(Data!$J$2:$J$2379,A1797)</f>
        <v>260</v>
      </c>
      <c r="C1797" s="25">
        <f t="shared" si="28"/>
        <v>1139940</v>
      </c>
      <c r="D1797" s="28">
        <f>C1797/SUM(Data!$J$2:$J$2379)</f>
        <v>0.93483987154296067</v>
      </c>
    </row>
    <row r="1798" spans="1:4" x14ac:dyDescent="0.3">
      <c r="A1798" s="25">
        <v>1797</v>
      </c>
      <c r="B1798" s="25">
        <f>LARGE(Data!$J$2:$J$2379,A1798)</f>
        <v>260</v>
      </c>
      <c r="C1798" s="25">
        <f t="shared" si="28"/>
        <v>1140200</v>
      </c>
      <c r="D1798" s="28">
        <f>C1798/SUM(Data!$J$2:$J$2379)</f>
        <v>0.93505309185859231</v>
      </c>
    </row>
    <row r="1799" spans="1:4" x14ac:dyDescent="0.3">
      <c r="A1799" s="25">
        <v>1798</v>
      </c>
      <c r="B1799" s="25">
        <f>LARGE(Data!$J$2:$J$2379,A1799)</f>
        <v>260</v>
      </c>
      <c r="C1799" s="25">
        <f t="shared" si="28"/>
        <v>1140460</v>
      </c>
      <c r="D1799" s="28">
        <f>C1799/SUM(Data!$J$2:$J$2379)</f>
        <v>0.93526631217422396</v>
      </c>
    </row>
    <row r="1800" spans="1:4" x14ac:dyDescent="0.3">
      <c r="A1800" s="25">
        <v>1799</v>
      </c>
      <c r="B1800" s="25">
        <f>LARGE(Data!$J$2:$J$2379,A1800)</f>
        <v>260</v>
      </c>
      <c r="C1800" s="25">
        <f t="shared" si="28"/>
        <v>1140720</v>
      </c>
      <c r="D1800" s="28">
        <f>C1800/SUM(Data!$J$2:$J$2379)</f>
        <v>0.9354795324898556</v>
      </c>
    </row>
    <row r="1801" spans="1:4" x14ac:dyDescent="0.3">
      <c r="A1801" s="25">
        <v>1800</v>
      </c>
      <c r="B1801" s="25">
        <f>LARGE(Data!$J$2:$J$2379,A1801)</f>
        <v>260</v>
      </c>
      <c r="C1801" s="25">
        <f t="shared" si="28"/>
        <v>1140980</v>
      </c>
      <c r="D1801" s="28">
        <f>C1801/SUM(Data!$J$2:$J$2379)</f>
        <v>0.93569275280548736</v>
      </c>
    </row>
    <row r="1802" spans="1:4" x14ac:dyDescent="0.3">
      <c r="A1802" s="25">
        <v>1801</v>
      </c>
      <c r="B1802" s="25">
        <f>LARGE(Data!$J$2:$J$2379,A1802)</f>
        <v>260</v>
      </c>
      <c r="C1802" s="25">
        <f t="shared" si="28"/>
        <v>1141240</v>
      </c>
      <c r="D1802" s="28">
        <f>C1802/SUM(Data!$J$2:$J$2379)</f>
        <v>0.93590597312111901</v>
      </c>
    </row>
    <row r="1803" spans="1:4" x14ac:dyDescent="0.3">
      <c r="A1803" s="25">
        <v>1802</v>
      </c>
      <c r="B1803" s="25">
        <f>LARGE(Data!$J$2:$J$2379,A1803)</f>
        <v>260</v>
      </c>
      <c r="C1803" s="25">
        <f t="shared" si="28"/>
        <v>1141500</v>
      </c>
      <c r="D1803" s="28">
        <f>C1803/SUM(Data!$J$2:$J$2379)</f>
        <v>0.93611919343675065</v>
      </c>
    </row>
    <row r="1804" spans="1:4" x14ac:dyDescent="0.3">
      <c r="A1804" s="25">
        <v>1803</v>
      </c>
      <c r="B1804" s="25">
        <f>LARGE(Data!$J$2:$J$2379,A1804)</f>
        <v>260</v>
      </c>
      <c r="C1804" s="25">
        <f t="shared" si="28"/>
        <v>1141760</v>
      </c>
      <c r="D1804" s="28">
        <f>C1804/SUM(Data!$J$2:$J$2379)</f>
        <v>0.9363324137523823</v>
      </c>
    </row>
    <row r="1805" spans="1:4" x14ac:dyDescent="0.3">
      <c r="A1805" s="25">
        <v>1804</v>
      </c>
      <c r="B1805" s="25">
        <f>LARGE(Data!$J$2:$J$2379,A1805)</f>
        <v>260</v>
      </c>
      <c r="C1805" s="25">
        <f t="shared" si="28"/>
        <v>1142020</v>
      </c>
      <c r="D1805" s="28">
        <f>C1805/SUM(Data!$J$2:$J$2379)</f>
        <v>0.93654563406801405</v>
      </c>
    </row>
    <row r="1806" spans="1:4" x14ac:dyDescent="0.3">
      <c r="A1806" s="25">
        <v>1805</v>
      </c>
      <c r="B1806" s="25">
        <f>LARGE(Data!$J$2:$J$2379,A1806)</f>
        <v>260</v>
      </c>
      <c r="C1806" s="25">
        <f t="shared" si="28"/>
        <v>1142280</v>
      </c>
      <c r="D1806" s="28">
        <f>C1806/SUM(Data!$J$2:$J$2379)</f>
        <v>0.9367588543836457</v>
      </c>
    </row>
    <row r="1807" spans="1:4" x14ac:dyDescent="0.3">
      <c r="A1807" s="25">
        <v>1806</v>
      </c>
      <c r="B1807" s="25">
        <f>LARGE(Data!$J$2:$J$2379,A1807)</f>
        <v>260</v>
      </c>
      <c r="C1807" s="25">
        <f t="shared" si="28"/>
        <v>1142540</v>
      </c>
      <c r="D1807" s="28">
        <f>C1807/SUM(Data!$J$2:$J$2379)</f>
        <v>0.93697207469927735</v>
      </c>
    </row>
    <row r="1808" spans="1:4" x14ac:dyDescent="0.3">
      <c r="A1808" s="25">
        <v>1807</v>
      </c>
      <c r="B1808" s="25">
        <f>LARGE(Data!$J$2:$J$2379,A1808)</f>
        <v>260</v>
      </c>
      <c r="C1808" s="25">
        <f t="shared" si="28"/>
        <v>1142800</v>
      </c>
      <c r="D1808" s="28">
        <f>C1808/SUM(Data!$J$2:$J$2379)</f>
        <v>0.93718529501490899</v>
      </c>
    </row>
    <row r="1809" spans="1:4" x14ac:dyDescent="0.3">
      <c r="A1809" s="25">
        <v>1808</v>
      </c>
      <c r="B1809" s="25">
        <f>LARGE(Data!$J$2:$J$2379,A1809)</f>
        <v>260</v>
      </c>
      <c r="C1809" s="25">
        <f t="shared" si="28"/>
        <v>1143060</v>
      </c>
      <c r="D1809" s="28">
        <f>C1809/SUM(Data!$J$2:$J$2379)</f>
        <v>0.93739851533054075</v>
      </c>
    </row>
    <row r="1810" spans="1:4" x14ac:dyDescent="0.3">
      <c r="A1810" s="25">
        <v>1809</v>
      </c>
      <c r="B1810" s="25">
        <f>LARGE(Data!$J$2:$J$2379,A1810)</f>
        <v>260</v>
      </c>
      <c r="C1810" s="25">
        <f t="shared" si="28"/>
        <v>1143320</v>
      </c>
      <c r="D1810" s="28">
        <f>C1810/SUM(Data!$J$2:$J$2379)</f>
        <v>0.9376117356461724</v>
      </c>
    </row>
    <row r="1811" spans="1:4" x14ac:dyDescent="0.3">
      <c r="A1811" s="25">
        <v>1810</v>
      </c>
      <c r="B1811" s="25">
        <f>LARGE(Data!$J$2:$J$2379,A1811)</f>
        <v>260</v>
      </c>
      <c r="C1811" s="25">
        <f t="shared" si="28"/>
        <v>1143580</v>
      </c>
      <c r="D1811" s="28">
        <f>C1811/SUM(Data!$J$2:$J$2379)</f>
        <v>0.93782495596180404</v>
      </c>
    </row>
    <row r="1812" spans="1:4" x14ac:dyDescent="0.3">
      <c r="A1812" s="25">
        <v>1811</v>
      </c>
      <c r="B1812" s="25">
        <f>LARGE(Data!$J$2:$J$2379,A1812)</f>
        <v>260</v>
      </c>
      <c r="C1812" s="25">
        <f t="shared" si="28"/>
        <v>1143840</v>
      </c>
      <c r="D1812" s="28">
        <f>C1812/SUM(Data!$J$2:$J$2379)</f>
        <v>0.93803817627743569</v>
      </c>
    </row>
    <row r="1813" spans="1:4" x14ac:dyDescent="0.3">
      <c r="A1813" s="25">
        <v>1812</v>
      </c>
      <c r="B1813" s="25">
        <f>LARGE(Data!$J$2:$J$2379,A1813)</f>
        <v>260</v>
      </c>
      <c r="C1813" s="25">
        <f t="shared" si="28"/>
        <v>1144100</v>
      </c>
      <c r="D1813" s="28">
        <f>C1813/SUM(Data!$J$2:$J$2379)</f>
        <v>0.93825139659306733</v>
      </c>
    </row>
    <row r="1814" spans="1:4" x14ac:dyDescent="0.3">
      <c r="A1814" s="25">
        <v>1813</v>
      </c>
      <c r="B1814" s="25">
        <f>LARGE(Data!$J$2:$J$2379,A1814)</f>
        <v>260</v>
      </c>
      <c r="C1814" s="25">
        <f t="shared" si="28"/>
        <v>1144360</v>
      </c>
      <c r="D1814" s="28">
        <f>C1814/SUM(Data!$J$2:$J$2379)</f>
        <v>0.93846461690869909</v>
      </c>
    </row>
    <row r="1815" spans="1:4" x14ac:dyDescent="0.3">
      <c r="A1815" s="25">
        <v>1814</v>
      </c>
      <c r="B1815" s="25">
        <f>LARGE(Data!$J$2:$J$2379,A1815)</f>
        <v>260</v>
      </c>
      <c r="C1815" s="25">
        <f t="shared" si="28"/>
        <v>1144620</v>
      </c>
      <c r="D1815" s="28">
        <f>C1815/SUM(Data!$J$2:$J$2379)</f>
        <v>0.93867783722433074</v>
      </c>
    </row>
    <row r="1816" spans="1:4" x14ac:dyDescent="0.3">
      <c r="A1816" s="25">
        <v>1815</v>
      </c>
      <c r="B1816" s="25">
        <f>LARGE(Data!$J$2:$J$2379,A1816)</f>
        <v>260</v>
      </c>
      <c r="C1816" s="25">
        <f t="shared" si="28"/>
        <v>1144880</v>
      </c>
      <c r="D1816" s="28">
        <f>C1816/SUM(Data!$J$2:$J$2379)</f>
        <v>0.93889105753996238</v>
      </c>
    </row>
    <row r="1817" spans="1:4" x14ac:dyDescent="0.3">
      <c r="A1817" s="25">
        <v>1816</v>
      </c>
      <c r="B1817" s="25">
        <f>LARGE(Data!$J$2:$J$2379,A1817)</f>
        <v>260</v>
      </c>
      <c r="C1817" s="25">
        <f t="shared" si="28"/>
        <v>1145140</v>
      </c>
      <c r="D1817" s="28">
        <f>C1817/SUM(Data!$J$2:$J$2379)</f>
        <v>0.93910427785559403</v>
      </c>
    </row>
    <row r="1818" spans="1:4" x14ac:dyDescent="0.3">
      <c r="A1818" s="25">
        <v>1817</v>
      </c>
      <c r="B1818" s="25">
        <f>LARGE(Data!$J$2:$J$2379,A1818)</f>
        <v>260</v>
      </c>
      <c r="C1818" s="25">
        <f t="shared" si="28"/>
        <v>1145400</v>
      </c>
      <c r="D1818" s="28">
        <f>C1818/SUM(Data!$J$2:$J$2379)</f>
        <v>0.93931749817122578</v>
      </c>
    </row>
    <row r="1819" spans="1:4" x14ac:dyDescent="0.3">
      <c r="A1819" s="25">
        <v>1818</v>
      </c>
      <c r="B1819" s="25">
        <f>LARGE(Data!$J$2:$J$2379,A1819)</f>
        <v>260</v>
      </c>
      <c r="C1819" s="25">
        <f t="shared" si="28"/>
        <v>1145660</v>
      </c>
      <c r="D1819" s="28">
        <f>C1819/SUM(Data!$J$2:$J$2379)</f>
        <v>0.93953071848685743</v>
      </c>
    </row>
    <row r="1820" spans="1:4" x14ac:dyDescent="0.3">
      <c r="A1820" s="25">
        <v>1819</v>
      </c>
      <c r="B1820" s="25">
        <f>LARGE(Data!$J$2:$J$2379,A1820)</f>
        <v>260</v>
      </c>
      <c r="C1820" s="25">
        <f t="shared" si="28"/>
        <v>1145920</v>
      </c>
      <c r="D1820" s="28">
        <f>C1820/SUM(Data!$J$2:$J$2379)</f>
        <v>0.93974393880248908</v>
      </c>
    </row>
    <row r="1821" spans="1:4" x14ac:dyDescent="0.3">
      <c r="A1821" s="25">
        <v>1820</v>
      </c>
      <c r="B1821" s="25">
        <f>LARGE(Data!$J$2:$J$2379,A1821)</f>
        <v>260</v>
      </c>
      <c r="C1821" s="25">
        <f t="shared" si="28"/>
        <v>1146180</v>
      </c>
      <c r="D1821" s="28">
        <f>C1821/SUM(Data!$J$2:$J$2379)</f>
        <v>0.93995715911812072</v>
      </c>
    </row>
    <row r="1822" spans="1:4" x14ac:dyDescent="0.3">
      <c r="A1822" s="25">
        <v>1821</v>
      </c>
      <c r="B1822" s="25">
        <f>LARGE(Data!$J$2:$J$2379,A1822)</f>
        <v>260</v>
      </c>
      <c r="C1822" s="25">
        <f t="shared" si="28"/>
        <v>1146440</v>
      </c>
      <c r="D1822" s="28">
        <f>C1822/SUM(Data!$J$2:$J$2379)</f>
        <v>0.94017037943375248</v>
      </c>
    </row>
    <row r="1823" spans="1:4" x14ac:dyDescent="0.3">
      <c r="A1823" s="25">
        <v>1822</v>
      </c>
      <c r="B1823" s="25">
        <f>LARGE(Data!$J$2:$J$2379,A1823)</f>
        <v>260</v>
      </c>
      <c r="C1823" s="25">
        <f t="shared" si="28"/>
        <v>1146700</v>
      </c>
      <c r="D1823" s="28">
        <f>C1823/SUM(Data!$J$2:$J$2379)</f>
        <v>0.94038359974938412</v>
      </c>
    </row>
    <row r="1824" spans="1:4" x14ac:dyDescent="0.3">
      <c r="A1824" s="25">
        <v>1823</v>
      </c>
      <c r="B1824" s="25">
        <f>LARGE(Data!$J$2:$J$2379,A1824)</f>
        <v>260</v>
      </c>
      <c r="C1824" s="25">
        <f t="shared" si="28"/>
        <v>1146960</v>
      </c>
      <c r="D1824" s="28">
        <f>C1824/SUM(Data!$J$2:$J$2379)</f>
        <v>0.94059682006501577</v>
      </c>
    </row>
    <row r="1825" spans="1:4" x14ac:dyDescent="0.3">
      <c r="A1825" s="25">
        <v>1824</v>
      </c>
      <c r="B1825" s="25">
        <f>LARGE(Data!$J$2:$J$2379,A1825)</f>
        <v>260</v>
      </c>
      <c r="C1825" s="25">
        <f t="shared" si="28"/>
        <v>1147220</v>
      </c>
      <c r="D1825" s="28">
        <f>C1825/SUM(Data!$J$2:$J$2379)</f>
        <v>0.94081004038064742</v>
      </c>
    </row>
    <row r="1826" spans="1:4" x14ac:dyDescent="0.3">
      <c r="A1826" s="25">
        <v>1825</v>
      </c>
      <c r="B1826" s="25">
        <f>LARGE(Data!$J$2:$J$2379,A1826)</f>
        <v>260</v>
      </c>
      <c r="C1826" s="25">
        <f t="shared" si="28"/>
        <v>1147480</v>
      </c>
      <c r="D1826" s="28">
        <f>C1826/SUM(Data!$J$2:$J$2379)</f>
        <v>0.94102326069627917</v>
      </c>
    </row>
    <row r="1827" spans="1:4" x14ac:dyDescent="0.3">
      <c r="A1827" s="25">
        <v>1826</v>
      </c>
      <c r="B1827" s="25">
        <f>LARGE(Data!$J$2:$J$2379,A1827)</f>
        <v>260</v>
      </c>
      <c r="C1827" s="25">
        <f t="shared" si="28"/>
        <v>1147740</v>
      </c>
      <c r="D1827" s="28">
        <f>C1827/SUM(Data!$J$2:$J$2379)</f>
        <v>0.94123648101191082</v>
      </c>
    </row>
    <row r="1828" spans="1:4" x14ac:dyDescent="0.3">
      <c r="A1828" s="25">
        <v>1827</v>
      </c>
      <c r="B1828" s="25">
        <f>LARGE(Data!$J$2:$J$2379,A1828)</f>
        <v>260</v>
      </c>
      <c r="C1828" s="25">
        <f t="shared" si="28"/>
        <v>1148000</v>
      </c>
      <c r="D1828" s="28">
        <f>C1828/SUM(Data!$J$2:$J$2379)</f>
        <v>0.94144970132754247</v>
      </c>
    </row>
    <row r="1829" spans="1:4" x14ac:dyDescent="0.3">
      <c r="A1829" s="25">
        <v>1828</v>
      </c>
      <c r="B1829" s="25">
        <f>LARGE(Data!$J$2:$J$2379,A1829)</f>
        <v>260</v>
      </c>
      <c r="C1829" s="25">
        <f t="shared" si="28"/>
        <v>1148260</v>
      </c>
      <c r="D1829" s="28">
        <f>C1829/SUM(Data!$J$2:$J$2379)</f>
        <v>0.94166292164317411</v>
      </c>
    </row>
    <row r="1830" spans="1:4" x14ac:dyDescent="0.3">
      <c r="A1830" s="25">
        <v>1829</v>
      </c>
      <c r="B1830" s="25">
        <f>LARGE(Data!$J$2:$J$2379,A1830)</f>
        <v>260</v>
      </c>
      <c r="C1830" s="25">
        <f t="shared" si="28"/>
        <v>1148520</v>
      </c>
      <c r="D1830" s="28">
        <f>C1830/SUM(Data!$J$2:$J$2379)</f>
        <v>0.94187614195880587</v>
      </c>
    </row>
    <row r="1831" spans="1:4" x14ac:dyDescent="0.3">
      <c r="A1831" s="25">
        <v>1830</v>
      </c>
      <c r="B1831" s="25">
        <f>LARGE(Data!$J$2:$J$2379,A1831)</f>
        <v>260</v>
      </c>
      <c r="C1831" s="25">
        <f t="shared" si="28"/>
        <v>1148780</v>
      </c>
      <c r="D1831" s="28">
        <f>C1831/SUM(Data!$J$2:$J$2379)</f>
        <v>0.94208936227443751</v>
      </c>
    </row>
    <row r="1832" spans="1:4" x14ac:dyDescent="0.3">
      <c r="A1832" s="25">
        <v>1831</v>
      </c>
      <c r="B1832" s="25">
        <f>LARGE(Data!$J$2:$J$2379,A1832)</f>
        <v>260</v>
      </c>
      <c r="C1832" s="25">
        <f t="shared" si="28"/>
        <v>1149040</v>
      </c>
      <c r="D1832" s="28">
        <f>C1832/SUM(Data!$J$2:$J$2379)</f>
        <v>0.94230258259006916</v>
      </c>
    </row>
    <row r="1833" spans="1:4" x14ac:dyDescent="0.3">
      <c r="A1833" s="25">
        <v>1832</v>
      </c>
      <c r="B1833" s="25">
        <f>LARGE(Data!$J$2:$J$2379,A1833)</f>
        <v>260</v>
      </c>
      <c r="C1833" s="25">
        <f t="shared" si="28"/>
        <v>1149300</v>
      </c>
      <c r="D1833" s="28">
        <f>C1833/SUM(Data!$J$2:$J$2379)</f>
        <v>0.94251580290570081</v>
      </c>
    </row>
    <row r="1834" spans="1:4" x14ac:dyDescent="0.3">
      <c r="A1834" s="25">
        <v>1833</v>
      </c>
      <c r="B1834" s="25">
        <f>LARGE(Data!$J$2:$J$2379,A1834)</f>
        <v>260</v>
      </c>
      <c r="C1834" s="25">
        <f t="shared" si="28"/>
        <v>1149560</v>
      </c>
      <c r="D1834" s="28">
        <f>C1834/SUM(Data!$J$2:$J$2379)</f>
        <v>0.94272902322133256</v>
      </c>
    </row>
    <row r="1835" spans="1:4" x14ac:dyDescent="0.3">
      <c r="A1835" s="25">
        <v>1834</v>
      </c>
      <c r="B1835" s="25">
        <f>LARGE(Data!$J$2:$J$2379,A1835)</f>
        <v>260</v>
      </c>
      <c r="C1835" s="25">
        <f t="shared" si="28"/>
        <v>1149820</v>
      </c>
      <c r="D1835" s="28">
        <f>C1835/SUM(Data!$J$2:$J$2379)</f>
        <v>0.94294224353696421</v>
      </c>
    </row>
    <row r="1836" spans="1:4" x14ac:dyDescent="0.3">
      <c r="A1836" s="25">
        <v>1835</v>
      </c>
      <c r="B1836" s="25">
        <f>LARGE(Data!$J$2:$J$2379,A1836)</f>
        <v>260</v>
      </c>
      <c r="C1836" s="25">
        <f t="shared" si="28"/>
        <v>1150080</v>
      </c>
      <c r="D1836" s="28">
        <f>C1836/SUM(Data!$J$2:$J$2379)</f>
        <v>0.94315546385259585</v>
      </c>
    </row>
    <row r="1837" spans="1:4" x14ac:dyDescent="0.3">
      <c r="A1837" s="25">
        <v>1836</v>
      </c>
      <c r="B1837" s="25">
        <f>LARGE(Data!$J$2:$J$2379,A1837)</f>
        <v>260</v>
      </c>
      <c r="C1837" s="25">
        <f t="shared" si="28"/>
        <v>1150340</v>
      </c>
      <c r="D1837" s="28">
        <f>C1837/SUM(Data!$J$2:$J$2379)</f>
        <v>0.9433686841682275</v>
      </c>
    </row>
    <row r="1838" spans="1:4" x14ac:dyDescent="0.3">
      <c r="A1838" s="25">
        <v>1837</v>
      </c>
      <c r="B1838" s="25">
        <f>LARGE(Data!$J$2:$J$2379,A1838)</f>
        <v>260</v>
      </c>
      <c r="C1838" s="25">
        <f t="shared" si="28"/>
        <v>1150600</v>
      </c>
      <c r="D1838" s="28">
        <f>C1838/SUM(Data!$J$2:$J$2379)</f>
        <v>0.94358190448385926</v>
      </c>
    </row>
    <row r="1839" spans="1:4" x14ac:dyDescent="0.3">
      <c r="A1839" s="25">
        <v>1838</v>
      </c>
      <c r="B1839" s="25">
        <f>LARGE(Data!$J$2:$J$2379,A1839)</f>
        <v>260</v>
      </c>
      <c r="C1839" s="25">
        <f t="shared" si="28"/>
        <v>1150860</v>
      </c>
      <c r="D1839" s="28">
        <f>C1839/SUM(Data!$J$2:$J$2379)</f>
        <v>0.9437951247994909</v>
      </c>
    </row>
    <row r="1840" spans="1:4" x14ac:dyDescent="0.3">
      <c r="A1840" s="25">
        <v>1839</v>
      </c>
      <c r="B1840" s="25">
        <f>LARGE(Data!$J$2:$J$2379,A1840)</f>
        <v>260</v>
      </c>
      <c r="C1840" s="25">
        <f t="shared" si="28"/>
        <v>1151120</v>
      </c>
      <c r="D1840" s="28">
        <f>C1840/SUM(Data!$J$2:$J$2379)</f>
        <v>0.94400834511512255</v>
      </c>
    </row>
    <row r="1841" spans="1:4" x14ac:dyDescent="0.3">
      <c r="A1841" s="25">
        <v>1840</v>
      </c>
      <c r="B1841" s="25">
        <f>LARGE(Data!$J$2:$J$2379,A1841)</f>
        <v>260</v>
      </c>
      <c r="C1841" s="25">
        <f t="shared" si="28"/>
        <v>1151380</v>
      </c>
      <c r="D1841" s="28">
        <f>C1841/SUM(Data!$J$2:$J$2379)</f>
        <v>0.94422156543075419</v>
      </c>
    </row>
    <row r="1842" spans="1:4" x14ac:dyDescent="0.3">
      <c r="A1842" s="25">
        <v>1841</v>
      </c>
      <c r="B1842" s="25">
        <f>LARGE(Data!$J$2:$J$2379,A1842)</f>
        <v>260</v>
      </c>
      <c r="C1842" s="25">
        <f t="shared" si="28"/>
        <v>1151640</v>
      </c>
      <c r="D1842" s="28">
        <f>C1842/SUM(Data!$J$2:$J$2379)</f>
        <v>0.94443478574638595</v>
      </c>
    </row>
    <row r="1843" spans="1:4" x14ac:dyDescent="0.3">
      <c r="A1843" s="25">
        <v>1842</v>
      </c>
      <c r="B1843" s="25">
        <f>LARGE(Data!$J$2:$J$2379,A1843)</f>
        <v>260</v>
      </c>
      <c r="C1843" s="25">
        <f t="shared" si="28"/>
        <v>1151900</v>
      </c>
      <c r="D1843" s="28">
        <f>C1843/SUM(Data!$J$2:$J$2379)</f>
        <v>0.9446480060620176</v>
      </c>
    </row>
    <row r="1844" spans="1:4" x14ac:dyDescent="0.3">
      <c r="A1844" s="25">
        <v>1843</v>
      </c>
      <c r="B1844" s="25">
        <f>LARGE(Data!$J$2:$J$2379,A1844)</f>
        <v>260</v>
      </c>
      <c r="C1844" s="25">
        <f t="shared" si="28"/>
        <v>1152160</v>
      </c>
      <c r="D1844" s="28">
        <f>C1844/SUM(Data!$J$2:$J$2379)</f>
        <v>0.94486122637764924</v>
      </c>
    </row>
    <row r="1845" spans="1:4" x14ac:dyDescent="0.3">
      <c r="A1845" s="25">
        <v>1844</v>
      </c>
      <c r="B1845" s="25">
        <f>LARGE(Data!$J$2:$J$2379,A1845)</f>
        <v>260</v>
      </c>
      <c r="C1845" s="25">
        <f t="shared" si="28"/>
        <v>1152420</v>
      </c>
      <c r="D1845" s="28">
        <f>C1845/SUM(Data!$J$2:$J$2379)</f>
        <v>0.94507444669328089</v>
      </c>
    </row>
    <row r="1846" spans="1:4" x14ac:dyDescent="0.3">
      <c r="A1846" s="25">
        <v>1845</v>
      </c>
      <c r="B1846" s="25">
        <f>LARGE(Data!$J$2:$J$2379,A1846)</f>
        <v>260</v>
      </c>
      <c r="C1846" s="25">
        <f t="shared" si="28"/>
        <v>1152680</v>
      </c>
      <c r="D1846" s="28">
        <f>C1846/SUM(Data!$J$2:$J$2379)</f>
        <v>0.94528766700891265</v>
      </c>
    </row>
    <row r="1847" spans="1:4" x14ac:dyDescent="0.3">
      <c r="A1847" s="25">
        <v>1846</v>
      </c>
      <c r="B1847" s="25">
        <f>LARGE(Data!$J$2:$J$2379,A1847)</f>
        <v>260</v>
      </c>
      <c r="C1847" s="25">
        <f t="shared" si="28"/>
        <v>1152940</v>
      </c>
      <c r="D1847" s="28">
        <f>C1847/SUM(Data!$J$2:$J$2379)</f>
        <v>0.94550088732454429</v>
      </c>
    </row>
    <row r="1848" spans="1:4" x14ac:dyDescent="0.3">
      <c r="A1848" s="25">
        <v>1847</v>
      </c>
      <c r="B1848" s="25">
        <f>LARGE(Data!$J$2:$J$2379,A1848)</f>
        <v>260</v>
      </c>
      <c r="C1848" s="25">
        <f t="shared" si="28"/>
        <v>1153200</v>
      </c>
      <c r="D1848" s="28">
        <f>C1848/SUM(Data!$J$2:$J$2379)</f>
        <v>0.94571410764017594</v>
      </c>
    </row>
    <row r="1849" spans="1:4" x14ac:dyDescent="0.3">
      <c r="A1849" s="25">
        <v>1848</v>
      </c>
      <c r="B1849" s="25">
        <f>LARGE(Data!$J$2:$J$2379,A1849)</f>
        <v>260</v>
      </c>
      <c r="C1849" s="25">
        <f t="shared" si="28"/>
        <v>1153460</v>
      </c>
      <c r="D1849" s="28">
        <f>C1849/SUM(Data!$J$2:$J$2379)</f>
        <v>0.94592732795580758</v>
      </c>
    </row>
    <row r="1850" spans="1:4" x14ac:dyDescent="0.3">
      <c r="A1850" s="25">
        <v>1849</v>
      </c>
      <c r="B1850" s="25">
        <f>LARGE(Data!$J$2:$J$2379,A1850)</f>
        <v>260</v>
      </c>
      <c r="C1850" s="25">
        <f t="shared" si="28"/>
        <v>1153720</v>
      </c>
      <c r="D1850" s="28">
        <f>C1850/SUM(Data!$J$2:$J$2379)</f>
        <v>0.94614054827143934</v>
      </c>
    </row>
    <row r="1851" spans="1:4" x14ac:dyDescent="0.3">
      <c r="A1851" s="25">
        <v>1850</v>
      </c>
      <c r="B1851" s="25">
        <f>LARGE(Data!$J$2:$J$2379,A1851)</f>
        <v>260</v>
      </c>
      <c r="C1851" s="25">
        <f t="shared" si="28"/>
        <v>1153980</v>
      </c>
      <c r="D1851" s="28">
        <f>C1851/SUM(Data!$J$2:$J$2379)</f>
        <v>0.94635376858707099</v>
      </c>
    </row>
    <row r="1852" spans="1:4" x14ac:dyDescent="0.3">
      <c r="A1852" s="25">
        <v>1851</v>
      </c>
      <c r="B1852" s="25">
        <f>LARGE(Data!$J$2:$J$2379,A1852)</f>
        <v>260</v>
      </c>
      <c r="C1852" s="25">
        <f t="shared" si="28"/>
        <v>1154240</v>
      </c>
      <c r="D1852" s="28">
        <f>C1852/SUM(Data!$J$2:$J$2379)</f>
        <v>0.94656698890270263</v>
      </c>
    </row>
    <row r="1853" spans="1:4" x14ac:dyDescent="0.3">
      <c r="A1853" s="25">
        <v>1852</v>
      </c>
      <c r="B1853" s="25">
        <f>LARGE(Data!$J$2:$J$2379,A1853)</f>
        <v>260</v>
      </c>
      <c r="C1853" s="25">
        <f t="shared" si="28"/>
        <v>1154500</v>
      </c>
      <c r="D1853" s="28">
        <f>C1853/SUM(Data!$J$2:$J$2379)</f>
        <v>0.94678020921833428</v>
      </c>
    </row>
    <row r="1854" spans="1:4" x14ac:dyDescent="0.3">
      <c r="A1854" s="25">
        <v>1853</v>
      </c>
      <c r="B1854" s="25">
        <f>LARGE(Data!$J$2:$J$2379,A1854)</f>
        <v>260</v>
      </c>
      <c r="C1854" s="25">
        <f t="shared" si="28"/>
        <v>1154760</v>
      </c>
      <c r="D1854" s="28">
        <f>C1854/SUM(Data!$J$2:$J$2379)</f>
        <v>0.94699342953396604</v>
      </c>
    </row>
    <row r="1855" spans="1:4" x14ac:dyDescent="0.3">
      <c r="A1855" s="25">
        <v>1854</v>
      </c>
      <c r="B1855" s="25">
        <f>LARGE(Data!$J$2:$J$2379,A1855)</f>
        <v>260</v>
      </c>
      <c r="C1855" s="25">
        <f t="shared" si="28"/>
        <v>1155020</v>
      </c>
      <c r="D1855" s="28">
        <f>C1855/SUM(Data!$J$2:$J$2379)</f>
        <v>0.94720664984959768</v>
      </c>
    </row>
    <row r="1856" spans="1:4" x14ac:dyDescent="0.3">
      <c r="A1856" s="25">
        <v>1855</v>
      </c>
      <c r="B1856" s="25">
        <f>LARGE(Data!$J$2:$J$2379,A1856)</f>
        <v>260</v>
      </c>
      <c r="C1856" s="25">
        <f t="shared" si="28"/>
        <v>1155280</v>
      </c>
      <c r="D1856" s="28">
        <f>C1856/SUM(Data!$J$2:$J$2379)</f>
        <v>0.94741987016522933</v>
      </c>
    </row>
    <row r="1857" spans="1:4" x14ac:dyDescent="0.3">
      <c r="A1857" s="25">
        <v>1856</v>
      </c>
      <c r="B1857" s="25">
        <f>LARGE(Data!$J$2:$J$2379,A1857)</f>
        <v>260</v>
      </c>
      <c r="C1857" s="25">
        <f t="shared" si="28"/>
        <v>1155540</v>
      </c>
      <c r="D1857" s="28">
        <f>C1857/SUM(Data!$J$2:$J$2379)</f>
        <v>0.94763309048086097</v>
      </c>
    </row>
    <row r="1858" spans="1:4" x14ac:dyDescent="0.3">
      <c r="A1858" s="25">
        <v>1857</v>
      </c>
      <c r="B1858" s="25">
        <f>LARGE(Data!$J$2:$J$2379,A1858)</f>
        <v>260</v>
      </c>
      <c r="C1858" s="25">
        <f t="shared" si="28"/>
        <v>1155800</v>
      </c>
      <c r="D1858" s="28">
        <f>C1858/SUM(Data!$J$2:$J$2379)</f>
        <v>0.94784631079649273</v>
      </c>
    </row>
    <row r="1859" spans="1:4" x14ac:dyDescent="0.3">
      <c r="A1859" s="25">
        <v>1858</v>
      </c>
      <c r="B1859" s="25">
        <f>LARGE(Data!$J$2:$J$2379,A1859)</f>
        <v>260</v>
      </c>
      <c r="C1859" s="25">
        <f t="shared" ref="C1859:C1922" si="29">C1858+B1859</f>
        <v>1156060</v>
      </c>
      <c r="D1859" s="28">
        <f>C1859/SUM(Data!$J$2:$J$2379)</f>
        <v>0.94805953111212438</v>
      </c>
    </row>
    <row r="1860" spans="1:4" x14ac:dyDescent="0.3">
      <c r="A1860" s="25">
        <v>1859</v>
      </c>
      <c r="B1860" s="25">
        <f>LARGE(Data!$J$2:$J$2379,A1860)</f>
        <v>260</v>
      </c>
      <c r="C1860" s="25">
        <f t="shared" si="29"/>
        <v>1156320</v>
      </c>
      <c r="D1860" s="28">
        <f>C1860/SUM(Data!$J$2:$J$2379)</f>
        <v>0.94827275142775602</v>
      </c>
    </row>
    <row r="1861" spans="1:4" x14ac:dyDescent="0.3">
      <c r="A1861" s="25">
        <v>1860</v>
      </c>
      <c r="B1861" s="25">
        <f>LARGE(Data!$J$2:$J$2379,A1861)</f>
        <v>260</v>
      </c>
      <c r="C1861" s="25">
        <f t="shared" si="29"/>
        <v>1156580</v>
      </c>
      <c r="D1861" s="28">
        <f>C1861/SUM(Data!$J$2:$J$2379)</f>
        <v>0.94848597174338767</v>
      </c>
    </row>
    <row r="1862" spans="1:4" x14ac:dyDescent="0.3">
      <c r="A1862" s="25">
        <v>1861</v>
      </c>
      <c r="B1862" s="25">
        <f>LARGE(Data!$J$2:$J$2379,A1862)</f>
        <v>260</v>
      </c>
      <c r="C1862" s="25">
        <f t="shared" si="29"/>
        <v>1156840</v>
      </c>
      <c r="D1862" s="28">
        <f>C1862/SUM(Data!$J$2:$J$2379)</f>
        <v>0.94869919205901942</v>
      </c>
    </row>
    <row r="1863" spans="1:4" x14ac:dyDescent="0.3">
      <c r="A1863" s="25">
        <v>1862</v>
      </c>
      <c r="B1863" s="25">
        <f>LARGE(Data!$J$2:$J$2379,A1863)</f>
        <v>260</v>
      </c>
      <c r="C1863" s="25">
        <f t="shared" si="29"/>
        <v>1157100</v>
      </c>
      <c r="D1863" s="28">
        <f>C1863/SUM(Data!$J$2:$J$2379)</f>
        <v>0.94891241237465107</v>
      </c>
    </row>
    <row r="1864" spans="1:4" x14ac:dyDescent="0.3">
      <c r="A1864" s="25">
        <v>1863</v>
      </c>
      <c r="B1864" s="25">
        <f>LARGE(Data!$J$2:$J$2379,A1864)</f>
        <v>260</v>
      </c>
      <c r="C1864" s="25">
        <f t="shared" si="29"/>
        <v>1157360</v>
      </c>
      <c r="D1864" s="28">
        <f>C1864/SUM(Data!$J$2:$J$2379)</f>
        <v>0.94912563269028272</v>
      </c>
    </row>
    <row r="1865" spans="1:4" x14ac:dyDescent="0.3">
      <c r="A1865" s="25">
        <v>1864</v>
      </c>
      <c r="B1865" s="25">
        <f>LARGE(Data!$J$2:$J$2379,A1865)</f>
        <v>260</v>
      </c>
      <c r="C1865" s="25">
        <f t="shared" si="29"/>
        <v>1157620</v>
      </c>
      <c r="D1865" s="28">
        <f>C1865/SUM(Data!$J$2:$J$2379)</f>
        <v>0.94933885300591436</v>
      </c>
    </row>
    <row r="1866" spans="1:4" x14ac:dyDescent="0.3">
      <c r="A1866" s="25">
        <v>1865</v>
      </c>
      <c r="B1866" s="25">
        <f>LARGE(Data!$J$2:$J$2379,A1866)</f>
        <v>260</v>
      </c>
      <c r="C1866" s="25">
        <f t="shared" si="29"/>
        <v>1157880</v>
      </c>
      <c r="D1866" s="28">
        <f>C1866/SUM(Data!$J$2:$J$2379)</f>
        <v>0.94955207332154612</v>
      </c>
    </row>
    <row r="1867" spans="1:4" x14ac:dyDescent="0.3">
      <c r="A1867" s="25">
        <v>1866</v>
      </c>
      <c r="B1867" s="25">
        <f>LARGE(Data!$J$2:$J$2379,A1867)</f>
        <v>260</v>
      </c>
      <c r="C1867" s="25">
        <f t="shared" si="29"/>
        <v>1158140</v>
      </c>
      <c r="D1867" s="28">
        <f>C1867/SUM(Data!$J$2:$J$2379)</f>
        <v>0.94976529363717777</v>
      </c>
    </row>
    <row r="1868" spans="1:4" x14ac:dyDescent="0.3">
      <c r="A1868" s="25">
        <v>1867</v>
      </c>
      <c r="B1868" s="25">
        <f>LARGE(Data!$J$2:$J$2379,A1868)</f>
        <v>260</v>
      </c>
      <c r="C1868" s="25">
        <f t="shared" si="29"/>
        <v>1158400</v>
      </c>
      <c r="D1868" s="28">
        <f>C1868/SUM(Data!$J$2:$J$2379)</f>
        <v>0.94997851395280941</v>
      </c>
    </row>
    <row r="1869" spans="1:4" x14ac:dyDescent="0.3">
      <c r="A1869" s="25">
        <v>1868</v>
      </c>
      <c r="B1869" s="25">
        <f>LARGE(Data!$J$2:$J$2379,A1869)</f>
        <v>260</v>
      </c>
      <c r="C1869" s="25">
        <f t="shared" si="29"/>
        <v>1158660</v>
      </c>
      <c r="D1869" s="28">
        <f>C1869/SUM(Data!$J$2:$J$2379)</f>
        <v>0.95019173426844106</v>
      </c>
    </row>
    <row r="1870" spans="1:4" x14ac:dyDescent="0.3">
      <c r="A1870" s="25">
        <v>1869</v>
      </c>
      <c r="B1870" s="25">
        <f>LARGE(Data!$J$2:$J$2379,A1870)</f>
        <v>260</v>
      </c>
      <c r="C1870" s="25">
        <f t="shared" si="29"/>
        <v>1158920</v>
      </c>
      <c r="D1870" s="28">
        <f>C1870/SUM(Data!$J$2:$J$2379)</f>
        <v>0.95040495458407281</v>
      </c>
    </row>
    <row r="1871" spans="1:4" x14ac:dyDescent="0.3">
      <c r="A1871" s="25">
        <v>1870</v>
      </c>
      <c r="B1871" s="25">
        <f>LARGE(Data!$J$2:$J$2379,A1871)</f>
        <v>260</v>
      </c>
      <c r="C1871" s="25">
        <f t="shared" si="29"/>
        <v>1159180</v>
      </c>
      <c r="D1871" s="28">
        <f>C1871/SUM(Data!$J$2:$J$2379)</f>
        <v>0.95061817489970446</v>
      </c>
    </row>
    <row r="1872" spans="1:4" x14ac:dyDescent="0.3">
      <c r="A1872" s="25">
        <v>1871</v>
      </c>
      <c r="B1872" s="25">
        <f>LARGE(Data!$J$2:$J$2379,A1872)</f>
        <v>260</v>
      </c>
      <c r="C1872" s="25">
        <f t="shared" si="29"/>
        <v>1159440</v>
      </c>
      <c r="D1872" s="28">
        <f>C1872/SUM(Data!$J$2:$J$2379)</f>
        <v>0.95083139521533611</v>
      </c>
    </row>
    <row r="1873" spans="1:4" x14ac:dyDescent="0.3">
      <c r="A1873" s="25">
        <v>1872</v>
      </c>
      <c r="B1873" s="25">
        <f>LARGE(Data!$J$2:$J$2379,A1873)</f>
        <v>260</v>
      </c>
      <c r="C1873" s="25">
        <f t="shared" si="29"/>
        <v>1159700</v>
      </c>
      <c r="D1873" s="28">
        <f>C1873/SUM(Data!$J$2:$J$2379)</f>
        <v>0.95104461553096775</v>
      </c>
    </row>
    <row r="1874" spans="1:4" x14ac:dyDescent="0.3">
      <c r="A1874" s="25">
        <v>1873</v>
      </c>
      <c r="B1874" s="25">
        <f>LARGE(Data!$J$2:$J$2379,A1874)</f>
        <v>260</v>
      </c>
      <c r="C1874" s="25">
        <f t="shared" si="29"/>
        <v>1159960</v>
      </c>
      <c r="D1874" s="28">
        <f>C1874/SUM(Data!$J$2:$J$2379)</f>
        <v>0.95125783584659951</v>
      </c>
    </row>
    <row r="1875" spans="1:4" x14ac:dyDescent="0.3">
      <c r="A1875" s="25">
        <v>1874</v>
      </c>
      <c r="B1875" s="25">
        <f>LARGE(Data!$J$2:$J$2379,A1875)</f>
        <v>260</v>
      </c>
      <c r="C1875" s="25">
        <f t="shared" si="29"/>
        <v>1160220</v>
      </c>
      <c r="D1875" s="28">
        <f>C1875/SUM(Data!$J$2:$J$2379)</f>
        <v>0.95147105616223115</v>
      </c>
    </row>
    <row r="1876" spans="1:4" x14ac:dyDescent="0.3">
      <c r="A1876" s="25">
        <v>1875</v>
      </c>
      <c r="B1876" s="25">
        <f>LARGE(Data!$J$2:$J$2379,A1876)</f>
        <v>260</v>
      </c>
      <c r="C1876" s="25">
        <f t="shared" si="29"/>
        <v>1160480</v>
      </c>
      <c r="D1876" s="28">
        <f>C1876/SUM(Data!$J$2:$J$2379)</f>
        <v>0.9516842764778628</v>
      </c>
    </row>
    <row r="1877" spans="1:4" x14ac:dyDescent="0.3">
      <c r="A1877" s="25">
        <v>1876</v>
      </c>
      <c r="B1877" s="25">
        <f>LARGE(Data!$J$2:$J$2379,A1877)</f>
        <v>260</v>
      </c>
      <c r="C1877" s="25">
        <f t="shared" si="29"/>
        <v>1160740</v>
      </c>
      <c r="D1877" s="28">
        <f>C1877/SUM(Data!$J$2:$J$2379)</f>
        <v>0.95189749679349445</v>
      </c>
    </row>
    <row r="1878" spans="1:4" x14ac:dyDescent="0.3">
      <c r="A1878" s="25">
        <v>1877</v>
      </c>
      <c r="B1878" s="25">
        <f>LARGE(Data!$J$2:$J$2379,A1878)</f>
        <v>260</v>
      </c>
      <c r="C1878" s="25">
        <f t="shared" si="29"/>
        <v>1161000</v>
      </c>
      <c r="D1878" s="28">
        <f>C1878/SUM(Data!$J$2:$J$2379)</f>
        <v>0.9521107171091262</v>
      </c>
    </row>
    <row r="1879" spans="1:4" x14ac:dyDescent="0.3">
      <c r="A1879" s="25">
        <v>1878</v>
      </c>
      <c r="B1879" s="25">
        <f>LARGE(Data!$J$2:$J$2379,A1879)</f>
        <v>260</v>
      </c>
      <c r="C1879" s="25">
        <f t="shared" si="29"/>
        <v>1161260</v>
      </c>
      <c r="D1879" s="28">
        <f>C1879/SUM(Data!$J$2:$J$2379)</f>
        <v>0.95232393742475785</v>
      </c>
    </row>
    <row r="1880" spans="1:4" x14ac:dyDescent="0.3">
      <c r="A1880" s="25">
        <v>1879</v>
      </c>
      <c r="B1880" s="25">
        <f>LARGE(Data!$J$2:$J$2379,A1880)</f>
        <v>260</v>
      </c>
      <c r="C1880" s="25">
        <f t="shared" si="29"/>
        <v>1161520</v>
      </c>
      <c r="D1880" s="28">
        <f>C1880/SUM(Data!$J$2:$J$2379)</f>
        <v>0.9525371577403895</v>
      </c>
    </row>
    <row r="1881" spans="1:4" x14ac:dyDescent="0.3">
      <c r="A1881" s="25">
        <v>1880</v>
      </c>
      <c r="B1881" s="25">
        <f>LARGE(Data!$J$2:$J$2379,A1881)</f>
        <v>260</v>
      </c>
      <c r="C1881" s="25">
        <f t="shared" si="29"/>
        <v>1161780</v>
      </c>
      <c r="D1881" s="28">
        <f>C1881/SUM(Data!$J$2:$J$2379)</f>
        <v>0.95275037805602114</v>
      </c>
    </row>
    <row r="1882" spans="1:4" x14ac:dyDescent="0.3">
      <c r="A1882" s="25">
        <v>1881</v>
      </c>
      <c r="B1882" s="25">
        <f>LARGE(Data!$J$2:$J$2379,A1882)</f>
        <v>260</v>
      </c>
      <c r="C1882" s="25">
        <f t="shared" si="29"/>
        <v>1162040</v>
      </c>
      <c r="D1882" s="28">
        <f>C1882/SUM(Data!$J$2:$J$2379)</f>
        <v>0.9529635983716529</v>
      </c>
    </row>
    <row r="1883" spans="1:4" x14ac:dyDescent="0.3">
      <c r="A1883" s="25">
        <v>1882</v>
      </c>
      <c r="B1883" s="25">
        <f>LARGE(Data!$J$2:$J$2379,A1883)</f>
        <v>260</v>
      </c>
      <c r="C1883" s="25">
        <f t="shared" si="29"/>
        <v>1162300</v>
      </c>
      <c r="D1883" s="28">
        <f>C1883/SUM(Data!$J$2:$J$2379)</f>
        <v>0.95317681868728454</v>
      </c>
    </row>
    <row r="1884" spans="1:4" x14ac:dyDescent="0.3">
      <c r="A1884" s="25">
        <v>1883</v>
      </c>
      <c r="B1884" s="25">
        <f>LARGE(Data!$J$2:$J$2379,A1884)</f>
        <v>260</v>
      </c>
      <c r="C1884" s="25">
        <f t="shared" si="29"/>
        <v>1162560</v>
      </c>
      <c r="D1884" s="28">
        <f>C1884/SUM(Data!$J$2:$J$2379)</f>
        <v>0.95339003900291619</v>
      </c>
    </row>
    <row r="1885" spans="1:4" x14ac:dyDescent="0.3">
      <c r="A1885" s="25">
        <v>1884</v>
      </c>
      <c r="B1885" s="25">
        <f>LARGE(Data!$J$2:$J$2379,A1885)</f>
        <v>260</v>
      </c>
      <c r="C1885" s="25">
        <f t="shared" si="29"/>
        <v>1162820</v>
      </c>
      <c r="D1885" s="28">
        <f>C1885/SUM(Data!$J$2:$J$2379)</f>
        <v>0.95360325931854784</v>
      </c>
    </row>
    <row r="1886" spans="1:4" x14ac:dyDescent="0.3">
      <c r="A1886" s="25">
        <v>1885</v>
      </c>
      <c r="B1886" s="25">
        <f>LARGE(Data!$J$2:$J$2379,A1886)</f>
        <v>260</v>
      </c>
      <c r="C1886" s="25">
        <f t="shared" si="29"/>
        <v>1163080</v>
      </c>
      <c r="D1886" s="28">
        <f>C1886/SUM(Data!$J$2:$J$2379)</f>
        <v>0.95381647963417959</v>
      </c>
    </row>
    <row r="1887" spans="1:4" x14ac:dyDescent="0.3">
      <c r="A1887" s="25">
        <v>1886</v>
      </c>
      <c r="B1887" s="25">
        <f>LARGE(Data!$J$2:$J$2379,A1887)</f>
        <v>260</v>
      </c>
      <c r="C1887" s="25">
        <f t="shared" si="29"/>
        <v>1163340</v>
      </c>
      <c r="D1887" s="28">
        <f>C1887/SUM(Data!$J$2:$J$2379)</f>
        <v>0.95402969994981124</v>
      </c>
    </row>
    <row r="1888" spans="1:4" x14ac:dyDescent="0.3">
      <c r="A1888" s="25">
        <v>1887</v>
      </c>
      <c r="B1888" s="25">
        <f>LARGE(Data!$J$2:$J$2379,A1888)</f>
        <v>260</v>
      </c>
      <c r="C1888" s="25">
        <f t="shared" si="29"/>
        <v>1163600</v>
      </c>
      <c r="D1888" s="28">
        <f>C1888/SUM(Data!$J$2:$J$2379)</f>
        <v>0.95424292026544288</v>
      </c>
    </row>
    <row r="1889" spans="1:4" x14ac:dyDescent="0.3">
      <c r="A1889" s="25">
        <v>1888</v>
      </c>
      <c r="B1889" s="25">
        <f>LARGE(Data!$J$2:$J$2379,A1889)</f>
        <v>260</v>
      </c>
      <c r="C1889" s="25">
        <f t="shared" si="29"/>
        <v>1163860</v>
      </c>
      <c r="D1889" s="28">
        <f>C1889/SUM(Data!$J$2:$J$2379)</f>
        <v>0.95445614058107453</v>
      </c>
    </row>
    <row r="1890" spans="1:4" x14ac:dyDescent="0.3">
      <c r="A1890" s="25">
        <v>1889</v>
      </c>
      <c r="B1890" s="25">
        <f>LARGE(Data!$J$2:$J$2379,A1890)</f>
        <v>260</v>
      </c>
      <c r="C1890" s="25">
        <f t="shared" si="29"/>
        <v>1164120</v>
      </c>
      <c r="D1890" s="28">
        <f>C1890/SUM(Data!$J$2:$J$2379)</f>
        <v>0.95466936089670629</v>
      </c>
    </row>
    <row r="1891" spans="1:4" x14ac:dyDescent="0.3">
      <c r="A1891" s="25">
        <v>1890</v>
      </c>
      <c r="B1891" s="25">
        <f>LARGE(Data!$J$2:$J$2379,A1891)</f>
        <v>260</v>
      </c>
      <c r="C1891" s="25">
        <f t="shared" si="29"/>
        <v>1164380</v>
      </c>
      <c r="D1891" s="28">
        <f>C1891/SUM(Data!$J$2:$J$2379)</f>
        <v>0.95488258121233793</v>
      </c>
    </row>
    <row r="1892" spans="1:4" x14ac:dyDescent="0.3">
      <c r="A1892" s="25">
        <v>1891</v>
      </c>
      <c r="B1892" s="25">
        <f>LARGE(Data!$J$2:$J$2379,A1892)</f>
        <v>260</v>
      </c>
      <c r="C1892" s="25">
        <f t="shared" si="29"/>
        <v>1164640</v>
      </c>
      <c r="D1892" s="28">
        <f>C1892/SUM(Data!$J$2:$J$2379)</f>
        <v>0.95509580152796958</v>
      </c>
    </row>
    <row r="1893" spans="1:4" x14ac:dyDescent="0.3">
      <c r="A1893" s="25">
        <v>1892</v>
      </c>
      <c r="B1893" s="25">
        <f>LARGE(Data!$J$2:$J$2379,A1893)</f>
        <v>260</v>
      </c>
      <c r="C1893" s="25">
        <f t="shared" si="29"/>
        <v>1164900</v>
      </c>
      <c r="D1893" s="28">
        <f>C1893/SUM(Data!$J$2:$J$2379)</f>
        <v>0.95530902184360122</v>
      </c>
    </row>
    <row r="1894" spans="1:4" x14ac:dyDescent="0.3">
      <c r="A1894" s="25">
        <v>1893</v>
      </c>
      <c r="B1894" s="25">
        <f>LARGE(Data!$J$2:$J$2379,A1894)</f>
        <v>260</v>
      </c>
      <c r="C1894" s="25">
        <f t="shared" si="29"/>
        <v>1165160</v>
      </c>
      <c r="D1894" s="28">
        <f>C1894/SUM(Data!$J$2:$J$2379)</f>
        <v>0.95552224215923298</v>
      </c>
    </row>
    <row r="1895" spans="1:4" x14ac:dyDescent="0.3">
      <c r="A1895" s="25">
        <v>1894</v>
      </c>
      <c r="B1895" s="25">
        <f>LARGE(Data!$J$2:$J$2379,A1895)</f>
        <v>260</v>
      </c>
      <c r="C1895" s="25">
        <f t="shared" si="29"/>
        <v>1165420</v>
      </c>
      <c r="D1895" s="28">
        <f>C1895/SUM(Data!$J$2:$J$2379)</f>
        <v>0.95573546247486463</v>
      </c>
    </row>
    <row r="1896" spans="1:4" x14ac:dyDescent="0.3">
      <c r="A1896" s="25">
        <v>1895</v>
      </c>
      <c r="B1896" s="25">
        <f>LARGE(Data!$J$2:$J$2379,A1896)</f>
        <v>260</v>
      </c>
      <c r="C1896" s="25">
        <f t="shared" si="29"/>
        <v>1165680</v>
      </c>
      <c r="D1896" s="28">
        <f>C1896/SUM(Data!$J$2:$J$2379)</f>
        <v>0.95594868279049627</v>
      </c>
    </row>
    <row r="1897" spans="1:4" x14ac:dyDescent="0.3">
      <c r="A1897" s="25">
        <v>1896</v>
      </c>
      <c r="B1897" s="25">
        <f>LARGE(Data!$J$2:$J$2379,A1897)</f>
        <v>260</v>
      </c>
      <c r="C1897" s="25">
        <f t="shared" si="29"/>
        <v>1165940</v>
      </c>
      <c r="D1897" s="28">
        <f>C1897/SUM(Data!$J$2:$J$2379)</f>
        <v>0.95616190310612792</v>
      </c>
    </row>
    <row r="1898" spans="1:4" x14ac:dyDescent="0.3">
      <c r="A1898" s="25">
        <v>1897</v>
      </c>
      <c r="B1898" s="25">
        <f>LARGE(Data!$J$2:$J$2379,A1898)</f>
        <v>260</v>
      </c>
      <c r="C1898" s="25">
        <f t="shared" si="29"/>
        <v>1166200</v>
      </c>
      <c r="D1898" s="28">
        <f>C1898/SUM(Data!$J$2:$J$2379)</f>
        <v>0.95637512342175968</v>
      </c>
    </row>
    <row r="1899" spans="1:4" x14ac:dyDescent="0.3">
      <c r="A1899" s="25">
        <v>1898</v>
      </c>
      <c r="B1899" s="25">
        <f>LARGE(Data!$J$2:$J$2379,A1899)</f>
        <v>260</v>
      </c>
      <c r="C1899" s="25">
        <f t="shared" si="29"/>
        <v>1166460</v>
      </c>
      <c r="D1899" s="28">
        <f>C1899/SUM(Data!$J$2:$J$2379)</f>
        <v>0.95658834373739132</v>
      </c>
    </row>
    <row r="1900" spans="1:4" x14ac:dyDescent="0.3">
      <c r="A1900" s="25">
        <v>1899</v>
      </c>
      <c r="B1900" s="25">
        <f>LARGE(Data!$J$2:$J$2379,A1900)</f>
        <v>260</v>
      </c>
      <c r="C1900" s="25">
        <f t="shared" si="29"/>
        <v>1166720</v>
      </c>
      <c r="D1900" s="28">
        <f>C1900/SUM(Data!$J$2:$J$2379)</f>
        <v>0.95680156405302297</v>
      </c>
    </row>
    <row r="1901" spans="1:4" x14ac:dyDescent="0.3">
      <c r="A1901" s="25">
        <v>1900</v>
      </c>
      <c r="B1901" s="25">
        <f>LARGE(Data!$J$2:$J$2379,A1901)</f>
        <v>260</v>
      </c>
      <c r="C1901" s="25">
        <f t="shared" si="29"/>
        <v>1166980</v>
      </c>
      <c r="D1901" s="28">
        <f>C1901/SUM(Data!$J$2:$J$2379)</f>
        <v>0.95701478436865461</v>
      </c>
    </row>
    <row r="1902" spans="1:4" x14ac:dyDescent="0.3">
      <c r="A1902" s="25">
        <v>1901</v>
      </c>
      <c r="B1902" s="25">
        <f>LARGE(Data!$J$2:$J$2379,A1902)</f>
        <v>260</v>
      </c>
      <c r="C1902" s="25">
        <f t="shared" si="29"/>
        <v>1167240</v>
      </c>
      <c r="D1902" s="28">
        <f>C1902/SUM(Data!$J$2:$J$2379)</f>
        <v>0.95722800468428637</v>
      </c>
    </row>
    <row r="1903" spans="1:4" x14ac:dyDescent="0.3">
      <c r="A1903" s="25">
        <v>1902</v>
      </c>
      <c r="B1903" s="25">
        <f>LARGE(Data!$J$2:$J$2379,A1903)</f>
        <v>260</v>
      </c>
      <c r="C1903" s="25">
        <f t="shared" si="29"/>
        <v>1167500</v>
      </c>
      <c r="D1903" s="28">
        <f>C1903/SUM(Data!$J$2:$J$2379)</f>
        <v>0.95744122499991802</v>
      </c>
    </row>
    <row r="1904" spans="1:4" x14ac:dyDescent="0.3">
      <c r="A1904" s="25">
        <v>1903</v>
      </c>
      <c r="B1904" s="25">
        <f>LARGE(Data!$J$2:$J$2379,A1904)</f>
        <v>260</v>
      </c>
      <c r="C1904" s="25">
        <f t="shared" si="29"/>
        <v>1167760</v>
      </c>
      <c r="D1904" s="28">
        <f>C1904/SUM(Data!$J$2:$J$2379)</f>
        <v>0.95765444531554966</v>
      </c>
    </row>
    <row r="1905" spans="1:4" x14ac:dyDescent="0.3">
      <c r="A1905" s="25">
        <v>1904</v>
      </c>
      <c r="B1905" s="25">
        <f>LARGE(Data!$J$2:$J$2379,A1905)</f>
        <v>260</v>
      </c>
      <c r="C1905" s="25">
        <f t="shared" si="29"/>
        <v>1168020</v>
      </c>
      <c r="D1905" s="28">
        <f>C1905/SUM(Data!$J$2:$J$2379)</f>
        <v>0.95786766563118131</v>
      </c>
    </row>
    <row r="1906" spans="1:4" x14ac:dyDescent="0.3">
      <c r="A1906" s="25">
        <v>1905</v>
      </c>
      <c r="B1906" s="25">
        <f>LARGE(Data!$J$2:$J$2379,A1906)</f>
        <v>260</v>
      </c>
      <c r="C1906" s="25">
        <f t="shared" si="29"/>
        <v>1168280</v>
      </c>
      <c r="D1906" s="28">
        <f>C1906/SUM(Data!$J$2:$J$2379)</f>
        <v>0.95808088594681307</v>
      </c>
    </row>
    <row r="1907" spans="1:4" x14ac:dyDescent="0.3">
      <c r="A1907" s="25">
        <v>1906</v>
      </c>
      <c r="B1907" s="25">
        <f>LARGE(Data!$J$2:$J$2379,A1907)</f>
        <v>260</v>
      </c>
      <c r="C1907" s="25">
        <f t="shared" si="29"/>
        <v>1168540</v>
      </c>
      <c r="D1907" s="28">
        <f>C1907/SUM(Data!$J$2:$J$2379)</f>
        <v>0.95829410626244471</v>
      </c>
    </row>
    <row r="1908" spans="1:4" x14ac:dyDescent="0.3">
      <c r="A1908" s="25">
        <v>1907</v>
      </c>
      <c r="B1908" s="25">
        <f>LARGE(Data!$J$2:$J$2379,A1908)</f>
        <v>260</v>
      </c>
      <c r="C1908" s="25">
        <f t="shared" si="29"/>
        <v>1168800</v>
      </c>
      <c r="D1908" s="28">
        <f>C1908/SUM(Data!$J$2:$J$2379)</f>
        <v>0.95850732657807636</v>
      </c>
    </row>
    <row r="1909" spans="1:4" x14ac:dyDescent="0.3">
      <c r="A1909" s="25">
        <v>1908</v>
      </c>
      <c r="B1909" s="25">
        <f>LARGE(Data!$J$2:$J$2379,A1909)</f>
        <v>260</v>
      </c>
      <c r="C1909" s="25">
        <f t="shared" si="29"/>
        <v>1169060</v>
      </c>
      <c r="D1909" s="28">
        <f>C1909/SUM(Data!$J$2:$J$2379)</f>
        <v>0.958720546893708</v>
      </c>
    </row>
    <row r="1910" spans="1:4" x14ac:dyDescent="0.3">
      <c r="A1910" s="25">
        <v>1909</v>
      </c>
      <c r="B1910" s="25">
        <f>LARGE(Data!$J$2:$J$2379,A1910)</f>
        <v>260</v>
      </c>
      <c r="C1910" s="25">
        <f t="shared" si="29"/>
        <v>1169320</v>
      </c>
      <c r="D1910" s="28">
        <f>C1910/SUM(Data!$J$2:$J$2379)</f>
        <v>0.95893376720933976</v>
      </c>
    </row>
    <row r="1911" spans="1:4" x14ac:dyDescent="0.3">
      <c r="A1911" s="25">
        <v>1910</v>
      </c>
      <c r="B1911" s="25">
        <f>LARGE(Data!$J$2:$J$2379,A1911)</f>
        <v>260</v>
      </c>
      <c r="C1911" s="25">
        <f t="shared" si="29"/>
        <v>1169580</v>
      </c>
      <c r="D1911" s="28">
        <f>C1911/SUM(Data!$J$2:$J$2379)</f>
        <v>0.95914698752497141</v>
      </c>
    </row>
    <row r="1912" spans="1:4" x14ac:dyDescent="0.3">
      <c r="A1912" s="25">
        <v>1911</v>
      </c>
      <c r="B1912" s="25">
        <f>LARGE(Data!$J$2:$J$2379,A1912)</f>
        <v>260</v>
      </c>
      <c r="C1912" s="25">
        <f t="shared" si="29"/>
        <v>1169840</v>
      </c>
      <c r="D1912" s="28">
        <f>C1912/SUM(Data!$J$2:$J$2379)</f>
        <v>0.95936020784060305</v>
      </c>
    </row>
    <row r="1913" spans="1:4" x14ac:dyDescent="0.3">
      <c r="A1913" s="25">
        <v>1912</v>
      </c>
      <c r="B1913" s="25">
        <f>LARGE(Data!$J$2:$J$2379,A1913)</f>
        <v>260</v>
      </c>
      <c r="C1913" s="25">
        <f t="shared" si="29"/>
        <v>1170100</v>
      </c>
      <c r="D1913" s="28">
        <f>C1913/SUM(Data!$J$2:$J$2379)</f>
        <v>0.9595734281562347</v>
      </c>
    </row>
    <row r="1914" spans="1:4" x14ac:dyDescent="0.3">
      <c r="A1914" s="25">
        <v>1913</v>
      </c>
      <c r="B1914" s="25">
        <f>LARGE(Data!$J$2:$J$2379,A1914)</f>
        <v>260</v>
      </c>
      <c r="C1914" s="25">
        <f t="shared" si="29"/>
        <v>1170360</v>
      </c>
      <c r="D1914" s="28">
        <f>C1914/SUM(Data!$J$2:$J$2379)</f>
        <v>0.95978664847186645</v>
      </c>
    </row>
    <row r="1915" spans="1:4" x14ac:dyDescent="0.3">
      <c r="A1915" s="25">
        <v>1914</v>
      </c>
      <c r="B1915" s="25">
        <f>LARGE(Data!$J$2:$J$2379,A1915)</f>
        <v>260</v>
      </c>
      <c r="C1915" s="25">
        <f t="shared" si="29"/>
        <v>1170620</v>
      </c>
      <c r="D1915" s="28">
        <f>C1915/SUM(Data!$J$2:$J$2379)</f>
        <v>0.9599998687874981</v>
      </c>
    </row>
    <row r="1916" spans="1:4" x14ac:dyDescent="0.3">
      <c r="A1916" s="25">
        <v>1915</v>
      </c>
      <c r="B1916" s="25">
        <f>LARGE(Data!$J$2:$J$2379,A1916)</f>
        <v>260</v>
      </c>
      <c r="C1916" s="25">
        <f t="shared" si="29"/>
        <v>1170880</v>
      </c>
      <c r="D1916" s="28">
        <f>C1916/SUM(Data!$J$2:$J$2379)</f>
        <v>0.96021308910312975</v>
      </c>
    </row>
    <row r="1917" spans="1:4" x14ac:dyDescent="0.3">
      <c r="A1917" s="25">
        <v>1916</v>
      </c>
      <c r="B1917" s="25">
        <f>LARGE(Data!$J$2:$J$2379,A1917)</f>
        <v>260</v>
      </c>
      <c r="C1917" s="25">
        <f t="shared" si="29"/>
        <v>1171140</v>
      </c>
      <c r="D1917" s="28">
        <f>C1917/SUM(Data!$J$2:$J$2379)</f>
        <v>0.96042630941876139</v>
      </c>
    </row>
    <row r="1918" spans="1:4" x14ac:dyDescent="0.3">
      <c r="A1918" s="25">
        <v>1917</v>
      </c>
      <c r="B1918" s="25">
        <f>LARGE(Data!$J$2:$J$2379,A1918)</f>
        <v>260</v>
      </c>
      <c r="C1918" s="25">
        <f t="shared" si="29"/>
        <v>1171400</v>
      </c>
      <c r="D1918" s="28">
        <f>C1918/SUM(Data!$J$2:$J$2379)</f>
        <v>0.96063952973439304</v>
      </c>
    </row>
    <row r="1919" spans="1:4" x14ac:dyDescent="0.3">
      <c r="A1919" s="25">
        <v>1918</v>
      </c>
      <c r="B1919" s="25">
        <f>LARGE(Data!$J$2:$J$2379,A1919)</f>
        <v>260</v>
      </c>
      <c r="C1919" s="25">
        <f t="shared" si="29"/>
        <v>1171660</v>
      </c>
      <c r="D1919" s="28">
        <f>C1919/SUM(Data!$J$2:$J$2379)</f>
        <v>0.9608527500500248</v>
      </c>
    </row>
    <row r="1920" spans="1:4" x14ac:dyDescent="0.3">
      <c r="A1920" s="25">
        <v>1919</v>
      </c>
      <c r="B1920" s="25">
        <f>LARGE(Data!$J$2:$J$2379,A1920)</f>
        <v>260</v>
      </c>
      <c r="C1920" s="25">
        <f t="shared" si="29"/>
        <v>1171920</v>
      </c>
      <c r="D1920" s="28">
        <f>C1920/SUM(Data!$J$2:$J$2379)</f>
        <v>0.96106597036565644</v>
      </c>
    </row>
    <row r="1921" spans="1:4" x14ac:dyDescent="0.3">
      <c r="A1921" s="25">
        <v>1920</v>
      </c>
      <c r="B1921" s="25">
        <f>LARGE(Data!$J$2:$J$2379,A1921)</f>
        <v>260</v>
      </c>
      <c r="C1921" s="25">
        <f t="shared" si="29"/>
        <v>1172180</v>
      </c>
      <c r="D1921" s="28">
        <f>C1921/SUM(Data!$J$2:$J$2379)</f>
        <v>0.96127919068128809</v>
      </c>
    </row>
    <row r="1922" spans="1:4" x14ac:dyDescent="0.3">
      <c r="A1922" s="25">
        <v>1921</v>
      </c>
      <c r="B1922" s="25">
        <f>LARGE(Data!$J$2:$J$2379,A1922)</f>
        <v>250</v>
      </c>
      <c r="C1922" s="25">
        <f t="shared" si="29"/>
        <v>1172430</v>
      </c>
      <c r="D1922" s="28">
        <f>C1922/SUM(Data!$J$2:$J$2379)</f>
        <v>0.96148421021554931</v>
      </c>
    </row>
    <row r="1923" spans="1:4" x14ac:dyDescent="0.3">
      <c r="A1923" s="25">
        <v>1922</v>
      </c>
      <c r="B1923" s="25">
        <f>LARGE(Data!$J$2:$J$2379,A1923)</f>
        <v>250</v>
      </c>
      <c r="C1923" s="25">
        <f t="shared" ref="C1923:C1986" si="30">C1922+B1923</f>
        <v>1172680</v>
      </c>
      <c r="D1923" s="28">
        <f>C1923/SUM(Data!$J$2:$J$2379)</f>
        <v>0.96168922974981053</v>
      </c>
    </row>
    <row r="1924" spans="1:4" x14ac:dyDescent="0.3">
      <c r="A1924" s="25">
        <v>1923</v>
      </c>
      <c r="B1924" s="25">
        <f>LARGE(Data!$J$2:$J$2379,A1924)</f>
        <v>250</v>
      </c>
      <c r="C1924" s="25">
        <f t="shared" si="30"/>
        <v>1172930</v>
      </c>
      <c r="D1924" s="28">
        <f>C1924/SUM(Data!$J$2:$J$2379)</f>
        <v>0.96189424928407175</v>
      </c>
    </row>
    <row r="1925" spans="1:4" x14ac:dyDescent="0.3">
      <c r="A1925" s="25">
        <v>1924</v>
      </c>
      <c r="B1925" s="25">
        <f>LARGE(Data!$J$2:$J$2379,A1925)</f>
        <v>250</v>
      </c>
      <c r="C1925" s="25">
        <f t="shared" si="30"/>
        <v>1173180</v>
      </c>
      <c r="D1925" s="28">
        <f>C1925/SUM(Data!$J$2:$J$2379)</f>
        <v>0.96209926881833296</v>
      </c>
    </row>
    <row r="1926" spans="1:4" x14ac:dyDescent="0.3">
      <c r="A1926" s="25">
        <v>1925</v>
      </c>
      <c r="B1926" s="25">
        <f>LARGE(Data!$J$2:$J$2379,A1926)</f>
        <v>250</v>
      </c>
      <c r="C1926" s="25">
        <f t="shared" si="30"/>
        <v>1173430</v>
      </c>
      <c r="D1926" s="28">
        <f>C1926/SUM(Data!$J$2:$J$2379)</f>
        <v>0.96230428835259418</v>
      </c>
    </row>
    <row r="1927" spans="1:4" x14ac:dyDescent="0.3">
      <c r="A1927" s="25">
        <v>1926</v>
      </c>
      <c r="B1927" s="25">
        <f>LARGE(Data!$J$2:$J$2379,A1927)</f>
        <v>250</v>
      </c>
      <c r="C1927" s="25">
        <f t="shared" si="30"/>
        <v>1173680</v>
      </c>
      <c r="D1927" s="28">
        <f>C1927/SUM(Data!$J$2:$J$2379)</f>
        <v>0.96250930788685551</v>
      </c>
    </row>
    <row r="1928" spans="1:4" x14ac:dyDescent="0.3">
      <c r="A1928" s="25">
        <v>1927</v>
      </c>
      <c r="B1928" s="25">
        <f>LARGE(Data!$J$2:$J$2379,A1928)</f>
        <v>250</v>
      </c>
      <c r="C1928" s="25">
        <f t="shared" si="30"/>
        <v>1173930</v>
      </c>
      <c r="D1928" s="28">
        <f>C1928/SUM(Data!$J$2:$J$2379)</f>
        <v>0.96271432742111673</v>
      </c>
    </row>
    <row r="1929" spans="1:4" x14ac:dyDescent="0.3">
      <c r="A1929" s="25">
        <v>1928</v>
      </c>
      <c r="B1929" s="25">
        <f>LARGE(Data!$J$2:$J$2379,A1929)</f>
        <v>240</v>
      </c>
      <c r="C1929" s="25">
        <f t="shared" si="30"/>
        <v>1174170</v>
      </c>
      <c r="D1929" s="28">
        <f>C1929/SUM(Data!$J$2:$J$2379)</f>
        <v>0.96291114617400742</v>
      </c>
    </row>
    <row r="1930" spans="1:4" x14ac:dyDescent="0.3">
      <c r="A1930" s="25">
        <v>1929</v>
      </c>
      <c r="B1930" s="25">
        <f>LARGE(Data!$J$2:$J$2379,A1930)</f>
        <v>240</v>
      </c>
      <c r="C1930" s="25">
        <f t="shared" si="30"/>
        <v>1174410</v>
      </c>
      <c r="D1930" s="28">
        <f>C1930/SUM(Data!$J$2:$J$2379)</f>
        <v>0.96310796492689821</v>
      </c>
    </row>
    <row r="1931" spans="1:4" x14ac:dyDescent="0.3">
      <c r="A1931" s="25">
        <v>1930</v>
      </c>
      <c r="B1931" s="25">
        <f>LARGE(Data!$J$2:$J$2379,A1931)</f>
        <v>240</v>
      </c>
      <c r="C1931" s="25">
        <f t="shared" si="30"/>
        <v>1174650</v>
      </c>
      <c r="D1931" s="28">
        <f>C1931/SUM(Data!$J$2:$J$2379)</f>
        <v>0.963304783679789</v>
      </c>
    </row>
    <row r="1932" spans="1:4" x14ac:dyDescent="0.3">
      <c r="A1932" s="25">
        <v>1931</v>
      </c>
      <c r="B1932" s="25">
        <f>LARGE(Data!$J$2:$J$2379,A1932)</f>
        <v>240</v>
      </c>
      <c r="C1932" s="25">
        <f t="shared" si="30"/>
        <v>1174890</v>
      </c>
      <c r="D1932" s="28">
        <f>C1932/SUM(Data!$J$2:$J$2379)</f>
        <v>0.96350160243267979</v>
      </c>
    </row>
    <row r="1933" spans="1:4" x14ac:dyDescent="0.3">
      <c r="A1933" s="25">
        <v>1932</v>
      </c>
      <c r="B1933" s="25">
        <f>LARGE(Data!$J$2:$J$2379,A1933)</f>
        <v>240</v>
      </c>
      <c r="C1933" s="25">
        <f t="shared" si="30"/>
        <v>1175130</v>
      </c>
      <c r="D1933" s="28">
        <f>C1933/SUM(Data!$J$2:$J$2379)</f>
        <v>0.96369842118557059</v>
      </c>
    </row>
    <row r="1934" spans="1:4" x14ac:dyDescent="0.3">
      <c r="A1934" s="25">
        <v>1933</v>
      </c>
      <c r="B1934" s="25">
        <f>LARGE(Data!$J$2:$J$2379,A1934)</f>
        <v>240</v>
      </c>
      <c r="C1934" s="25">
        <f t="shared" si="30"/>
        <v>1175370</v>
      </c>
      <c r="D1934" s="28">
        <f>C1934/SUM(Data!$J$2:$J$2379)</f>
        <v>0.96389523993846138</v>
      </c>
    </row>
    <row r="1935" spans="1:4" x14ac:dyDescent="0.3">
      <c r="A1935" s="25">
        <v>1934</v>
      </c>
      <c r="B1935" s="25">
        <f>LARGE(Data!$J$2:$J$2379,A1935)</f>
        <v>240</v>
      </c>
      <c r="C1935" s="25">
        <f t="shared" si="30"/>
        <v>1175610</v>
      </c>
      <c r="D1935" s="28">
        <f>C1935/SUM(Data!$J$2:$J$2379)</f>
        <v>0.96409205869135206</v>
      </c>
    </row>
    <row r="1936" spans="1:4" x14ac:dyDescent="0.3">
      <c r="A1936" s="25">
        <v>1935</v>
      </c>
      <c r="B1936" s="25">
        <f>LARGE(Data!$J$2:$J$2379,A1936)</f>
        <v>240</v>
      </c>
      <c r="C1936" s="25">
        <f t="shared" si="30"/>
        <v>1175850</v>
      </c>
      <c r="D1936" s="28">
        <f>C1936/SUM(Data!$J$2:$J$2379)</f>
        <v>0.96428887744424285</v>
      </c>
    </row>
    <row r="1937" spans="1:4" x14ac:dyDescent="0.3">
      <c r="A1937" s="25">
        <v>1936</v>
      </c>
      <c r="B1937" s="25">
        <f>LARGE(Data!$J$2:$J$2379,A1937)</f>
        <v>240</v>
      </c>
      <c r="C1937" s="25">
        <f t="shared" si="30"/>
        <v>1176090</v>
      </c>
      <c r="D1937" s="28">
        <f>C1937/SUM(Data!$J$2:$J$2379)</f>
        <v>0.96448569619713365</v>
      </c>
    </row>
    <row r="1938" spans="1:4" x14ac:dyDescent="0.3">
      <c r="A1938" s="25">
        <v>1937</v>
      </c>
      <c r="B1938" s="25">
        <f>LARGE(Data!$J$2:$J$2379,A1938)</f>
        <v>240</v>
      </c>
      <c r="C1938" s="25">
        <f t="shared" si="30"/>
        <v>1176330</v>
      </c>
      <c r="D1938" s="28">
        <f>C1938/SUM(Data!$J$2:$J$2379)</f>
        <v>0.96468251495002444</v>
      </c>
    </row>
    <row r="1939" spans="1:4" x14ac:dyDescent="0.3">
      <c r="A1939" s="25">
        <v>1938</v>
      </c>
      <c r="B1939" s="25">
        <f>LARGE(Data!$J$2:$J$2379,A1939)</f>
        <v>240</v>
      </c>
      <c r="C1939" s="25">
        <f t="shared" si="30"/>
        <v>1176570</v>
      </c>
      <c r="D1939" s="28">
        <f>C1939/SUM(Data!$J$2:$J$2379)</f>
        <v>0.96487933370291523</v>
      </c>
    </row>
    <row r="1940" spans="1:4" x14ac:dyDescent="0.3">
      <c r="A1940" s="25">
        <v>1939</v>
      </c>
      <c r="B1940" s="25">
        <f>LARGE(Data!$J$2:$J$2379,A1940)</f>
        <v>240</v>
      </c>
      <c r="C1940" s="25">
        <f t="shared" si="30"/>
        <v>1176810</v>
      </c>
      <c r="D1940" s="28">
        <f>C1940/SUM(Data!$J$2:$J$2379)</f>
        <v>0.96507615245580602</v>
      </c>
    </row>
    <row r="1941" spans="1:4" x14ac:dyDescent="0.3">
      <c r="A1941" s="25">
        <v>1940</v>
      </c>
      <c r="B1941" s="25">
        <f>LARGE(Data!$J$2:$J$2379,A1941)</f>
        <v>240</v>
      </c>
      <c r="C1941" s="25">
        <f t="shared" si="30"/>
        <v>1177050</v>
      </c>
      <c r="D1941" s="28">
        <f>C1941/SUM(Data!$J$2:$J$2379)</f>
        <v>0.96527297120869682</v>
      </c>
    </row>
    <row r="1942" spans="1:4" x14ac:dyDescent="0.3">
      <c r="A1942" s="25">
        <v>1941</v>
      </c>
      <c r="B1942" s="25">
        <f>LARGE(Data!$J$2:$J$2379,A1942)</f>
        <v>240</v>
      </c>
      <c r="C1942" s="25">
        <f t="shared" si="30"/>
        <v>1177290</v>
      </c>
      <c r="D1942" s="28">
        <f>C1942/SUM(Data!$J$2:$J$2379)</f>
        <v>0.9654697899615875</v>
      </c>
    </row>
    <row r="1943" spans="1:4" x14ac:dyDescent="0.3">
      <c r="A1943" s="25">
        <v>1942</v>
      </c>
      <c r="B1943" s="25">
        <f>LARGE(Data!$J$2:$J$2379,A1943)</f>
        <v>240</v>
      </c>
      <c r="C1943" s="25">
        <f t="shared" si="30"/>
        <v>1177530</v>
      </c>
      <c r="D1943" s="28">
        <f>C1943/SUM(Data!$J$2:$J$2379)</f>
        <v>0.96566660871447829</v>
      </c>
    </row>
    <row r="1944" spans="1:4" x14ac:dyDescent="0.3">
      <c r="A1944" s="25">
        <v>1943</v>
      </c>
      <c r="B1944" s="25">
        <f>LARGE(Data!$J$2:$J$2379,A1944)</f>
        <v>240</v>
      </c>
      <c r="C1944" s="25">
        <f t="shared" si="30"/>
        <v>1177770</v>
      </c>
      <c r="D1944" s="28">
        <f>C1944/SUM(Data!$J$2:$J$2379)</f>
        <v>0.96586342746736908</v>
      </c>
    </row>
    <row r="1945" spans="1:4" x14ac:dyDescent="0.3">
      <c r="A1945" s="25">
        <v>1944</v>
      </c>
      <c r="B1945" s="25">
        <f>LARGE(Data!$J$2:$J$2379,A1945)</f>
        <v>240</v>
      </c>
      <c r="C1945" s="25">
        <f t="shared" si="30"/>
        <v>1178010</v>
      </c>
      <c r="D1945" s="28">
        <f>C1945/SUM(Data!$J$2:$J$2379)</f>
        <v>0.96606024622025988</v>
      </c>
    </row>
    <row r="1946" spans="1:4" x14ac:dyDescent="0.3">
      <c r="A1946" s="25">
        <v>1945</v>
      </c>
      <c r="B1946" s="25">
        <f>LARGE(Data!$J$2:$J$2379,A1946)</f>
        <v>210</v>
      </c>
      <c r="C1946" s="25">
        <f t="shared" si="30"/>
        <v>1178220</v>
      </c>
      <c r="D1946" s="28">
        <f>C1946/SUM(Data!$J$2:$J$2379)</f>
        <v>0.96623246262903928</v>
      </c>
    </row>
    <row r="1947" spans="1:4" x14ac:dyDescent="0.3">
      <c r="A1947" s="25">
        <v>1946</v>
      </c>
      <c r="B1947" s="25">
        <f>LARGE(Data!$J$2:$J$2379,A1947)</f>
        <v>210</v>
      </c>
      <c r="C1947" s="25">
        <f t="shared" si="30"/>
        <v>1178430</v>
      </c>
      <c r="D1947" s="28">
        <f>C1947/SUM(Data!$J$2:$J$2379)</f>
        <v>0.96640467903781868</v>
      </c>
    </row>
    <row r="1948" spans="1:4" x14ac:dyDescent="0.3">
      <c r="A1948" s="25">
        <v>1947</v>
      </c>
      <c r="B1948" s="25">
        <f>LARGE(Data!$J$2:$J$2379,A1948)</f>
        <v>210</v>
      </c>
      <c r="C1948" s="25">
        <f t="shared" si="30"/>
        <v>1178640</v>
      </c>
      <c r="D1948" s="28">
        <f>C1948/SUM(Data!$J$2:$J$2379)</f>
        <v>0.96657689544659819</v>
      </c>
    </row>
    <row r="1949" spans="1:4" x14ac:dyDescent="0.3">
      <c r="A1949" s="25">
        <v>1948</v>
      </c>
      <c r="B1949" s="25">
        <f>LARGE(Data!$J$2:$J$2379,A1949)</f>
        <v>200</v>
      </c>
      <c r="C1949" s="25">
        <f t="shared" si="30"/>
        <v>1178840</v>
      </c>
      <c r="D1949" s="28">
        <f>C1949/SUM(Data!$J$2:$J$2379)</f>
        <v>0.96674091107400717</v>
      </c>
    </row>
    <row r="1950" spans="1:4" x14ac:dyDescent="0.3">
      <c r="A1950" s="25">
        <v>1949</v>
      </c>
      <c r="B1950" s="25">
        <f>LARGE(Data!$J$2:$J$2379,A1950)</f>
        <v>200</v>
      </c>
      <c r="C1950" s="25">
        <f t="shared" si="30"/>
        <v>1179040</v>
      </c>
      <c r="D1950" s="28">
        <f>C1950/SUM(Data!$J$2:$J$2379)</f>
        <v>0.96690492670141615</v>
      </c>
    </row>
    <row r="1951" spans="1:4" x14ac:dyDescent="0.3">
      <c r="A1951" s="25">
        <v>1950</v>
      </c>
      <c r="B1951" s="25">
        <f>LARGE(Data!$J$2:$J$2379,A1951)</f>
        <v>200</v>
      </c>
      <c r="C1951" s="25">
        <f t="shared" si="30"/>
        <v>1179240</v>
      </c>
      <c r="D1951" s="28">
        <f>C1951/SUM(Data!$J$2:$J$2379)</f>
        <v>0.96706894232882512</v>
      </c>
    </row>
    <row r="1952" spans="1:4" x14ac:dyDescent="0.3">
      <c r="A1952" s="25">
        <v>1951</v>
      </c>
      <c r="B1952" s="25">
        <f>LARGE(Data!$J$2:$J$2379,A1952)</f>
        <v>200</v>
      </c>
      <c r="C1952" s="25">
        <f t="shared" si="30"/>
        <v>1179440</v>
      </c>
      <c r="D1952" s="28">
        <f>C1952/SUM(Data!$J$2:$J$2379)</f>
        <v>0.9672329579562341</v>
      </c>
    </row>
    <row r="1953" spans="1:4" x14ac:dyDescent="0.3">
      <c r="A1953" s="25">
        <v>1952</v>
      </c>
      <c r="B1953" s="25">
        <f>LARGE(Data!$J$2:$J$2379,A1953)</f>
        <v>200</v>
      </c>
      <c r="C1953" s="25">
        <f t="shared" si="30"/>
        <v>1179640</v>
      </c>
      <c r="D1953" s="28">
        <f>C1953/SUM(Data!$J$2:$J$2379)</f>
        <v>0.96739697358364307</v>
      </c>
    </row>
    <row r="1954" spans="1:4" x14ac:dyDescent="0.3">
      <c r="A1954" s="25">
        <v>1953</v>
      </c>
      <c r="B1954" s="25">
        <f>LARGE(Data!$J$2:$J$2379,A1954)</f>
        <v>200</v>
      </c>
      <c r="C1954" s="25">
        <f t="shared" si="30"/>
        <v>1179840</v>
      </c>
      <c r="D1954" s="28">
        <f>C1954/SUM(Data!$J$2:$J$2379)</f>
        <v>0.96756098921105205</v>
      </c>
    </row>
    <row r="1955" spans="1:4" x14ac:dyDescent="0.3">
      <c r="A1955" s="25">
        <v>1954</v>
      </c>
      <c r="B1955" s="25">
        <f>LARGE(Data!$J$2:$J$2379,A1955)</f>
        <v>200</v>
      </c>
      <c r="C1955" s="25">
        <f t="shared" si="30"/>
        <v>1180040</v>
      </c>
      <c r="D1955" s="28">
        <f>C1955/SUM(Data!$J$2:$J$2379)</f>
        <v>0.96772500483846102</v>
      </c>
    </row>
    <row r="1956" spans="1:4" x14ac:dyDescent="0.3">
      <c r="A1956" s="25">
        <v>1955</v>
      </c>
      <c r="B1956" s="25">
        <f>LARGE(Data!$J$2:$J$2379,A1956)</f>
        <v>200</v>
      </c>
      <c r="C1956" s="25">
        <f t="shared" si="30"/>
        <v>1180240</v>
      </c>
      <c r="D1956" s="28">
        <f>C1956/SUM(Data!$J$2:$J$2379)</f>
        <v>0.96788902046587</v>
      </c>
    </row>
    <row r="1957" spans="1:4" x14ac:dyDescent="0.3">
      <c r="A1957" s="25">
        <v>1956</v>
      </c>
      <c r="B1957" s="25">
        <f>LARGE(Data!$J$2:$J$2379,A1957)</f>
        <v>200</v>
      </c>
      <c r="C1957" s="25">
        <f t="shared" si="30"/>
        <v>1180440</v>
      </c>
      <c r="D1957" s="28">
        <f>C1957/SUM(Data!$J$2:$J$2379)</f>
        <v>0.96805303609327897</v>
      </c>
    </row>
    <row r="1958" spans="1:4" x14ac:dyDescent="0.3">
      <c r="A1958" s="25">
        <v>1957</v>
      </c>
      <c r="B1958" s="25">
        <f>LARGE(Data!$J$2:$J$2379,A1958)</f>
        <v>200</v>
      </c>
      <c r="C1958" s="25">
        <f t="shared" si="30"/>
        <v>1180640</v>
      </c>
      <c r="D1958" s="28">
        <f>C1958/SUM(Data!$J$2:$J$2379)</f>
        <v>0.96821705172068795</v>
      </c>
    </row>
    <row r="1959" spans="1:4" x14ac:dyDescent="0.3">
      <c r="A1959" s="25">
        <v>1958</v>
      </c>
      <c r="B1959" s="25">
        <f>LARGE(Data!$J$2:$J$2379,A1959)</f>
        <v>200</v>
      </c>
      <c r="C1959" s="25">
        <f t="shared" si="30"/>
        <v>1180840</v>
      </c>
      <c r="D1959" s="28">
        <f>C1959/SUM(Data!$J$2:$J$2379)</f>
        <v>0.96838106734809692</v>
      </c>
    </row>
    <row r="1960" spans="1:4" x14ac:dyDescent="0.3">
      <c r="A1960" s="25">
        <v>1959</v>
      </c>
      <c r="B1960" s="25">
        <f>LARGE(Data!$J$2:$J$2379,A1960)</f>
        <v>200</v>
      </c>
      <c r="C1960" s="25">
        <f t="shared" si="30"/>
        <v>1181040</v>
      </c>
      <c r="D1960" s="28">
        <f>C1960/SUM(Data!$J$2:$J$2379)</f>
        <v>0.9685450829755059</v>
      </c>
    </row>
    <row r="1961" spans="1:4" x14ac:dyDescent="0.3">
      <c r="A1961" s="25">
        <v>1960</v>
      </c>
      <c r="B1961" s="25">
        <f>LARGE(Data!$J$2:$J$2379,A1961)</f>
        <v>200</v>
      </c>
      <c r="C1961" s="25">
        <f t="shared" si="30"/>
        <v>1181240</v>
      </c>
      <c r="D1961" s="28">
        <f>C1961/SUM(Data!$J$2:$J$2379)</f>
        <v>0.96870909860291488</v>
      </c>
    </row>
    <row r="1962" spans="1:4" x14ac:dyDescent="0.3">
      <c r="A1962" s="25">
        <v>1961</v>
      </c>
      <c r="B1962" s="25">
        <f>LARGE(Data!$J$2:$J$2379,A1962)</f>
        <v>200</v>
      </c>
      <c r="C1962" s="25">
        <f t="shared" si="30"/>
        <v>1181440</v>
      </c>
      <c r="D1962" s="28">
        <f>C1962/SUM(Data!$J$2:$J$2379)</f>
        <v>0.96887311423032385</v>
      </c>
    </row>
    <row r="1963" spans="1:4" x14ac:dyDescent="0.3">
      <c r="A1963" s="25">
        <v>1962</v>
      </c>
      <c r="B1963" s="25">
        <f>LARGE(Data!$J$2:$J$2379,A1963)</f>
        <v>200</v>
      </c>
      <c r="C1963" s="25">
        <f t="shared" si="30"/>
        <v>1181640</v>
      </c>
      <c r="D1963" s="28">
        <f>C1963/SUM(Data!$J$2:$J$2379)</f>
        <v>0.96903712985773283</v>
      </c>
    </row>
    <row r="1964" spans="1:4" x14ac:dyDescent="0.3">
      <c r="A1964" s="25">
        <v>1963</v>
      </c>
      <c r="B1964" s="25">
        <f>LARGE(Data!$J$2:$J$2379,A1964)</f>
        <v>200</v>
      </c>
      <c r="C1964" s="25">
        <f t="shared" si="30"/>
        <v>1181840</v>
      </c>
      <c r="D1964" s="28">
        <f>C1964/SUM(Data!$J$2:$J$2379)</f>
        <v>0.9692011454851418</v>
      </c>
    </row>
    <row r="1965" spans="1:4" x14ac:dyDescent="0.3">
      <c r="A1965" s="25">
        <v>1964</v>
      </c>
      <c r="B1965" s="25">
        <f>LARGE(Data!$J$2:$J$2379,A1965)</f>
        <v>200</v>
      </c>
      <c r="C1965" s="25">
        <f t="shared" si="30"/>
        <v>1182040</v>
      </c>
      <c r="D1965" s="28">
        <f>C1965/SUM(Data!$J$2:$J$2379)</f>
        <v>0.96936516111255078</v>
      </c>
    </row>
    <row r="1966" spans="1:4" x14ac:dyDescent="0.3">
      <c r="A1966" s="25">
        <v>1965</v>
      </c>
      <c r="B1966" s="25">
        <f>LARGE(Data!$J$2:$J$2379,A1966)</f>
        <v>200</v>
      </c>
      <c r="C1966" s="25">
        <f t="shared" si="30"/>
        <v>1182240</v>
      </c>
      <c r="D1966" s="28">
        <f>C1966/SUM(Data!$J$2:$J$2379)</f>
        <v>0.96952917673995975</v>
      </c>
    </row>
    <row r="1967" spans="1:4" x14ac:dyDescent="0.3">
      <c r="A1967" s="25">
        <v>1966</v>
      </c>
      <c r="B1967" s="25">
        <f>LARGE(Data!$J$2:$J$2379,A1967)</f>
        <v>200</v>
      </c>
      <c r="C1967" s="25">
        <f t="shared" si="30"/>
        <v>1182440</v>
      </c>
      <c r="D1967" s="28">
        <f>C1967/SUM(Data!$J$2:$J$2379)</f>
        <v>0.96969319236736873</v>
      </c>
    </row>
    <row r="1968" spans="1:4" x14ac:dyDescent="0.3">
      <c r="A1968" s="25">
        <v>1967</v>
      </c>
      <c r="B1968" s="25">
        <f>LARGE(Data!$J$2:$J$2379,A1968)</f>
        <v>200</v>
      </c>
      <c r="C1968" s="25">
        <f t="shared" si="30"/>
        <v>1182640</v>
      </c>
      <c r="D1968" s="28">
        <f>C1968/SUM(Data!$J$2:$J$2379)</f>
        <v>0.9698572079947777</v>
      </c>
    </row>
    <row r="1969" spans="1:4" x14ac:dyDescent="0.3">
      <c r="A1969" s="25">
        <v>1968</v>
      </c>
      <c r="B1969" s="25">
        <f>LARGE(Data!$J$2:$J$2379,A1969)</f>
        <v>200</v>
      </c>
      <c r="C1969" s="25">
        <f t="shared" si="30"/>
        <v>1182840</v>
      </c>
      <c r="D1969" s="28">
        <f>C1969/SUM(Data!$J$2:$J$2379)</f>
        <v>0.97002122362218668</v>
      </c>
    </row>
    <row r="1970" spans="1:4" x14ac:dyDescent="0.3">
      <c r="A1970" s="25">
        <v>1969</v>
      </c>
      <c r="B1970" s="25">
        <f>LARGE(Data!$J$2:$J$2379,A1970)</f>
        <v>200</v>
      </c>
      <c r="C1970" s="25">
        <f t="shared" si="30"/>
        <v>1183040</v>
      </c>
      <c r="D1970" s="28">
        <f>C1970/SUM(Data!$J$2:$J$2379)</f>
        <v>0.97018523924959565</v>
      </c>
    </row>
    <row r="1971" spans="1:4" x14ac:dyDescent="0.3">
      <c r="A1971" s="25">
        <v>1970</v>
      </c>
      <c r="B1971" s="25">
        <f>LARGE(Data!$J$2:$J$2379,A1971)</f>
        <v>200</v>
      </c>
      <c r="C1971" s="25">
        <f t="shared" si="30"/>
        <v>1183240</v>
      </c>
      <c r="D1971" s="28">
        <f>C1971/SUM(Data!$J$2:$J$2379)</f>
        <v>0.97034925487700463</v>
      </c>
    </row>
    <row r="1972" spans="1:4" x14ac:dyDescent="0.3">
      <c r="A1972" s="25">
        <v>1971</v>
      </c>
      <c r="B1972" s="25">
        <f>LARGE(Data!$J$2:$J$2379,A1972)</f>
        <v>200</v>
      </c>
      <c r="C1972" s="25">
        <f t="shared" si="30"/>
        <v>1183440</v>
      </c>
      <c r="D1972" s="28">
        <f>C1972/SUM(Data!$J$2:$J$2379)</f>
        <v>0.97051327050441361</v>
      </c>
    </row>
    <row r="1973" spans="1:4" x14ac:dyDescent="0.3">
      <c r="A1973" s="25">
        <v>1972</v>
      </c>
      <c r="B1973" s="25">
        <f>LARGE(Data!$J$2:$J$2379,A1973)</f>
        <v>200</v>
      </c>
      <c r="C1973" s="25">
        <f t="shared" si="30"/>
        <v>1183640</v>
      </c>
      <c r="D1973" s="28">
        <f>C1973/SUM(Data!$J$2:$J$2379)</f>
        <v>0.97067728613182269</v>
      </c>
    </row>
    <row r="1974" spans="1:4" x14ac:dyDescent="0.3">
      <c r="A1974" s="25">
        <v>1973</v>
      </c>
      <c r="B1974" s="25">
        <f>LARGE(Data!$J$2:$J$2379,A1974)</f>
        <v>200</v>
      </c>
      <c r="C1974" s="25">
        <f t="shared" si="30"/>
        <v>1183840</v>
      </c>
      <c r="D1974" s="28">
        <f>C1974/SUM(Data!$J$2:$J$2379)</f>
        <v>0.97084130175923167</v>
      </c>
    </row>
    <row r="1975" spans="1:4" x14ac:dyDescent="0.3">
      <c r="A1975" s="25">
        <v>1974</v>
      </c>
      <c r="B1975" s="25">
        <f>LARGE(Data!$J$2:$J$2379,A1975)</f>
        <v>190</v>
      </c>
      <c r="C1975" s="25">
        <f t="shared" si="30"/>
        <v>1184030</v>
      </c>
      <c r="D1975" s="28">
        <f>C1975/SUM(Data!$J$2:$J$2379)</f>
        <v>0.97099711660527011</v>
      </c>
    </row>
    <row r="1976" spans="1:4" x14ac:dyDescent="0.3">
      <c r="A1976" s="25">
        <v>1975</v>
      </c>
      <c r="B1976" s="25">
        <f>LARGE(Data!$J$2:$J$2379,A1976)</f>
        <v>190</v>
      </c>
      <c r="C1976" s="25">
        <f t="shared" si="30"/>
        <v>1184220</v>
      </c>
      <c r="D1976" s="28">
        <f>C1976/SUM(Data!$J$2:$J$2379)</f>
        <v>0.97115293145130865</v>
      </c>
    </row>
    <row r="1977" spans="1:4" x14ac:dyDescent="0.3">
      <c r="A1977" s="25">
        <v>1976</v>
      </c>
      <c r="B1977" s="25">
        <f>LARGE(Data!$J$2:$J$2379,A1977)</f>
        <v>190</v>
      </c>
      <c r="C1977" s="25">
        <f t="shared" si="30"/>
        <v>1184410</v>
      </c>
      <c r="D1977" s="28">
        <f>C1977/SUM(Data!$J$2:$J$2379)</f>
        <v>0.9713087462973472</v>
      </c>
    </row>
    <row r="1978" spans="1:4" x14ac:dyDescent="0.3">
      <c r="A1978" s="25">
        <v>1977</v>
      </c>
      <c r="B1978" s="25">
        <f>LARGE(Data!$J$2:$J$2379,A1978)</f>
        <v>190</v>
      </c>
      <c r="C1978" s="25">
        <f t="shared" si="30"/>
        <v>1184600</v>
      </c>
      <c r="D1978" s="28">
        <f>C1978/SUM(Data!$J$2:$J$2379)</f>
        <v>0.97146456114338575</v>
      </c>
    </row>
    <row r="1979" spans="1:4" x14ac:dyDescent="0.3">
      <c r="A1979" s="25">
        <v>1978</v>
      </c>
      <c r="B1979" s="25">
        <f>LARGE(Data!$J$2:$J$2379,A1979)</f>
        <v>190</v>
      </c>
      <c r="C1979" s="25">
        <f t="shared" si="30"/>
        <v>1184790</v>
      </c>
      <c r="D1979" s="28">
        <f>C1979/SUM(Data!$J$2:$J$2379)</f>
        <v>0.9716203759894243</v>
      </c>
    </row>
    <row r="1980" spans="1:4" x14ac:dyDescent="0.3">
      <c r="A1980" s="25">
        <v>1979</v>
      </c>
      <c r="B1980" s="25">
        <f>LARGE(Data!$J$2:$J$2379,A1980)</f>
        <v>190</v>
      </c>
      <c r="C1980" s="25">
        <f t="shared" si="30"/>
        <v>1184980</v>
      </c>
      <c r="D1980" s="28">
        <f>C1980/SUM(Data!$J$2:$J$2379)</f>
        <v>0.97177619083546285</v>
      </c>
    </row>
    <row r="1981" spans="1:4" x14ac:dyDescent="0.3">
      <c r="A1981" s="25">
        <v>1980</v>
      </c>
      <c r="B1981" s="25">
        <f>LARGE(Data!$J$2:$J$2379,A1981)</f>
        <v>190</v>
      </c>
      <c r="C1981" s="25">
        <f t="shared" si="30"/>
        <v>1185170</v>
      </c>
      <c r="D1981" s="28">
        <f>C1981/SUM(Data!$J$2:$J$2379)</f>
        <v>0.97193200568150129</v>
      </c>
    </row>
    <row r="1982" spans="1:4" x14ac:dyDescent="0.3">
      <c r="A1982" s="25">
        <v>1981</v>
      </c>
      <c r="B1982" s="25">
        <f>LARGE(Data!$J$2:$J$2379,A1982)</f>
        <v>190</v>
      </c>
      <c r="C1982" s="25">
        <f t="shared" si="30"/>
        <v>1185360</v>
      </c>
      <c r="D1982" s="28">
        <f>C1982/SUM(Data!$J$2:$J$2379)</f>
        <v>0.97208782052753984</v>
      </c>
    </row>
    <row r="1983" spans="1:4" x14ac:dyDescent="0.3">
      <c r="A1983" s="25">
        <v>1982</v>
      </c>
      <c r="B1983" s="25">
        <f>LARGE(Data!$J$2:$J$2379,A1983)</f>
        <v>190</v>
      </c>
      <c r="C1983" s="25">
        <f t="shared" si="30"/>
        <v>1185550</v>
      </c>
      <c r="D1983" s="28">
        <f>C1983/SUM(Data!$J$2:$J$2379)</f>
        <v>0.97224363537357839</v>
      </c>
    </row>
    <row r="1984" spans="1:4" x14ac:dyDescent="0.3">
      <c r="A1984" s="25">
        <v>1983</v>
      </c>
      <c r="B1984" s="25">
        <f>LARGE(Data!$J$2:$J$2379,A1984)</f>
        <v>190</v>
      </c>
      <c r="C1984" s="25">
        <f t="shared" si="30"/>
        <v>1185740</v>
      </c>
      <c r="D1984" s="28">
        <f>C1984/SUM(Data!$J$2:$J$2379)</f>
        <v>0.97239945021961693</v>
      </c>
    </row>
    <row r="1985" spans="1:4" x14ac:dyDescent="0.3">
      <c r="A1985" s="25">
        <v>1984</v>
      </c>
      <c r="B1985" s="25">
        <f>LARGE(Data!$J$2:$J$2379,A1985)</f>
        <v>190</v>
      </c>
      <c r="C1985" s="25">
        <f t="shared" si="30"/>
        <v>1185930</v>
      </c>
      <c r="D1985" s="28">
        <f>C1985/SUM(Data!$J$2:$J$2379)</f>
        <v>0.97255526506565548</v>
      </c>
    </row>
    <row r="1986" spans="1:4" x14ac:dyDescent="0.3">
      <c r="A1986" s="25">
        <v>1985</v>
      </c>
      <c r="B1986" s="25">
        <f>LARGE(Data!$J$2:$J$2379,A1986)</f>
        <v>190</v>
      </c>
      <c r="C1986" s="25">
        <f t="shared" si="30"/>
        <v>1186120</v>
      </c>
      <c r="D1986" s="28">
        <f>C1986/SUM(Data!$J$2:$J$2379)</f>
        <v>0.97271107991169403</v>
      </c>
    </row>
    <row r="1987" spans="1:4" x14ac:dyDescent="0.3">
      <c r="A1987" s="25">
        <v>1986</v>
      </c>
      <c r="B1987" s="25">
        <f>LARGE(Data!$J$2:$J$2379,A1987)</f>
        <v>190</v>
      </c>
      <c r="C1987" s="25">
        <f t="shared" ref="C1987:C2050" si="31">C1986+B1987</f>
        <v>1186310</v>
      </c>
      <c r="D1987" s="28">
        <f>C1987/SUM(Data!$J$2:$J$2379)</f>
        <v>0.97286689475773247</v>
      </c>
    </row>
    <row r="1988" spans="1:4" x14ac:dyDescent="0.3">
      <c r="A1988" s="25">
        <v>1987</v>
      </c>
      <c r="B1988" s="25">
        <f>LARGE(Data!$J$2:$J$2379,A1988)</f>
        <v>190</v>
      </c>
      <c r="C1988" s="25">
        <f t="shared" si="31"/>
        <v>1186500</v>
      </c>
      <c r="D1988" s="28">
        <f>C1988/SUM(Data!$J$2:$J$2379)</f>
        <v>0.97302270960377102</v>
      </c>
    </row>
    <row r="1989" spans="1:4" x14ac:dyDescent="0.3">
      <c r="A1989" s="25">
        <v>1988</v>
      </c>
      <c r="B1989" s="25">
        <f>LARGE(Data!$J$2:$J$2379,A1989)</f>
        <v>190</v>
      </c>
      <c r="C1989" s="25">
        <f t="shared" si="31"/>
        <v>1186690</v>
      </c>
      <c r="D1989" s="28">
        <f>C1989/SUM(Data!$J$2:$J$2379)</f>
        <v>0.97317852444980957</v>
      </c>
    </row>
    <row r="1990" spans="1:4" x14ac:dyDescent="0.3">
      <c r="A1990" s="25">
        <v>1989</v>
      </c>
      <c r="B1990" s="25">
        <f>LARGE(Data!$J$2:$J$2379,A1990)</f>
        <v>190</v>
      </c>
      <c r="C1990" s="25">
        <f t="shared" si="31"/>
        <v>1186880</v>
      </c>
      <c r="D1990" s="28">
        <f>C1990/SUM(Data!$J$2:$J$2379)</f>
        <v>0.97333433929584812</v>
      </c>
    </row>
    <row r="1991" spans="1:4" x14ac:dyDescent="0.3">
      <c r="A1991" s="25">
        <v>1990</v>
      </c>
      <c r="B1991" s="25">
        <f>LARGE(Data!$J$2:$J$2379,A1991)</f>
        <v>190</v>
      </c>
      <c r="C1991" s="25">
        <f t="shared" si="31"/>
        <v>1187070</v>
      </c>
      <c r="D1991" s="28">
        <f>C1991/SUM(Data!$J$2:$J$2379)</f>
        <v>0.97349015414188667</v>
      </c>
    </row>
    <row r="1992" spans="1:4" x14ac:dyDescent="0.3">
      <c r="A1992" s="25">
        <v>1991</v>
      </c>
      <c r="B1992" s="25">
        <f>LARGE(Data!$J$2:$J$2379,A1992)</f>
        <v>190</v>
      </c>
      <c r="C1992" s="25">
        <f t="shared" si="31"/>
        <v>1187260</v>
      </c>
      <c r="D1992" s="28">
        <f>C1992/SUM(Data!$J$2:$J$2379)</f>
        <v>0.97364596898792521</v>
      </c>
    </row>
    <row r="1993" spans="1:4" x14ac:dyDescent="0.3">
      <c r="A1993" s="25">
        <v>1992</v>
      </c>
      <c r="B1993" s="25">
        <f>LARGE(Data!$J$2:$J$2379,A1993)</f>
        <v>190</v>
      </c>
      <c r="C1993" s="25">
        <f t="shared" si="31"/>
        <v>1187450</v>
      </c>
      <c r="D1993" s="28">
        <f>C1993/SUM(Data!$J$2:$J$2379)</f>
        <v>0.97380178383396365</v>
      </c>
    </row>
    <row r="1994" spans="1:4" x14ac:dyDescent="0.3">
      <c r="A1994" s="25">
        <v>1993</v>
      </c>
      <c r="B1994" s="25">
        <f>LARGE(Data!$J$2:$J$2379,A1994)</f>
        <v>190</v>
      </c>
      <c r="C1994" s="25">
        <f t="shared" si="31"/>
        <v>1187640</v>
      </c>
      <c r="D1994" s="28">
        <f>C1994/SUM(Data!$J$2:$J$2379)</f>
        <v>0.9739575986800022</v>
      </c>
    </row>
    <row r="1995" spans="1:4" x14ac:dyDescent="0.3">
      <c r="A1995" s="25">
        <v>1994</v>
      </c>
      <c r="B1995" s="25">
        <f>LARGE(Data!$J$2:$J$2379,A1995)</f>
        <v>190</v>
      </c>
      <c r="C1995" s="25">
        <f t="shared" si="31"/>
        <v>1187830</v>
      </c>
      <c r="D1995" s="28">
        <f>C1995/SUM(Data!$J$2:$J$2379)</f>
        <v>0.97411341352604075</v>
      </c>
    </row>
    <row r="1996" spans="1:4" x14ac:dyDescent="0.3">
      <c r="A1996" s="25">
        <v>1995</v>
      </c>
      <c r="B1996" s="25">
        <f>LARGE(Data!$J$2:$J$2379,A1996)</f>
        <v>190</v>
      </c>
      <c r="C1996" s="25">
        <f t="shared" si="31"/>
        <v>1188020</v>
      </c>
      <c r="D1996" s="28">
        <f>C1996/SUM(Data!$J$2:$J$2379)</f>
        <v>0.9742692283720793</v>
      </c>
    </row>
    <row r="1997" spans="1:4" x14ac:dyDescent="0.3">
      <c r="A1997" s="25">
        <v>1996</v>
      </c>
      <c r="B1997" s="25">
        <f>LARGE(Data!$J$2:$J$2379,A1997)</f>
        <v>190</v>
      </c>
      <c r="C1997" s="25">
        <f t="shared" si="31"/>
        <v>1188210</v>
      </c>
      <c r="D1997" s="28">
        <f>C1997/SUM(Data!$J$2:$J$2379)</f>
        <v>0.97442504321811785</v>
      </c>
    </row>
    <row r="1998" spans="1:4" x14ac:dyDescent="0.3">
      <c r="A1998" s="25">
        <v>1997</v>
      </c>
      <c r="B1998" s="25">
        <f>LARGE(Data!$J$2:$J$2379,A1998)</f>
        <v>190</v>
      </c>
      <c r="C1998" s="25">
        <f t="shared" si="31"/>
        <v>1188400</v>
      </c>
      <c r="D1998" s="28">
        <f>C1998/SUM(Data!$J$2:$J$2379)</f>
        <v>0.9745808580641564</v>
      </c>
    </row>
    <row r="1999" spans="1:4" x14ac:dyDescent="0.3">
      <c r="A1999" s="25">
        <v>1998</v>
      </c>
      <c r="B1999" s="25">
        <f>LARGE(Data!$J$2:$J$2379,A1999)</f>
        <v>190</v>
      </c>
      <c r="C1999" s="25">
        <f t="shared" si="31"/>
        <v>1188590</v>
      </c>
      <c r="D1999" s="28">
        <f>C1999/SUM(Data!$J$2:$J$2379)</f>
        <v>0.97473667291019483</v>
      </c>
    </row>
    <row r="2000" spans="1:4" x14ac:dyDescent="0.3">
      <c r="A2000" s="25">
        <v>1999</v>
      </c>
      <c r="B2000" s="25">
        <f>LARGE(Data!$J$2:$J$2379,A2000)</f>
        <v>190</v>
      </c>
      <c r="C2000" s="25">
        <f t="shared" si="31"/>
        <v>1188780</v>
      </c>
      <c r="D2000" s="28">
        <f>C2000/SUM(Data!$J$2:$J$2379)</f>
        <v>0.97489248775623338</v>
      </c>
    </row>
    <row r="2001" spans="1:4" x14ac:dyDescent="0.3">
      <c r="A2001" s="25">
        <v>2000</v>
      </c>
      <c r="B2001" s="25">
        <f>LARGE(Data!$J$2:$J$2379,A2001)</f>
        <v>190</v>
      </c>
      <c r="C2001" s="25">
        <f t="shared" si="31"/>
        <v>1188970</v>
      </c>
      <c r="D2001" s="28">
        <f>C2001/SUM(Data!$J$2:$J$2379)</f>
        <v>0.97504830260227193</v>
      </c>
    </row>
    <row r="2002" spans="1:4" x14ac:dyDescent="0.3">
      <c r="A2002" s="25">
        <v>2001</v>
      </c>
      <c r="B2002" s="25">
        <f>LARGE(Data!$J$2:$J$2379,A2002)</f>
        <v>190</v>
      </c>
      <c r="C2002" s="25">
        <f t="shared" si="31"/>
        <v>1189160</v>
      </c>
      <c r="D2002" s="28">
        <f>C2002/SUM(Data!$J$2:$J$2379)</f>
        <v>0.97520411744831048</v>
      </c>
    </row>
    <row r="2003" spans="1:4" x14ac:dyDescent="0.3">
      <c r="A2003" s="25">
        <v>2002</v>
      </c>
      <c r="B2003" s="25">
        <f>LARGE(Data!$J$2:$J$2379,A2003)</f>
        <v>190</v>
      </c>
      <c r="C2003" s="25">
        <f t="shared" si="31"/>
        <v>1189350</v>
      </c>
      <c r="D2003" s="28">
        <f>C2003/SUM(Data!$J$2:$J$2379)</f>
        <v>0.97535993229434903</v>
      </c>
    </row>
    <row r="2004" spans="1:4" x14ac:dyDescent="0.3">
      <c r="A2004" s="25">
        <v>2003</v>
      </c>
      <c r="B2004" s="25">
        <f>LARGE(Data!$J$2:$J$2379,A2004)</f>
        <v>190</v>
      </c>
      <c r="C2004" s="25">
        <f t="shared" si="31"/>
        <v>1189540</v>
      </c>
      <c r="D2004" s="28">
        <f>C2004/SUM(Data!$J$2:$J$2379)</f>
        <v>0.97551574714038758</v>
      </c>
    </row>
    <row r="2005" spans="1:4" x14ac:dyDescent="0.3">
      <c r="A2005" s="25">
        <v>2004</v>
      </c>
      <c r="B2005" s="25">
        <f>LARGE(Data!$J$2:$J$2379,A2005)</f>
        <v>190</v>
      </c>
      <c r="C2005" s="25">
        <f t="shared" si="31"/>
        <v>1189730</v>
      </c>
      <c r="D2005" s="28">
        <f>C2005/SUM(Data!$J$2:$J$2379)</f>
        <v>0.97567156198642602</v>
      </c>
    </row>
    <row r="2006" spans="1:4" x14ac:dyDescent="0.3">
      <c r="A2006" s="25">
        <v>2005</v>
      </c>
      <c r="B2006" s="25">
        <f>LARGE(Data!$J$2:$J$2379,A2006)</f>
        <v>190</v>
      </c>
      <c r="C2006" s="25">
        <f t="shared" si="31"/>
        <v>1189920</v>
      </c>
      <c r="D2006" s="28">
        <f>C2006/SUM(Data!$J$2:$J$2379)</f>
        <v>0.97582737683246457</v>
      </c>
    </row>
    <row r="2007" spans="1:4" x14ac:dyDescent="0.3">
      <c r="A2007" s="25">
        <v>2006</v>
      </c>
      <c r="B2007" s="25">
        <f>LARGE(Data!$J$2:$J$2379,A2007)</f>
        <v>190</v>
      </c>
      <c r="C2007" s="25">
        <f t="shared" si="31"/>
        <v>1190110</v>
      </c>
      <c r="D2007" s="28">
        <f>C2007/SUM(Data!$J$2:$J$2379)</f>
        <v>0.97598319167850311</v>
      </c>
    </row>
    <row r="2008" spans="1:4" x14ac:dyDescent="0.3">
      <c r="A2008" s="25">
        <v>2007</v>
      </c>
      <c r="B2008" s="25">
        <f>LARGE(Data!$J$2:$J$2379,A2008)</f>
        <v>190</v>
      </c>
      <c r="C2008" s="25">
        <f t="shared" si="31"/>
        <v>1190300</v>
      </c>
      <c r="D2008" s="28">
        <f>C2008/SUM(Data!$J$2:$J$2379)</f>
        <v>0.97613900652454166</v>
      </c>
    </row>
    <row r="2009" spans="1:4" x14ac:dyDescent="0.3">
      <c r="A2009" s="25">
        <v>2008</v>
      </c>
      <c r="B2009" s="25">
        <f>LARGE(Data!$J$2:$J$2379,A2009)</f>
        <v>190</v>
      </c>
      <c r="C2009" s="25">
        <f t="shared" si="31"/>
        <v>1190490</v>
      </c>
      <c r="D2009" s="28">
        <f>C2009/SUM(Data!$J$2:$J$2379)</f>
        <v>0.97629482137058021</v>
      </c>
    </row>
    <row r="2010" spans="1:4" x14ac:dyDescent="0.3">
      <c r="A2010" s="25">
        <v>2009</v>
      </c>
      <c r="B2010" s="25">
        <f>LARGE(Data!$J$2:$J$2379,A2010)</f>
        <v>190</v>
      </c>
      <c r="C2010" s="25">
        <f t="shared" si="31"/>
        <v>1190680</v>
      </c>
      <c r="D2010" s="28">
        <f>C2010/SUM(Data!$J$2:$J$2379)</f>
        <v>0.97645063621661876</v>
      </c>
    </row>
    <row r="2011" spans="1:4" x14ac:dyDescent="0.3">
      <c r="A2011" s="25">
        <v>2010</v>
      </c>
      <c r="B2011" s="25">
        <f>LARGE(Data!$J$2:$J$2379,A2011)</f>
        <v>190</v>
      </c>
      <c r="C2011" s="25">
        <f t="shared" si="31"/>
        <v>1190870</v>
      </c>
      <c r="D2011" s="28">
        <f>C2011/SUM(Data!$J$2:$J$2379)</f>
        <v>0.9766064510626572</v>
      </c>
    </row>
    <row r="2012" spans="1:4" x14ac:dyDescent="0.3">
      <c r="A2012" s="25">
        <v>2011</v>
      </c>
      <c r="B2012" s="25">
        <f>LARGE(Data!$J$2:$J$2379,A2012)</f>
        <v>190</v>
      </c>
      <c r="C2012" s="25">
        <f t="shared" si="31"/>
        <v>1191060</v>
      </c>
      <c r="D2012" s="28">
        <f>C2012/SUM(Data!$J$2:$J$2379)</f>
        <v>0.97676226590869575</v>
      </c>
    </row>
    <row r="2013" spans="1:4" x14ac:dyDescent="0.3">
      <c r="A2013" s="25">
        <v>2012</v>
      </c>
      <c r="B2013" s="25">
        <f>LARGE(Data!$J$2:$J$2379,A2013)</f>
        <v>190</v>
      </c>
      <c r="C2013" s="25">
        <f t="shared" si="31"/>
        <v>1191250</v>
      </c>
      <c r="D2013" s="28">
        <f>C2013/SUM(Data!$J$2:$J$2379)</f>
        <v>0.9769180807547343</v>
      </c>
    </row>
    <row r="2014" spans="1:4" x14ac:dyDescent="0.3">
      <c r="A2014" s="25">
        <v>2013</v>
      </c>
      <c r="B2014" s="25">
        <f>LARGE(Data!$J$2:$J$2379,A2014)</f>
        <v>190</v>
      </c>
      <c r="C2014" s="25">
        <f t="shared" si="31"/>
        <v>1191440</v>
      </c>
      <c r="D2014" s="28">
        <f>C2014/SUM(Data!$J$2:$J$2379)</f>
        <v>0.97707389560077285</v>
      </c>
    </row>
    <row r="2015" spans="1:4" x14ac:dyDescent="0.3">
      <c r="A2015" s="25">
        <v>2014</v>
      </c>
      <c r="B2015" s="25">
        <f>LARGE(Data!$J$2:$J$2379,A2015)</f>
        <v>190</v>
      </c>
      <c r="C2015" s="25">
        <f t="shared" si="31"/>
        <v>1191630</v>
      </c>
      <c r="D2015" s="28">
        <f>C2015/SUM(Data!$J$2:$J$2379)</f>
        <v>0.97722971044681139</v>
      </c>
    </row>
    <row r="2016" spans="1:4" x14ac:dyDescent="0.3">
      <c r="A2016" s="25">
        <v>2015</v>
      </c>
      <c r="B2016" s="25">
        <f>LARGE(Data!$J$2:$J$2379,A2016)</f>
        <v>190</v>
      </c>
      <c r="C2016" s="25">
        <f t="shared" si="31"/>
        <v>1191820</v>
      </c>
      <c r="D2016" s="28">
        <f>C2016/SUM(Data!$J$2:$J$2379)</f>
        <v>0.97738552529284994</v>
      </c>
    </row>
    <row r="2017" spans="1:4" x14ac:dyDescent="0.3">
      <c r="A2017" s="25">
        <v>2016</v>
      </c>
      <c r="B2017" s="25">
        <f>LARGE(Data!$J$2:$J$2379,A2017)</f>
        <v>190</v>
      </c>
      <c r="C2017" s="25">
        <f t="shared" si="31"/>
        <v>1192010</v>
      </c>
      <c r="D2017" s="28">
        <f>C2017/SUM(Data!$J$2:$J$2379)</f>
        <v>0.97754134013888838</v>
      </c>
    </row>
    <row r="2018" spans="1:4" x14ac:dyDescent="0.3">
      <c r="A2018" s="25">
        <v>2017</v>
      </c>
      <c r="B2018" s="25">
        <f>LARGE(Data!$J$2:$J$2379,A2018)</f>
        <v>190</v>
      </c>
      <c r="C2018" s="25">
        <f t="shared" si="31"/>
        <v>1192200</v>
      </c>
      <c r="D2018" s="28">
        <f>C2018/SUM(Data!$J$2:$J$2379)</f>
        <v>0.97769715498492693</v>
      </c>
    </row>
    <row r="2019" spans="1:4" x14ac:dyDescent="0.3">
      <c r="A2019" s="25">
        <v>2018</v>
      </c>
      <c r="B2019" s="25">
        <f>LARGE(Data!$J$2:$J$2379,A2019)</f>
        <v>190</v>
      </c>
      <c r="C2019" s="25">
        <f t="shared" si="31"/>
        <v>1192390</v>
      </c>
      <c r="D2019" s="28">
        <f>C2019/SUM(Data!$J$2:$J$2379)</f>
        <v>0.97785296983096548</v>
      </c>
    </row>
    <row r="2020" spans="1:4" x14ac:dyDescent="0.3">
      <c r="A2020" s="25">
        <v>2019</v>
      </c>
      <c r="B2020" s="25">
        <f>LARGE(Data!$J$2:$J$2379,A2020)</f>
        <v>190</v>
      </c>
      <c r="C2020" s="25">
        <f t="shared" si="31"/>
        <v>1192580</v>
      </c>
      <c r="D2020" s="28">
        <f>C2020/SUM(Data!$J$2:$J$2379)</f>
        <v>0.97800878467700403</v>
      </c>
    </row>
    <row r="2021" spans="1:4" x14ac:dyDescent="0.3">
      <c r="A2021" s="25">
        <v>2020</v>
      </c>
      <c r="B2021" s="25">
        <f>LARGE(Data!$J$2:$J$2379,A2021)</f>
        <v>190</v>
      </c>
      <c r="C2021" s="25">
        <f t="shared" si="31"/>
        <v>1192770</v>
      </c>
      <c r="D2021" s="28">
        <f>C2021/SUM(Data!$J$2:$J$2379)</f>
        <v>0.97816459952304258</v>
      </c>
    </row>
    <row r="2022" spans="1:4" x14ac:dyDescent="0.3">
      <c r="A2022" s="25">
        <v>2021</v>
      </c>
      <c r="B2022" s="25">
        <f>LARGE(Data!$J$2:$J$2379,A2022)</f>
        <v>190</v>
      </c>
      <c r="C2022" s="25">
        <f t="shared" si="31"/>
        <v>1192960</v>
      </c>
      <c r="D2022" s="28">
        <f>C2022/SUM(Data!$J$2:$J$2379)</f>
        <v>0.97832041436908113</v>
      </c>
    </row>
    <row r="2023" spans="1:4" x14ac:dyDescent="0.3">
      <c r="A2023" s="25">
        <v>2022</v>
      </c>
      <c r="B2023" s="25">
        <f>LARGE(Data!$J$2:$J$2379,A2023)</f>
        <v>190</v>
      </c>
      <c r="C2023" s="25">
        <f t="shared" si="31"/>
        <v>1193150</v>
      </c>
      <c r="D2023" s="28">
        <f>C2023/SUM(Data!$J$2:$J$2379)</f>
        <v>0.97847622921511956</v>
      </c>
    </row>
    <row r="2024" spans="1:4" x14ac:dyDescent="0.3">
      <c r="A2024" s="25">
        <v>2023</v>
      </c>
      <c r="B2024" s="25">
        <f>LARGE(Data!$J$2:$J$2379,A2024)</f>
        <v>190</v>
      </c>
      <c r="C2024" s="25">
        <f t="shared" si="31"/>
        <v>1193340</v>
      </c>
      <c r="D2024" s="28">
        <f>C2024/SUM(Data!$J$2:$J$2379)</f>
        <v>0.97863204406115811</v>
      </c>
    </row>
    <row r="2025" spans="1:4" x14ac:dyDescent="0.3">
      <c r="A2025" s="25">
        <v>2024</v>
      </c>
      <c r="B2025" s="25">
        <f>LARGE(Data!$J$2:$J$2379,A2025)</f>
        <v>190</v>
      </c>
      <c r="C2025" s="25">
        <f t="shared" si="31"/>
        <v>1193530</v>
      </c>
      <c r="D2025" s="28">
        <f>C2025/SUM(Data!$J$2:$J$2379)</f>
        <v>0.97878785890719666</v>
      </c>
    </row>
    <row r="2026" spans="1:4" x14ac:dyDescent="0.3">
      <c r="A2026" s="25">
        <v>2025</v>
      </c>
      <c r="B2026" s="25">
        <f>LARGE(Data!$J$2:$J$2379,A2026)</f>
        <v>190</v>
      </c>
      <c r="C2026" s="25">
        <f t="shared" si="31"/>
        <v>1193720</v>
      </c>
      <c r="D2026" s="28">
        <f>C2026/SUM(Data!$J$2:$J$2379)</f>
        <v>0.97894367375323521</v>
      </c>
    </row>
    <row r="2027" spans="1:4" x14ac:dyDescent="0.3">
      <c r="A2027" s="25">
        <v>2026</v>
      </c>
      <c r="B2027" s="25">
        <f>LARGE(Data!$J$2:$J$2379,A2027)</f>
        <v>190</v>
      </c>
      <c r="C2027" s="25">
        <f t="shared" si="31"/>
        <v>1193910</v>
      </c>
      <c r="D2027" s="28">
        <f>C2027/SUM(Data!$J$2:$J$2379)</f>
        <v>0.97909948859927376</v>
      </c>
    </row>
    <row r="2028" spans="1:4" x14ac:dyDescent="0.3">
      <c r="A2028" s="25">
        <v>2027</v>
      </c>
      <c r="B2028" s="25">
        <f>LARGE(Data!$J$2:$J$2379,A2028)</f>
        <v>190</v>
      </c>
      <c r="C2028" s="25">
        <f t="shared" si="31"/>
        <v>1194100</v>
      </c>
      <c r="D2028" s="28">
        <f>C2028/SUM(Data!$J$2:$J$2379)</f>
        <v>0.97925530344531231</v>
      </c>
    </row>
    <row r="2029" spans="1:4" x14ac:dyDescent="0.3">
      <c r="A2029" s="25">
        <v>2028</v>
      </c>
      <c r="B2029" s="25">
        <f>LARGE(Data!$J$2:$J$2379,A2029)</f>
        <v>190</v>
      </c>
      <c r="C2029" s="25">
        <f t="shared" si="31"/>
        <v>1194290</v>
      </c>
      <c r="D2029" s="28">
        <f>C2029/SUM(Data!$J$2:$J$2379)</f>
        <v>0.97941111829135075</v>
      </c>
    </row>
    <row r="2030" spans="1:4" x14ac:dyDescent="0.3">
      <c r="A2030" s="25">
        <v>2029</v>
      </c>
      <c r="B2030" s="25">
        <f>LARGE(Data!$J$2:$J$2379,A2030)</f>
        <v>190</v>
      </c>
      <c r="C2030" s="25">
        <f t="shared" si="31"/>
        <v>1194480</v>
      </c>
      <c r="D2030" s="28">
        <f>C2030/SUM(Data!$J$2:$J$2379)</f>
        <v>0.9795669331373893</v>
      </c>
    </row>
    <row r="2031" spans="1:4" x14ac:dyDescent="0.3">
      <c r="A2031" s="25">
        <v>2030</v>
      </c>
      <c r="B2031" s="25">
        <f>LARGE(Data!$J$2:$J$2379,A2031)</f>
        <v>190</v>
      </c>
      <c r="C2031" s="25">
        <f t="shared" si="31"/>
        <v>1194670</v>
      </c>
      <c r="D2031" s="28">
        <f>C2031/SUM(Data!$J$2:$J$2379)</f>
        <v>0.97972274798342784</v>
      </c>
    </row>
    <row r="2032" spans="1:4" x14ac:dyDescent="0.3">
      <c r="A2032" s="25">
        <v>2031</v>
      </c>
      <c r="B2032" s="25">
        <f>LARGE(Data!$J$2:$J$2379,A2032)</f>
        <v>190</v>
      </c>
      <c r="C2032" s="25">
        <f t="shared" si="31"/>
        <v>1194860</v>
      </c>
      <c r="D2032" s="28">
        <f>C2032/SUM(Data!$J$2:$J$2379)</f>
        <v>0.97987856282946639</v>
      </c>
    </row>
    <row r="2033" spans="1:4" x14ac:dyDescent="0.3">
      <c r="A2033" s="25">
        <v>2032</v>
      </c>
      <c r="B2033" s="25">
        <f>LARGE(Data!$J$2:$J$2379,A2033)</f>
        <v>190</v>
      </c>
      <c r="C2033" s="25">
        <f t="shared" si="31"/>
        <v>1195050</v>
      </c>
      <c r="D2033" s="28">
        <f>C2033/SUM(Data!$J$2:$J$2379)</f>
        <v>0.98003437767550494</v>
      </c>
    </row>
    <row r="2034" spans="1:4" x14ac:dyDescent="0.3">
      <c r="A2034" s="25">
        <v>2033</v>
      </c>
      <c r="B2034" s="25">
        <f>LARGE(Data!$J$2:$J$2379,A2034)</f>
        <v>190</v>
      </c>
      <c r="C2034" s="25">
        <f t="shared" si="31"/>
        <v>1195240</v>
      </c>
      <c r="D2034" s="28">
        <f>C2034/SUM(Data!$J$2:$J$2379)</f>
        <v>0.98019019252154349</v>
      </c>
    </row>
    <row r="2035" spans="1:4" x14ac:dyDescent="0.3">
      <c r="A2035" s="25">
        <v>2034</v>
      </c>
      <c r="B2035" s="25">
        <f>LARGE(Data!$J$2:$J$2379,A2035)</f>
        <v>190</v>
      </c>
      <c r="C2035" s="25">
        <f t="shared" si="31"/>
        <v>1195430</v>
      </c>
      <c r="D2035" s="28">
        <f>C2035/SUM(Data!$J$2:$J$2379)</f>
        <v>0.98034600736758193</v>
      </c>
    </row>
    <row r="2036" spans="1:4" x14ac:dyDescent="0.3">
      <c r="A2036" s="25">
        <v>2035</v>
      </c>
      <c r="B2036" s="25">
        <f>LARGE(Data!$J$2:$J$2379,A2036)</f>
        <v>190</v>
      </c>
      <c r="C2036" s="25">
        <f t="shared" si="31"/>
        <v>1195620</v>
      </c>
      <c r="D2036" s="28">
        <f>C2036/SUM(Data!$J$2:$J$2379)</f>
        <v>0.98050182221362048</v>
      </c>
    </row>
    <row r="2037" spans="1:4" x14ac:dyDescent="0.3">
      <c r="A2037" s="25">
        <v>2036</v>
      </c>
      <c r="B2037" s="25">
        <f>LARGE(Data!$J$2:$J$2379,A2037)</f>
        <v>190</v>
      </c>
      <c r="C2037" s="25">
        <f t="shared" si="31"/>
        <v>1195810</v>
      </c>
      <c r="D2037" s="28">
        <f>C2037/SUM(Data!$J$2:$J$2379)</f>
        <v>0.98065763705965903</v>
      </c>
    </row>
    <row r="2038" spans="1:4" x14ac:dyDescent="0.3">
      <c r="A2038" s="25">
        <v>2037</v>
      </c>
      <c r="B2038" s="25">
        <f>LARGE(Data!$J$2:$J$2379,A2038)</f>
        <v>190</v>
      </c>
      <c r="C2038" s="25">
        <f t="shared" si="31"/>
        <v>1196000</v>
      </c>
      <c r="D2038" s="28">
        <f>C2038/SUM(Data!$J$2:$J$2379)</f>
        <v>0.98081345190569758</v>
      </c>
    </row>
    <row r="2039" spans="1:4" x14ac:dyDescent="0.3">
      <c r="A2039" s="25">
        <v>2038</v>
      </c>
      <c r="B2039" s="25">
        <f>LARGE(Data!$J$2:$J$2379,A2039)</f>
        <v>190</v>
      </c>
      <c r="C2039" s="25">
        <f t="shared" si="31"/>
        <v>1196190</v>
      </c>
      <c r="D2039" s="28">
        <f>C2039/SUM(Data!$J$2:$J$2379)</f>
        <v>0.98096926675173612</v>
      </c>
    </row>
    <row r="2040" spans="1:4" x14ac:dyDescent="0.3">
      <c r="A2040" s="25">
        <v>2039</v>
      </c>
      <c r="B2040" s="25">
        <f>LARGE(Data!$J$2:$J$2379,A2040)</f>
        <v>190</v>
      </c>
      <c r="C2040" s="25">
        <f t="shared" si="31"/>
        <v>1196380</v>
      </c>
      <c r="D2040" s="28">
        <f>C2040/SUM(Data!$J$2:$J$2379)</f>
        <v>0.98112508159777467</v>
      </c>
    </row>
    <row r="2041" spans="1:4" x14ac:dyDescent="0.3">
      <c r="A2041" s="25">
        <v>2040</v>
      </c>
      <c r="B2041" s="25">
        <f>LARGE(Data!$J$2:$J$2379,A2041)</f>
        <v>190</v>
      </c>
      <c r="C2041" s="25">
        <f t="shared" si="31"/>
        <v>1196570</v>
      </c>
      <c r="D2041" s="28">
        <f>C2041/SUM(Data!$J$2:$J$2379)</f>
        <v>0.98128089644381322</v>
      </c>
    </row>
    <row r="2042" spans="1:4" x14ac:dyDescent="0.3">
      <c r="A2042" s="25">
        <v>2041</v>
      </c>
      <c r="B2042" s="25">
        <f>LARGE(Data!$J$2:$J$2379,A2042)</f>
        <v>190</v>
      </c>
      <c r="C2042" s="25">
        <f t="shared" si="31"/>
        <v>1196760</v>
      </c>
      <c r="D2042" s="28">
        <f>C2042/SUM(Data!$J$2:$J$2379)</f>
        <v>0.98143671128985166</v>
      </c>
    </row>
    <row r="2043" spans="1:4" x14ac:dyDescent="0.3">
      <c r="A2043" s="25">
        <v>2042</v>
      </c>
      <c r="B2043" s="25">
        <f>LARGE(Data!$J$2:$J$2379,A2043)</f>
        <v>190</v>
      </c>
      <c r="C2043" s="25">
        <f t="shared" si="31"/>
        <v>1196950</v>
      </c>
      <c r="D2043" s="28">
        <f>C2043/SUM(Data!$J$2:$J$2379)</f>
        <v>0.98159252613589021</v>
      </c>
    </row>
    <row r="2044" spans="1:4" x14ac:dyDescent="0.3">
      <c r="A2044" s="25">
        <v>2043</v>
      </c>
      <c r="B2044" s="25">
        <f>LARGE(Data!$J$2:$J$2379,A2044)</f>
        <v>180</v>
      </c>
      <c r="C2044" s="25">
        <f t="shared" si="31"/>
        <v>1197130</v>
      </c>
      <c r="D2044" s="28">
        <f>C2044/SUM(Data!$J$2:$J$2379)</f>
        <v>0.98174014020055833</v>
      </c>
    </row>
    <row r="2045" spans="1:4" x14ac:dyDescent="0.3">
      <c r="A2045" s="25">
        <v>2044</v>
      </c>
      <c r="B2045" s="25">
        <f>LARGE(Data!$J$2:$J$2379,A2045)</f>
        <v>180</v>
      </c>
      <c r="C2045" s="25">
        <f t="shared" si="31"/>
        <v>1197310</v>
      </c>
      <c r="D2045" s="28">
        <f>C2045/SUM(Data!$J$2:$J$2379)</f>
        <v>0.98188775426522634</v>
      </c>
    </row>
    <row r="2046" spans="1:4" x14ac:dyDescent="0.3">
      <c r="A2046" s="25">
        <v>2045</v>
      </c>
      <c r="B2046" s="25">
        <f>LARGE(Data!$J$2:$J$2379,A2046)</f>
        <v>180</v>
      </c>
      <c r="C2046" s="25">
        <f t="shared" si="31"/>
        <v>1197490</v>
      </c>
      <c r="D2046" s="28">
        <f>C2046/SUM(Data!$J$2:$J$2379)</f>
        <v>0.98203536832989446</v>
      </c>
    </row>
    <row r="2047" spans="1:4" x14ac:dyDescent="0.3">
      <c r="A2047" s="25">
        <v>2046</v>
      </c>
      <c r="B2047" s="25">
        <f>LARGE(Data!$J$2:$J$2379,A2047)</f>
        <v>150</v>
      </c>
      <c r="C2047" s="25">
        <f t="shared" si="31"/>
        <v>1197640</v>
      </c>
      <c r="D2047" s="28">
        <f>C2047/SUM(Data!$J$2:$J$2379)</f>
        <v>0.9821583800504512</v>
      </c>
    </row>
    <row r="2048" spans="1:4" x14ac:dyDescent="0.3">
      <c r="A2048" s="25">
        <v>2047</v>
      </c>
      <c r="B2048" s="25">
        <f>LARGE(Data!$J$2:$J$2379,A2048)</f>
        <v>150</v>
      </c>
      <c r="C2048" s="25">
        <f t="shared" si="31"/>
        <v>1197790</v>
      </c>
      <c r="D2048" s="28">
        <f>C2048/SUM(Data!$J$2:$J$2379)</f>
        <v>0.98228139177100793</v>
      </c>
    </row>
    <row r="2049" spans="1:4" x14ac:dyDescent="0.3">
      <c r="A2049" s="25">
        <v>2048</v>
      </c>
      <c r="B2049" s="25">
        <f>LARGE(Data!$J$2:$J$2379,A2049)</f>
        <v>150</v>
      </c>
      <c r="C2049" s="25">
        <f t="shared" si="31"/>
        <v>1197940</v>
      </c>
      <c r="D2049" s="28">
        <f>C2049/SUM(Data!$J$2:$J$2379)</f>
        <v>0.98240440349156466</v>
      </c>
    </row>
    <row r="2050" spans="1:4" x14ac:dyDescent="0.3">
      <c r="A2050" s="25">
        <v>2049</v>
      </c>
      <c r="B2050" s="25">
        <f>LARGE(Data!$J$2:$J$2379,A2050)</f>
        <v>150</v>
      </c>
      <c r="C2050" s="25">
        <f t="shared" si="31"/>
        <v>1198090</v>
      </c>
      <c r="D2050" s="28">
        <f>C2050/SUM(Data!$J$2:$J$2379)</f>
        <v>0.98252741521212139</v>
      </c>
    </row>
    <row r="2051" spans="1:4" x14ac:dyDescent="0.3">
      <c r="A2051" s="25">
        <v>2050</v>
      </c>
      <c r="B2051" s="25">
        <f>LARGE(Data!$J$2:$J$2379,A2051)</f>
        <v>150</v>
      </c>
      <c r="C2051" s="25">
        <f t="shared" ref="C2051:C2114" si="32">C2050+B2051</f>
        <v>1198240</v>
      </c>
      <c r="D2051" s="28">
        <f>C2051/SUM(Data!$J$2:$J$2379)</f>
        <v>0.98265042693267812</v>
      </c>
    </row>
    <row r="2052" spans="1:4" x14ac:dyDescent="0.3">
      <c r="A2052" s="25">
        <v>2051</v>
      </c>
      <c r="B2052" s="25">
        <f>LARGE(Data!$J$2:$J$2379,A2052)</f>
        <v>150</v>
      </c>
      <c r="C2052" s="25">
        <f t="shared" si="32"/>
        <v>1198390</v>
      </c>
      <c r="D2052" s="28">
        <f>C2052/SUM(Data!$J$2:$J$2379)</f>
        <v>0.98277343865323485</v>
      </c>
    </row>
    <row r="2053" spans="1:4" x14ac:dyDescent="0.3">
      <c r="A2053" s="25">
        <v>2052</v>
      </c>
      <c r="B2053" s="25">
        <f>LARGE(Data!$J$2:$J$2379,A2053)</f>
        <v>150</v>
      </c>
      <c r="C2053" s="25">
        <f t="shared" si="32"/>
        <v>1198540</v>
      </c>
      <c r="D2053" s="28">
        <f>C2053/SUM(Data!$J$2:$J$2379)</f>
        <v>0.98289645037379159</v>
      </c>
    </row>
    <row r="2054" spans="1:4" x14ac:dyDescent="0.3">
      <c r="A2054" s="25">
        <v>2053</v>
      </c>
      <c r="B2054" s="25">
        <f>LARGE(Data!$J$2:$J$2379,A2054)</f>
        <v>150</v>
      </c>
      <c r="C2054" s="25">
        <f t="shared" si="32"/>
        <v>1198690</v>
      </c>
      <c r="D2054" s="28">
        <f>C2054/SUM(Data!$J$2:$J$2379)</f>
        <v>0.98301946209434832</v>
      </c>
    </row>
    <row r="2055" spans="1:4" x14ac:dyDescent="0.3">
      <c r="A2055" s="25">
        <v>2054</v>
      </c>
      <c r="B2055" s="25">
        <f>LARGE(Data!$J$2:$J$2379,A2055)</f>
        <v>150</v>
      </c>
      <c r="C2055" s="25">
        <f t="shared" si="32"/>
        <v>1198840</v>
      </c>
      <c r="D2055" s="28">
        <f>C2055/SUM(Data!$J$2:$J$2379)</f>
        <v>0.98314247381490505</v>
      </c>
    </row>
    <row r="2056" spans="1:4" x14ac:dyDescent="0.3">
      <c r="A2056" s="25">
        <v>2055</v>
      </c>
      <c r="B2056" s="25">
        <f>LARGE(Data!$J$2:$J$2379,A2056)</f>
        <v>150</v>
      </c>
      <c r="C2056" s="25">
        <f t="shared" si="32"/>
        <v>1198990</v>
      </c>
      <c r="D2056" s="28">
        <f>C2056/SUM(Data!$J$2:$J$2379)</f>
        <v>0.98326548553546178</v>
      </c>
    </row>
    <row r="2057" spans="1:4" x14ac:dyDescent="0.3">
      <c r="A2057" s="25">
        <v>2056</v>
      </c>
      <c r="B2057" s="25">
        <f>LARGE(Data!$J$2:$J$2379,A2057)</f>
        <v>150</v>
      </c>
      <c r="C2057" s="25">
        <f t="shared" si="32"/>
        <v>1199140</v>
      </c>
      <c r="D2057" s="28">
        <f>C2057/SUM(Data!$J$2:$J$2379)</f>
        <v>0.98338849725601851</v>
      </c>
    </row>
    <row r="2058" spans="1:4" x14ac:dyDescent="0.3">
      <c r="A2058" s="25">
        <v>2057</v>
      </c>
      <c r="B2058" s="25">
        <f>LARGE(Data!$J$2:$J$2379,A2058)</f>
        <v>150</v>
      </c>
      <c r="C2058" s="25">
        <f t="shared" si="32"/>
        <v>1199290</v>
      </c>
      <c r="D2058" s="28">
        <f>C2058/SUM(Data!$J$2:$J$2379)</f>
        <v>0.98351150897657524</v>
      </c>
    </row>
    <row r="2059" spans="1:4" x14ac:dyDescent="0.3">
      <c r="A2059" s="25">
        <v>2058</v>
      </c>
      <c r="B2059" s="25">
        <f>LARGE(Data!$J$2:$J$2379,A2059)</f>
        <v>150</v>
      </c>
      <c r="C2059" s="25">
        <f t="shared" si="32"/>
        <v>1199440</v>
      </c>
      <c r="D2059" s="28">
        <f>C2059/SUM(Data!$J$2:$J$2379)</f>
        <v>0.98363452069713198</v>
      </c>
    </row>
    <row r="2060" spans="1:4" x14ac:dyDescent="0.3">
      <c r="A2060" s="25">
        <v>2059</v>
      </c>
      <c r="B2060" s="25">
        <f>LARGE(Data!$J$2:$J$2379,A2060)</f>
        <v>150</v>
      </c>
      <c r="C2060" s="25">
        <f t="shared" si="32"/>
        <v>1199590</v>
      </c>
      <c r="D2060" s="28">
        <f>C2060/SUM(Data!$J$2:$J$2379)</f>
        <v>0.98375753241768871</v>
      </c>
    </row>
    <row r="2061" spans="1:4" x14ac:dyDescent="0.3">
      <c r="A2061" s="25">
        <v>2060</v>
      </c>
      <c r="B2061" s="25">
        <f>LARGE(Data!$J$2:$J$2379,A2061)</f>
        <v>150</v>
      </c>
      <c r="C2061" s="25">
        <f t="shared" si="32"/>
        <v>1199740</v>
      </c>
      <c r="D2061" s="28">
        <f>C2061/SUM(Data!$J$2:$J$2379)</f>
        <v>0.98388054413824544</v>
      </c>
    </row>
    <row r="2062" spans="1:4" x14ac:dyDescent="0.3">
      <c r="A2062" s="25">
        <v>2061</v>
      </c>
      <c r="B2062" s="25">
        <f>LARGE(Data!$J$2:$J$2379,A2062)</f>
        <v>150</v>
      </c>
      <c r="C2062" s="25">
        <f t="shared" si="32"/>
        <v>1199890</v>
      </c>
      <c r="D2062" s="28">
        <f>C2062/SUM(Data!$J$2:$J$2379)</f>
        <v>0.98400355585880228</v>
      </c>
    </row>
    <row r="2063" spans="1:4" x14ac:dyDescent="0.3">
      <c r="A2063" s="25">
        <v>2062</v>
      </c>
      <c r="B2063" s="25">
        <f>LARGE(Data!$J$2:$J$2379,A2063)</f>
        <v>150</v>
      </c>
      <c r="C2063" s="25">
        <f t="shared" si="32"/>
        <v>1200040</v>
      </c>
      <c r="D2063" s="28">
        <f>C2063/SUM(Data!$J$2:$J$2379)</f>
        <v>0.98412656757935901</v>
      </c>
    </row>
    <row r="2064" spans="1:4" x14ac:dyDescent="0.3">
      <c r="A2064" s="25">
        <v>2063</v>
      </c>
      <c r="B2064" s="25">
        <f>LARGE(Data!$J$2:$J$2379,A2064)</f>
        <v>140</v>
      </c>
      <c r="C2064" s="25">
        <f t="shared" si="32"/>
        <v>1200180</v>
      </c>
      <c r="D2064" s="28">
        <f>C2064/SUM(Data!$J$2:$J$2379)</f>
        <v>0.98424137851854521</v>
      </c>
    </row>
    <row r="2065" spans="1:4" x14ac:dyDescent="0.3">
      <c r="A2065" s="25">
        <v>2064</v>
      </c>
      <c r="B2065" s="25">
        <f>LARGE(Data!$J$2:$J$2379,A2065)</f>
        <v>140</v>
      </c>
      <c r="C2065" s="25">
        <f t="shared" si="32"/>
        <v>1200320</v>
      </c>
      <c r="D2065" s="28">
        <f>C2065/SUM(Data!$J$2:$J$2379)</f>
        <v>0.98435618945773151</v>
      </c>
    </row>
    <row r="2066" spans="1:4" x14ac:dyDescent="0.3">
      <c r="A2066" s="25">
        <v>2065</v>
      </c>
      <c r="B2066" s="25">
        <f>LARGE(Data!$J$2:$J$2379,A2066)</f>
        <v>140</v>
      </c>
      <c r="C2066" s="25">
        <f t="shared" si="32"/>
        <v>1200460</v>
      </c>
      <c r="D2066" s="28">
        <f>C2066/SUM(Data!$J$2:$J$2379)</f>
        <v>0.98447100039691782</v>
      </c>
    </row>
    <row r="2067" spans="1:4" x14ac:dyDescent="0.3">
      <c r="A2067" s="25">
        <v>2066</v>
      </c>
      <c r="B2067" s="25">
        <f>LARGE(Data!$J$2:$J$2379,A2067)</f>
        <v>140</v>
      </c>
      <c r="C2067" s="25">
        <f t="shared" si="32"/>
        <v>1200600</v>
      </c>
      <c r="D2067" s="28">
        <f>C2067/SUM(Data!$J$2:$J$2379)</f>
        <v>0.98458581133610412</v>
      </c>
    </row>
    <row r="2068" spans="1:4" x14ac:dyDescent="0.3">
      <c r="A2068" s="25">
        <v>2067</v>
      </c>
      <c r="B2068" s="25">
        <f>LARGE(Data!$J$2:$J$2379,A2068)</f>
        <v>140</v>
      </c>
      <c r="C2068" s="25">
        <f t="shared" si="32"/>
        <v>1200740</v>
      </c>
      <c r="D2068" s="28">
        <f>C2068/SUM(Data!$J$2:$J$2379)</f>
        <v>0.98470062227529043</v>
      </c>
    </row>
    <row r="2069" spans="1:4" x14ac:dyDescent="0.3">
      <c r="A2069" s="25">
        <v>2068</v>
      </c>
      <c r="B2069" s="25">
        <f>LARGE(Data!$J$2:$J$2379,A2069)</f>
        <v>140</v>
      </c>
      <c r="C2069" s="25">
        <f t="shared" si="32"/>
        <v>1200880</v>
      </c>
      <c r="D2069" s="28">
        <f>C2069/SUM(Data!$J$2:$J$2379)</f>
        <v>0.98481543321447662</v>
      </c>
    </row>
    <row r="2070" spans="1:4" x14ac:dyDescent="0.3">
      <c r="A2070" s="25">
        <v>2069</v>
      </c>
      <c r="B2070" s="25">
        <f>LARGE(Data!$J$2:$J$2379,A2070)</f>
        <v>140</v>
      </c>
      <c r="C2070" s="25">
        <f t="shared" si="32"/>
        <v>1201020</v>
      </c>
      <c r="D2070" s="28">
        <f>C2070/SUM(Data!$J$2:$J$2379)</f>
        <v>0.98493024415366293</v>
      </c>
    </row>
    <row r="2071" spans="1:4" x14ac:dyDescent="0.3">
      <c r="A2071" s="25">
        <v>2070</v>
      </c>
      <c r="B2071" s="25">
        <f>LARGE(Data!$J$2:$J$2379,A2071)</f>
        <v>140</v>
      </c>
      <c r="C2071" s="25">
        <f t="shared" si="32"/>
        <v>1201160</v>
      </c>
      <c r="D2071" s="28">
        <f>C2071/SUM(Data!$J$2:$J$2379)</f>
        <v>0.98504505509284923</v>
      </c>
    </row>
    <row r="2072" spans="1:4" x14ac:dyDescent="0.3">
      <c r="A2072" s="25">
        <v>2071</v>
      </c>
      <c r="B2072" s="25">
        <f>LARGE(Data!$J$2:$J$2379,A2072)</f>
        <v>140</v>
      </c>
      <c r="C2072" s="25">
        <f t="shared" si="32"/>
        <v>1201300</v>
      </c>
      <c r="D2072" s="28">
        <f>C2072/SUM(Data!$J$2:$J$2379)</f>
        <v>0.98515986603203554</v>
      </c>
    </row>
    <row r="2073" spans="1:4" x14ac:dyDescent="0.3">
      <c r="A2073" s="25">
        <v>2072</v>
      </c>
      <c r="B2073" s="25">
        <f>LARGE(Data!$J$2:$J$2379,A2073)</f>
        <v>140</v>
      </c>
      <c r="C2073" s="25">
        <f t="shared" si="32"/>
        <v>1201440</v>
      </c>
      <c r="D2073" s="28">
        <f>C2073/SUM(Data!$J$2:$J$2379)</f>
        <v>0.98527467697122184</v>
      </c>
    </row>
    <row r="2074" spans="1:4" x14ac:dyDescent="0.3">
      <c r="A2074" s="25">
        <v>2073</v>
      </c>
      <c r="B2074" s="25">
        <f>LARGE(Data!$J$2:$J$2379,A2074)</f>
        <v>140</v>
      </c>
      <c r="C2074" s="25">
        <f t="shared" si="32"/>
        <v>1201580</v>
      </c>
      <c r="D2074" s="28">
        <f>C2074/SUM(Data!$J$2:$J$2379)</f>
        <v>0.98538948791040815</v>
      </c>
    </row>
    <row r="2075" spans="1:4" x14ac:dyDescent="0.3">
      <c r="A2075" s="25">
        <v>2074</v>
      </c>
      <c r="B2075" s="25">
        <f>LARGE(Data!$J$2:$J$2379,A2075)</f>
        <v>140</v>
      </c>
      <c r="C2075" s="25">
        <f t="shared" si="32"/>
        <v>1201720</v>
      </c>
      <c r="D2075" s="28">
        <f>C2075/SUM(Data!$J$2:$J$2379)</f>
        <v>0.98550429884959434</v>
      </c>
    </row>
    <row r="2076" spans="1:4" x14ac:dyDescent="0.3">
      <c r="A2076" s="25">
        <v>2075</v>
      </c>
      <c r="B2076" s="25">
        <f>LARGE(Data!$J$2:$J$2379,A2076)</f>
        <v>140</v>
      </c>
      <c r="C2076" s="25">
        <f t="shared" si="32"/>
        <v>1201860</v>
      </c>
      <c r="D2076" s="28">
        <f>C2076/SUM(Data!$J$2:$J$2379)</f>
        <v>0.98561910978878065</v>
      </c>
    </row>
    <row r="2077" spans="1:4" x14ac:dyDescent="0.3">
      <c r="A2077" s="25">
        <v>2076</v>
      </c>
      <c r="B2077" s="25">
        <f>LARGE(Data!$J$2:$J$2379,A2077)</f>
        <v>130</v>
      </c>
      <c r="C2077" s="25">
        <f t="shared" si="32"/>
        <v>1201990</v>
      </c>
      <c r="D2077" s="28">
        <f>C2077/SUM(Data!$J$2:$J$2379)</f>
        <v>0.98572571994659652</v>
      </c>
    </row>
    <row r="2078" spans="1:4" x14ac:dyDescent="0.3">
      <c r="A2078" s="25">
        <v>2077</v>
      </c>
      <c r="B2078" s="25">
        <f>LARGE(Data!$J$2:$J$2379,A2078)</f>
        <v>130</v>
      </c>
      <c r="C2078" s="25">
        <f t="shared" si="32"/>
        <v>1202120</v>
      </c>
      <c r="D2078" s="28">
        <f>C2078/SUM(Data!$J$2:$J$2379)</f>
        <v>0.9858323301044124</v>
      </c>
    </row>
    <row r="2079" spans="1:4" x14ac:dyDescent="0.3">
      <c r="A2079" s="25">
        <v>2078</v>
      </c>
      <c r="B2079" s="25">
        <f>LARGE(Data!$J$2:$J$2379,A2079)</f>
        <v>130</v>
      </c>
      <c r="C2079" s="25">
        <f t="shared" si="32"/>
        <v>1202250</v>
      </c>
      <c r="D2079" s="28">
        <f>C2079/SUM(Data!$J$2:$J$2379)</f>
        <v>0.98593894026222817</v>
      </c>
    </row>
    <row r="2080" spans="1:4" x14ac:dyDescent="0.3">
      <c r="A2080" s="25">
        <v>2079</v>
      </c>
      <c r="B2080" s="25">
        <f>LARGE(Data!$J$2:$J$2379,A2080)</f>
        <v>130</v>
      </c>
      <c r="C2080" s="25">
        <f t="shared" si="32"/>
        <v>1202380</v>
      </c>
      <c r="D2080" s="28">
        <f>C2080/SUM(Data!$J$2:$J$2379)</f>
        <v>0.98604555042004405</v>
      </c>
    </row>
    <row r="2081" spans="1:4" x14ac:dyDescent="0.3">
      <c r="A2081" s="25">
        <v>2080</v>
      </c>
      <c r="B2081" s="25">
        <f>LARGE(Data!$J$2:$J$2379,A2081)</f>
        <v>130</v>
      </c>
      <c r="C2081" s="25">
        <f t="shared" si="32"/>
        <v>1202510</v>
      </c>
      <c r="D2081" s="28">
        <f>C2081/SUM(Data!$J$2:$J$2379)</f>
        <v>0.98615216057785982</v>
      </c>
    </row>
    <row r="2082" spans="1:4" x14ac:dyDescent="0.3">
      <c r="A2082" s="25">
        <v>2081</v>
      </c>
      <c r="B2082" s="25">
        <f>LARGE(Data!$J$2:$J$2379,A2082)</f>
        <v>130</v>
      </c>
      <c r="C2082" s="25">
        <f t="shared" si="32"/>
        <v>1202640</v>
      </c>
      <c r="D2082" s="28">
        <f>C2082/SUM(Data!$J$2:$J$2379)</f>
        <v>0.98625877073567569</v>
      </c>
    </row>
    <row r="2083" spans="1:4" x14ac:dyDescent="0.3">
      <c r="A2083" s="25">
        <v>2082</v>
      </c>
      <c r="B2083" s="25">
        <f>LARGE(Data!$J$2:$J$2379,A2083)</f>
        <v>130</v>
      </c>
      <c r="C2083" s="25">
        <f t="shared" si="32"/>
        <v>1202770</v>
      </c>
      <c r="D2083" s="28">
        <f>C2083/SUM(Data!$J$2:$J$2379)</f>
        <v>0.98636538089349157</v>
      </c>
    </row>
    <row r="2084" spans="1:4" x14ac:dyDescent="0.3">
      <c r="A2084" s="25">
        <v>2083</v>
      </c>
      <c r="B2084" s="25">
        <f>LARGE(Data!$J$2:$J$2379,A2084)</f>
        <v>130</v>
      </c>
      <c r="C2084" s="25">
        <f t="shared" si="32"/>
        <v>1202900</v>
      </c>
      <c r="D2084" s="28">
        <f>C2084/SUM(Data!$J$2:$J$2379)</f>
        <v>0.98647199105130734</v>
      </c>
    </row>
    <row r="2085" spans="1:4" x14ac:dyDescent="0.3">
      <c r="A2085" s="25">
        <v>2084</v>
      </c>
      <c r="B2085" s="25">
        <f>LARGE(Data!$J$2:$J$2379,A2085)</f>
        <v>130</v>
      </c>
      <c r="C2085" s="25">
        <f t="shared" si="32"/>
        <v>1203030</v>
      </c>
      <c r="D2085" s="28">
        <f>C2085/SUM(Data!$J$2:$J$2379)</f>
        <v>0.98657860120912322</v>
      </c>
    </row>
    <row r="2086" spans="1:4" x14ac:dyDescent="0.3">
      <c r="A2086" s="25">
        <v>2085</v>
      </c>
      <c r="B2086" s="25">
        <f>LARGE(Data!$J$2:$J$2379,A2086)</f>
        <v>130</v>
      </c>
      <c r="C2086" s="25">
        <f t="shared" si="32"/>
        <v>1203160</v>
      </c>
      <c r="D2086" s="28">
        <f>C2086/SUM(Data!$J$2:$J$2379)</f>
        <v>0.9866852113669391</v>
      </c>
    </row>
    <row r="2087" spans="1:4" x14ac:dyDescent="0.3">
      <c r="A2087" s="25">
        <v>2086</v>
      </c>
      <c r="B2087" s="25">
        <f>LARGE(Data!$J$2:$J$2379,A2087)</f>
        <v>130</v>
      </c>
      <c r="C2087" s="25">
        <f t="shared" si="32"/>
        <v>1203290</v>
      </c>
      <c r="D2087" s="28">
        <f>C2087/SUM(Data!$J$2:$J$2379)</f>
        <v>0.98679182152475486</v>
      </c>
    </row>
    <row r="2088" spans="1:4" x14ac:dyDescent="0.3">
      <c r="A2088" s="25">
        <v>2087</v>
      </c>
      <c r="B2088" s="25">
        <f>LARGE(Data!$J$2:$J$2379,A2088)</f>
        <v>130</v>
      </c>
      <c r="C2088" s="25">
        <f t="shared" si="32"/>
        <v>1203420</v>
      </c>
      <c r="D2088" s="28">
        <f>C2088/SUM(Data!$J$2:$J$2379)</f>
        <v>0.98689843168257074</v>
      </c>
    </row>
    <row r="2089" spans="1:4" x14ac:dyDescent="0.3">
      <c r="A2089" s="25">
        <v>2088</v>
      </c>
      <c r="B2089" s="25">
        <f>LARGE(Data!$J$2:$J$2379,A2089)</f>
        <v>130</v>
      </c>
      <c r="C2089" s="25">
        <f t="shared" si="32"/>
        <v>1203550</v>
      </c>
      <c r="D2089" s="28">
        <f>C2089/SUM(Data!$J$2:$J$2379)</f>
        <v>0.98700504184038651</v>
      </c>
    </row>
    <row r="2090" spans="1:4" x14ac:dyDescent="0.3">
      <c r="A2090" s="25">
        <v>2089</v>
      </c>
      <c r="B2090" s="25">
        <f>LARGE(Data!$J$2:$J$2379,A2090)</f>
        <v>130</v>
      </c>
      <c r="C2090" s="25">
        <f t="shared" si="32"/>
        <v>1203680</v>
      </c>
      <c r="D2090" s="28">
        <f>C2090/SUM(Data!$J$2:$J$2379)</f>
        <v>0.98711165199820239</v>
      </c>
    </row>
    <row r="2091" spans="1:4" x14ac:dyDescent="0.3">
      <c r="A2091" s="25">
        <v>2090</v>
      </c>
      <c r="B2091" s="25">
        <f>LARGE(Data!$J$2:$J$2379,A2091)</f>
        <v>130</v>
      </c>
      <c r="C2091" s="25">
        <f t="shared" si="32"/>
        <v>1203810</v>
      </c>
      <c r="D2091" s="28">
        <f>C2091/SUM(Data!$J$2:$J$2379)</f>
        <v>0.98721826215601827</v>
      </c>
    </row>
    <row r="2092" spans="1:4" x14ac:dyDescent="0.3">
      <c r="A2092" s="25">
        <v>2091</v>
      </c>
      <c r="B2092" s="25">
        <f>LARGE(Data!$J$2:$J$2379,A2092)</f>
        <v>130</v>
      </c>
      <c r="C2092" s="25">
        <f t="shared" si="32"/>
        <v>1203940</v>
      </c>
      <c r="D2092" s="28">
        <f>C2092/SUM(Data!$J$2:$J$2379)</f>
        <v>0.98732487231383403</v>
      </c>
    </row>
    <row r="2093" spans="1:4" x14ac:dyDescent="0.3">
      <c r="A2093" s="25">
        <v>2092</v>
      </c>
      <c r="B2093" s="25">
        <f>LARGE(Data!$J$2:$J$2379,A2093)</f>
        <v>130</v>
      </c>
      <c r="C2093" s="25">
        <f t="shared" si="32"/>
        <v>1204070</v>
      </c>
      <c r="D2093" s="28">
        <f>C2093/SUM(Data!$J$2:$J$2379)</f>
        <v>0.98743148247164991</v>
      </c>
    </row>
    <row r="2094" spans="1:4" x14ac:dyDescent="0.3">
      <c r="A2094" s="25">
        <v>2093</v>
      </c>
      <c r="B2094" s="25">
        <f>LARGE(Data!$J$2:$J$2379,A2094)</f>
        <v>120</v>
      </c>
      <c r="C2094" s="25">
        <f t="shared" si="32"/>
        <v>1204190</v>
      </c>
      <c r="D2094" s="28">
        <f>C2094/SUM(Data!$J$2:$J$2379)</f>
        <v>0.98752989184809525</v>
      </c>
    </row>
    <row r="2095" spans="1:4" x14ac:dyDescent="0.3">
      <c r="A2095" s="25">
        <v>2094</v>
      </c>
      <c r="B2095" s="25">
        <f>LARGE(Data!$J$2:$J$2379,A2095)</f>
        <v>120</v>
      </c>
      <c r="C2095" s="25">
        <f t="shared" si="32"/>
        <v>1204310</v>
      </c>
      <c r="D2095" s="28">
        <f>C2095/SUM(Data!$J$2:$J$2379)</f>
        <v>0.98762830122454071</v>
      </c>
    </row>
    <row r="2096" spans="1:4" x14ac:dyDescent="0.3">
      <c r="A2096" s="25">
        <v>2095</v>
      </c>
      <c r="B2096" s="25">
        <f>LARGE(Data!$J$2:$J$2379,A2096)</f>
        <v>120</v>
      </c>
      <c r="C2096" s="25">
        <f t="shared" si="32"/>
        <v>1204430</v>
      </c>
      <c r="D2096" s="28">
        <f>C2096/SUM(Data!$J$2:$J$2379)</f>
        <v>0.98772671060098605</v>
      </c>
    </row>
    <row r="2097" spans="1:4" x14ac:dyDescent="0.3">
      <c r="A2097" s="25">
        <v>2096</v>
      </c>
      <c r="B2097" s="25">
        <f>LARGE(Data!$J$2:$J$2379,A2097)</f>
        <v>96</v>
      </c>
      <c r="C2097" s="25">
        <f t="shared" si="32"/>
        <v>1204526</v>
      </c>
      <c r="D2097" s="28">
        <f>C2097/SUM(Data!$J$2:$J$2379)</f>
        <v>0.98780543810214239</v>
      </c>
    </row>
    <row r="2098" spans="1:4" x14ac:dyDescent="0.3">
      <c r="A2098" s="25">
        <v>2097</v>
      </c>
      <c r="B2098" s="25">
        <f>LARGE(Data!$J$2:$J$2379,A2098)</f>
        <v>96</v>
      </c>
      <c r="C2098" s="25">
        <f t="shared" si="32"/>
        <v>1204622</v>
      </c>
      <c r="D2098" s="28">
        <f>C2098/SUM(Data!$J$2:$J$2379)</f>
        <v>0.98788416560329873</v>
      </c>
    </row>
    <row r="2099" spans="1:4" x14ac:dyDescent="0.3">
      <c r="A2099" s="25">
        <v>2098</v>
      </c>
      <c r="B2099" s="25">
        <f>LARGE(Data!$J$2:$J$2379,A2099)</f>
        <v>95</v>
      </c>
      <c r="C2099" s="25">
        <f t="shared" si="32"/>
        <v>1204717</v>
      </c>
      <c r="D2099" s="28">
        <f>C2099/SUM(Data!$J$2:$J$2379)</f>
        <v>0.987962073026318</v>
      </c>
    </row>
    <row r="2100" spans="1:4" x14ac:dyDescent="0.3">
      <c r="A2100" s="25">
        <v>2099</v>
      </c>
      <c r="B2100" s="25">
        <f>LARGE(Data!$J$2:$J$2379,A2100)</f>
        <v>95</v>
      </c>
      <c r="C2100" s="25">
        <f t="shared" si="32"/>
        <v>1204812</v>
      </c>
      <c r="D2100" s="28">
        <f>C2100/SUM(Data!$J$2:$J$2379)</f>
        <v>0.98803998044933716</v>
      </c>
    </row>
    <row r="2101" spans="1:4" x14ac:dyDescent="0.3">
      <c r="A2101" s="25">
        <v>2100</v>
      </c>
      <c r="B2101" s="25">
        <f>LARGE(Data!$J$2:$J$2379,A2101)</f>
        <v>95</v>
      </c>
      <c r="C2101" s="25">
        <f t="shared" si="32"/>
        <v>1204907</v>
      </c>
      <c r="D2101" s="28">
        <f>C2101/SUM(Data!$J$2:$J$2379)</f>
        <v>0.98811788787235644</v>
      </c>
    </row>
    <row r="2102" spans="1:4" x14ac:dyDescent="0.3">
      <c r="A2102" s="25">
        <v>2101</v>
      </c>
      <c r="B2102" s="25">
        <f>LARGE(Data!$J$2:$J$2379,A2102)</f>
        <v>95</v>
      </c>
      <c r="C2102" s="25">
        <f t="shared" si="32"/>
        <v>1205002</v>
      </c>
      <c r="D2102" s="28">
        <f>C2102/SUM(Data!$J$2:$J$2379)</f>
        <v>0.98819579529537571</v>
      </c>
    </row>
    <row r="2103" spans="1:4" x14ac:dyDescent="0.3">
      <c r="A2103" s="25">
        <v>2102</v>
      </c>
      <c r="B2103" s="25">
        <f>LARGE(Data!$J$2:$J$2379,A2103)</f>
        <v>90</v>
      </c>
      <c r="C2103" s="25">
        <f t="shared" si="32"/>
        <v>1205092</v>
      </c>
      <c r="D2103" s="28">
        <f>C2103/SUM(Data!$J$2:$J$2379)</f>
        <v>0.98826960232770977</v>
      </c>
    </row>
    <row r="2104" spans="1:4" x14ac:dyDescent="0.3">
      <c r="A2104" s="25">
        <v>2103</v>
      </c>
      <c r="B2104" s="25">
        <f>LARGE(Data!$J$2:$J$2379,A2104)</f>
        <v>90</v>
      </c>
      <c r="C2104" s="25">
        <f t="shared" si="32"/>
        <v>1205182</v>
      </c>
      <c r="D2104" s="28">
        <f>C2104/SUM(Data!$J$2:$J$2379)</f>
        <v>0.98834340936004383</v>
      </c>
    </row>
    <row r="2105" spans="1:4" x14ac:dyDescent="0.3">
      <c r="A2105" s="25">
        <v>2104</v>
      </c>
      <c r="B2105" s="25">
        <f>LARGE(Data!$J$2:$J$2379,A2105)</f>
        <v>90</v>
      </c>
      <c r="C2105" s="25">
        <f t="shared" si="32"/>
        <v>1205272</v>
      </c>
      <c r="D2105" s="28">
        <f>C2105/SUM(Data!$J$2:$J$2379)</f>
        <v>0.9884172163923779</v>
      </c>
    </row>
    <row r="2106" spans="1:4" x14ac:dyDescent="0.3">
      <c r="A2106" s="25">
        <v>2105</v>
      </c>
      <c r="B2106" s="25">
        <f>LARGE(Data!$J$2:$J$2379,A2106)</f>
        <v>90</v>
      </c>
      <c r="C2106" s="25">
        <f t="shared" si="32"/>
        <v>1205362</v>
      </c>
      <c r="D2106" s="28">
        <f>C2106/SUM(Data!$J$2:$J$2379)</f>
        <v>0.98849102342471196</v>
      </c>
    </row>
    <row r="2107" spans="1:4" x14ac:dyDescent="0.3">
      <c r="A2107" s="25">
        <v>2106</v>
      </c>
      <c r="B2107" s="25">
        <f>LARGE(Data!$J$2:$J$2379,A2107)</f>
        <v>90</v>
      </c>
      <c r="C2107" s="25">
        <f t="shared" si="32"/>
        <v>1205452</v>
      </c>
      <c r="D2107" s="28">
        <f>C2107/SUM(Data!$J$2:$J$2379)</f>
        <v>0.98856483045704591</v>
      </c>
    </row>
    <row r="2108" spans="1:4" x14ac:dyDescent="0.3">
      <c r="A2108" s="25">
        <v>2107</v>
      </c>
      <c r="B2108" s="25">
        <f>LARGE(Data!$J$2:$J$2379,A2108)</f>
        <v>90</v>
      </c>
      <c r="C2108" s="25">
        <f t="shared" si="32"/>
        <v>1205542</v>
      </c>
      <c r="D2108" s="28">
        <f>C2108/SUM(Data!$J$2:$J$2379)</f>
        <v>0.98863863748937997</v>
      </c>
    </row>
    <row r="2109" spans="1:4" x14ac:dyDescent="0.3">
      <c r="A2109" s="25">
        <v>2108</v>
      </c>
      <c r="B2109" s="25">
        <f>LARGE(Data!$J$2:$J$2379,A2109)</f>
        <v>90</v>
      </c>
      <c r="C2109" s="25">
        <f t="shared" si="32"/>
        <v>1205632</v>
      </c>
      <c r="D2109" s="28">
        <f>C2109/SUM(Data!$J$2:$J$2379)</f>
        <v>0.98871244452171403</v>
      </c>
    </row>
    <row r="2110" spans="1:4" x14ac:dyDescent="0.3">
      <c r="A2110" s="25">
        <v>2109</v>
      </c>
      <c r="B2110" s="25">
        <f>LARGE(Data!$J$2:$J$2379,A2110)</f>
        <v>90</v>
      </c>
      <c r="C2110" s="25">
        <f t="shared" si="32"/>
        <v>1205722</v>
      </c>
      <c r="D2110" s="28">
        <f>C2110/SUM(Data!$J$2:$J$2379)</f>
        <v>0.98878625155404809</v>
      </c>
    </row>
    <row r="2111" spans="1:4" x14ac:dyDescent="0.3">
      <c r="A2111" s="25">
        <v>2110</v>
      </c>
      <c r="B2111" s="25">
        <f>LARGE(Data!$J$2:$J$2379,A2111)</f>
        <v>90</v>
      </c>
      <c r="C2111" s="25">
        <f t="shared" si="32"/>
        <v>1205812</v>
      </c>
      <c r="D2111" s="28">
        <f>C2111/SUM(Data!$J$2:$J$2379)</f>
        <v>0.98886005858638215</v>
      </c>
    </row>
    <row r="2112" spans="1:4" x14ac:dyDescent="0.3">
      <c r="A2112" s="25">
        <v>2111</v>
      </c>
      <c r="B2112" s="25">
        <f>LARGE(Data!$J$2:$J$2379,A2112)</f>
        <v>90</v>
      </c>
      <c r="C2112" s="25">
        <f t="shared" si="32"/>
        <v>1205902</v>
      </c>
      <c r="D2112" s="28">
        <f>C2112/SUM(Data!$J$2:$J$2379)</f>
        <v>0.9889338656187161</v>
      </c>
    </row>
    <row r="2113" spans="1:4" x14ac:dyDescent="0.3">
      <c r="A2113" s="25">
        <v>2112</v>
      </c>
      <c r="B2113" s="25">
        <f>LARGE(Data!$J$2:$J$2379,A2113)</f>
        <v>90</v>
      </c>
      <c r="C2113" s="25">
        <f t="shared" si="32"/>
        <v>1205992</v>
      </c>
      <c r="D2113" s="28">
        <f>C2113/SUM(Data!$J$2:$J$2379)</f>
        <v>0.98900767265105016</v>
      </c>
    </row>
    <row r="2114" spans="1:4" x14ac:dyDescent="0.3">
      <c r="A2114" s="25">
        <v>2113</v>
      </c>
      <c r="B2114" s="25">
        <f>LARGE(Data!$J$2:$J$2379,A2114)</f>
        <v>90</v>
      </c>
      <c r="C2114" s="25">
        <f t="shared" si="32"/>
        <v>1206082</v>
      </c>
      <c r="D2114" s="28">
        <f>C2114/SUM(Data!$J$2:$J$2379)</f>
        <v>0.98908147968338422</v>
      </c>
    </row>
    <row r="2115" spans="1:4" x14ac:dyDescent="0.3">
      <c r="A2115" s="25">
        <v>2114</v>
      </c>
      <c r="B2115" s="25">
        <f>LARGE(Data!$J$2:$J$2379,A2115)</f>
        <v>84</v>
      </c>
      <c r="C2115" s="25">
        <f t="shared" ref="C2115:C2178" si="33">C2114+B2115</f>
        <v>1206166</v>
      </c>
      <c r="D2115" s="28">
        <f>C2115/SUM(Data!$J$2:$J$2379)</f>
        <v>0.98915036624689601</v>
      </c>
    </row>
    <row r="2116" spans="1:4" x14ac:dyDescent="0.3">
      <c r="A2116" s="25">
        <v>2115</v>
      </c>
      <c r="B2116" s="25">
        <f>LARGE(Data!$J$2:$J$2379,A2116)</f>
        <v>84</v>
      </c>
      <c r="C2116" s="25">
        <f t="shared" si="33"/>
        <v>1206250</v>
      </c>
      <c r="D2116" s="28">
        <f>C2116/SUM(Data!$J$2:$J$2379)</f>
        <v>0.98921925281040779</v>
      </c>
    </row>
    <row r="2117" spans="1:4" x14ac:dyDescent="0.3">
      <c r="A2117" s="25">
        <v>2116</v>
      </c>
      <c r="B2117" s="25">
        <f>LARGE(Data!$J$2:$J$2379,A2117)</f>
        <v>84</v>
      </c>
      <c r="C2117" s="25">
        <f t="shared" si="33"/>
        <v>1206334</v>
      </c>
      <c r="D2117" s="28">
        <f>C2117/SUM(Data!$J$2:$J$2379)</f>
        <v>0.98928813937391957</v>
      </c>
    </row>
    <row r="2118" spans="1:4" x14ac:dyDescent="0.3">
      <c r="A2118" s="25">
        <v>2117</v>
      </c>
      <c r="B2118" s="25">
        <f>LARGE(Data!$J$2:$J$2379,A2118)</f>
        <v>84</v>
      </c>
      <c r="C2118" s="25">
        <f t="shared" si="33"/>
        <v>1206418</v>
      </c>
      <c r="D2118" s="28">
        <f>C2118/SUM(Data!$J$2:$J$2379)</f>
        <v>0.98935702593743136</v>
      </c>
    </row>
    <row r="2119" spans="1:4" x14ac:dyDescent="0.3">
      <c r="A2119" s="25">
        <v>2118</v>
      </c>
      <c r="B2119" s="25">
        <f>LARGE(Data!$J$2:$J$2379,A2119)</f>
        <v>72</v>
      </c>
      <c r="C2119" s="25">
        <f t="shared" si="33"/>
        <v>1206490</v>
      </c>
      <c r="D2119" s="28">
        <f>C2119/SUM(Data!$J$2:$J$2379)</f>
        <v>0.98941607156329858</v>
      </c>
    </row>
    <row r="2120" spans="1:4" x14ac:dyDescent="0.3">
      <c r="A2120" s="25">
        <v>2119</v>
      </c>
      <c r="B2120" s="25">
        <f>LARGE(Data!$J$2:$J$2379,A2120)</f>
        <v>72</v>
      </c>
      <c r="C2120" s="25">
        <f t="shared" si="33"/>
        <v>1206562</v>
      </c>
      <c r="D2120" s="28">
        <f>C2120/SUM(Data!$J$2:$J$2379)</f>
        <v>0.98947511718916581</v>
      </c>
    </row>
    <row r="2121" spans="1:4" x14ac:dyDescent="0.3">
      <c r="A2121" s="25">
        <v>2120</v>
      </c>
      <c r="B2121" s="25">
        <f>LARGE(Data!$J$2:$J$2379,A2121)</f>
        <v>72</v>
      </c>
      <c r="C2121" s="25">
        <f t="shared" si="33"/>
        <v>1206634</v>
      </c>
      <c r="D2121" s="28">
        <f>C2121/SUM(Data!$J$2:$J$2379)</f>
        <v>0.98953416281503304</v>
      </c>
    </row>
    <row r="2122" spans="1:4" x14ac:dyDescent="0.3">
      <c r="A2122" s="25">
        <v>2121</v>
      </c>
      <c r="B2122" s="25">
        <f>LARGE(Data!$J$2:$J$2379,A2122)</f>
        <v>72</v>
      </c>
      <c r="C2122" s="25">
        <f t="shared" si="33"/>
        <v>1206706</v>
      </c>
      <c r="D2122" s="28">
        <f>C2122/SUM(Data!$J$2:$J$2379)</f>
        <v>0.98959320844090026</v>
      </c>
    </row>
    <row r="2123" spans="1:4" x14ac:dyDescent="0.3">
      <c r="A2123" s="25">
        <v>2122</v>
      </c>
      <c r="B2123" s="25">
        <f>LARGE(Data!$J$2:$J$2379,A2123)</f>
        <v>72</v>
      </c>
      <c r="C2123" s="25">
        <f t="shared" si="33"/>
        <v>1206778</v>
      </c>
      <c r="D2123" s="28">
        <f>C2123/SUM(Data!$J$2:$J$2379)</f>
        <v>0.98965225406676749</v>
      </c>
    </row>
    <row r="2124" spans="1:4" x14ac:dyDescent="0.3">
      <c r="A2124" s="25">
        <v>2123</v>
      </c>
      <c r="B2124" s="25">
        <f>LARGE(Data!$J$2:$J$2379,A2124)</f>
        <v>72</v>
      </c>
      <c r="C2124" s="25">
        <f t="shared" si="33"/>
        <v>1206850</v>
      </c>
      <c r="D2124" s="28">
        <f>C2124/SUM(Data!$J$2:$J$2379)</f>
        <v>0.98971129969263472</v>
      </c>
    </row>
    <row r="2125" spans="1:4" x14ac:dyDescent="0.3">
      <c r="A2125" s="25">
        <v>2124</v>
      </c>
      <c r="B2125" s="25">
        <f>LARGE(Data!$J$2:$J$2379,A2125)</f>
        <v>72</v>
      </c>
      <c r="C2125" s="25">
        <f t="shared" si="33"/>
        <v>1206922</v>
      </c>
      <c r="D2125" s="28">
        <f>C2125/SUM(Data!$J$2:$J$2379)</f>
        <v>0.98977034531850194</v>
      </c>
    </row>
    <row r="2126" spans="1:4" x14ac:dyDescent="0.3">
      <c r="A2126" s="25">
        <v>2125</v>
      </c>
      <c r="B2126" s="25">
        <f>LARGE(Data!$J$2:$J$2379,A2126)</f>
        <v>72</v>
      </c>
      <c r="C2126" s="25">
        <f t="shared" si="33"/>
        <v>1206994</v>
      </c>
      <c r="D2126" s="28">
        <f>C2126/SUM(Data!$J$2:$J$2379)</f>
        <v>0.98982939094436917</v>
      </c>
    </row>
    <row r="2127" spans="1:4" x14ac:dyDescent="0.3">
      <c r="A2127" s="25">
        <v>2126</v>
      </c>
      <c r="B2127" s="25">
        <f>LARGE(Data!$J$2:$J$2379,A2127)</f>
        <v>72</v>
      </c>
      <c r="C2127" s="25">
        <f t="shared" si="33"/>
        <v>1207066</v>
      </c>
      <c r="D2127" s="28">
        <f>C2127/SUM(Data!$J$2:$J$2379)</f>
        <v>0.9898884365702364</v>
      </c>
    </row>
    <row r="2128" spans="1:4" x14ac:dyDescent="0.3">
      <c r="A2128" s="25">
        <v>2127</v>
      </c>
      <c r="B2128" s="25">
        <f>LARGE(Data!$J$2:$J$2379,A2128)</f>
        <v>72</v>
      </c>
      <c r="C2128" s="25">
        <f t="shared" si="33"/>
        <v>1207138</v>
      </c>
      <c r="D2128" s="28">
        <f>C2128/SUM(Data!$J$2:$J$2379)</f>
        <v>0.98994748219610362</v>
      </c>
    </row>
    <row r="2129" spans="1:4" x14ac:dyDescent="0.3">
      <c r="A2129" s="25">
        <v>2128</v>
      </c>
      <c r="B2129" s="25">
        <f>LARGE(Data!$J$2:$J$2379,A2129)</f>
        <v>72</v>
      </c>
      <c r="C2129" s="25">
        <f t="shared" si="33"/>
        <v>1207210</v>
      </c>
      <c r="D2129" s="28">
        <f>C2129/SUM(Data!$J$2:$J$2379)</f>
        <v>0.99000652782197085</v>
      </c>
    </row>
    <row r="2130" spans="1:4" x14ac:dyDescent="0.3">
      <c r="A2130" s="25">
        <v>2129</v>
      </c>
      <c r="B2130" s="25">
        <f>LARGE(Data!$J$2:$J$2379,A2130)</f>
        <v>72</v>
      </c>
      <c r="C2130" s="25">
        <f t="shared" si="33"/>
        <v>1207282</v>
      </c>
      <c r="D2130" s="28">
        <f>C2130/SUM(Data!$J$2:$J$2379)</f>
        <v>0.99006557344783808</v>
      </c>
    </row>
    <row r="2131" spans="1:4" x14ac:dyDescent="0.3">
      <c r="A2131" s="25">
        <v>2130</v>
      </c>
      <c r="B2131" s="25">
        <f>LARGE(Data!$J$2:$J$2379,A2131)</f>
        <v>72</v>
      </c>
      <c r="C2131" s="25">
        <f t="shared" si="33"/>
        <v>1207354</v>
      </c>
      <c r="D2131" s="28">
        <f>C2131/SUM(Data!$J$2:$J$2379)</f>
        <v>0.9901246190737053</v>
      </c>
    </row>
    <row r="2132" spans="1:4" x14ac:dyDescent="0.3">
      <c r="A2132" s="25">
        <v>2131</v>
      </c>
      <c r="B2132" s="25">
        <f>LARGE(Data!$J$2:$J$2379,A2132)</f>
        <v>72</v>
      </c>
      <c r="C2132" s="25">
        <f t="shared" si="33"/>
        <v>1207426</v>
      </c>
      <c r="D2132" s="28">
        <f>C2132/SUM(Data!$J$2:$J$2379)</f>
        <v>0.99018366469957253</v>
      </c>
    </row>
    <row r="2133" spans="1:4" x14ac:dyDescent="0.3">
      <c r="A2133" s="25">
        <v>2132</v>
      </c>
      <c r="B2133" s="25">
        <f>LARGE(Data!$J$2:$J$2379,A2133)</f>
        <v>72</v>
      </c>
      <c r="C2133" s="25">
        <f t="shared" si="33"/>
        <v>1207498</v>
      </c>
      <c r="D2133" s="28">
        <f>C2133/SUM(Data!$J$2:$J$2379)</f>
        <v>0.99024271032543976</v>
      </c>
    </row>
    <row r="2134" spans="1:4" x14ac:dyDescent="0.3">
      <c r="A2134" s="25">
        <v>2133</v>
      </c>
      <c r="B2134" s="25">
        <f>LARGE(Data!$J$2:$J$2379,A2134)</f>
        <v>72</v>
      </c>
      <c r="C2134" s="25">
        <f t="shared" si="33"/>
        <v>1207570</v>
      </c>
      <c r="D2134" s="28">
        <f>C2134/SUM(Data!$J$2:$J$2379)</f>
        <v>0.99030175595130709</v>
      </c>
    </row>
    <row r="2135" spans="1:4" x14ac:dyDescent="0.3">
      <c r="A2135" s="25">
        <v>2134</v>
      </c>
      <c r="B2135" s="25">
        <f>LARGE(Data!$J$2:$J$2379,A2135)</f>
        <v>72</v>
      </c>
      <c r="C2135" s="25">
        <f t="shared" si="33"/>
        <v>1207642</v>
      </c>
      <c r="D2135" s="28">
        <f>C2135/SUM(Data!$J$2:$J$2379)</f>
        <v>0.99036080157717432</v>
      </c>
    </row>
    <row r="2136" spans="1:4" x14ac:dyDescent="0.3">
      <c r="A2136" s="25">
        <v>2135</v>
      </c>
      <c r="B2136" s="25">
        <f>LARGE(Data!$J$2:$J$2379,A2136)</f>
        <v>72</v>
      </c>
      <c r="C2136" s="25">
        <f t="shared" si="33"/>
        <v>1207714</v>
      </c>
      <c r="D2136" s="28">
        <f>C2136/SUM(Data!$J$2:$J$2379)</f>
        <v>0.99041984720304155</v>
      </c>
    </row>
    <row r="2137" spans="1:4" x14ac:dyDescent="0.3">
      <c r="A2137" s="25">
        <v>2136</v>
      </c>
      <c r="B2137" s="25">
        <f>LARGE(Data!$J$2:$J$2379,A2137)</f>
        <v>72</v>
      </c>
      <c r="C2137" s="25">
        <f t="shared" si="33"/>
        <v>1207786</v>
      </c>
      <c r="D2137" s="28">
        <f>C2137/SUM(Data!$J$2:$J$2379)</f>
        <v>0.99047889282890877</v>
      </c>
    </row>
    <row r="2138" spans="1:4" x14ac:dyDescent="0.3">
      <c r="A2138" s="25">
        <v>2137</v>
      </c>
      <c r="B2138" s="25">
        <f>LARGE(Data!$J$2:$J$2379,A2138)</f>
        <v>72</v>
      </c>
      <c r="C2138" s="25">
        <f t="shared" si="33"/>
        <v>1207858</v>
      </c>
      <c r="D2138" s="28">
        <f>C2138/SUM(Data!$J$2:$J$2379)</f>
        <v>0.990537938454776</v>
      </c>
    </row>
    <row r="2139" spans="1:4" x14ac:dyDescent="0.3">
      <c r="A2139" s="25">
        <v>2138</v>
      </c>
      <c r="B2139" s="25">
        <f>LARGE(Data!$J$2:$J$2379,A2139)</f>
        <v>72</v>
      </c>
      <c r="C2139" s="25">
        <f t="shared" si="33"/>
        <v>1207930</v>
      </c>
      <c r="D2139" s="28">
        <f>C2139/SUM(Data!$J$2:$J$2379)</f>
        <v>0.99059698408064323</v>
      </c>
    </row>
    <row r="2140" spans="1:4" x14ac:dyDescent="0.3">
      <c r="A2140" s="25">
        <v>2139</v>
      </c>
      <c r="B2140" s="25">
        <f>LARGE(Data!$J$2:$J$2379,A2140)</f>
        <v>70</v>
      </c>
      <c r="C2140" s="25">
        <f t="shared" si="33"/>
        <v>1208000</v>
      </c>
      <c r="D2140" s="28">
        <f>C2140/SUM(Data!$J$2:$J$2379)</f>
        <v>0.99065438955023633</v>
      </c>
    </row>
    <row r="2141" spans="1:4" x14ac:dyDescent="0.3">
      <c r="A2141" s="25">
        <v>2140</v>
      </c>
      <c r="B2141" s="25">
        <f>LARGE(Data!$J$2:$J$2379,A2141)</f>
        <v>70</v>
      </c>
      <c r="C2141" s="25">
        <f t="shared" si="33"/>
        <v>1208070</v>
      </c>
      <c r="D2141" s="28">
        <f>C2141/SUM(Data!$J$2:$J$2379)</f>
        <v>0.99071179501982953</v>
      </c>
    </row>
    <row r="2142" spans="1:4" x14ac:dyDescent="0.3">
      <c r="A2142" s="25">
        <v>2141</v>
      </c>
      <c r="B2142" s="25">
        <f>LARGE(Data!$J$2:$J$2379,A2142)</f>
        <v>70</v>
      </c>
      <c r="C2142" s="25">
        <f t="shared" si="33"/>
        <v>1208140</v>
      </c>
      <c r="D2142" s="28">
        <f>C2142/SUM(Data!$J$2:$J$2379)</f>
        <v>0.99076920048942263</v>
      </c>
    </row>
    <row r="2143" spans="1:4" x14ac:dyDescent="0.3">
      <c r="A2143" s="25">
        <v>2142</v>
      </c>
      <c r="B2143" s="25">
        <f>LARGE(Data!$J$2:$J$2379,A2143)</f>
        <v>70</v>
      </c>
      <c r="C2143" s="25">
        <f t="shared" si="33"/>
        <v>1208210</v>
      </c>
      <c r="D2143" s="28">
        <f>C2143/SUM(Data!$J$2:$J$2379)</f>
        <v>0.99082660595901573</v>
      </c>
    </row>
    <row r="2144" spans="1:4" x14ac:dyDescent="0.3">
      <c r="A2144" s="25">
        <v>2143</v>
      </c>
      <c r="B2144" s="25">
        <f>LARGE(Data!$J$2:$J$2379,A2144)</f>
        <v>70</v>
      </c>
      <c r="C2144" s="25">
        <f t="shared" si="33"/>
        <v>1208280</v>
      </c>
      <c r="D2144" s="28">
        <f>C2144/SUM(Data!$J$2:$J$2379)</f>
        <v>0.99088401142860894</v>
      </c>
    </row>
    <row r="2145" spans="1:4" x14ac:dyDescent="0.3">
      <c r="A2145" s="25">
        <v>2144</v>
      </c>
      <c r="B2145" s="25">
        <f>LARGE(Data!$J$2:$J$2379,A2145)</f>
        <v>70</v>
      </c>
      <c r="C2145" s="25">
        <f t="shared" si="33"/>
        <v>1208350</v>
      </c>
      <c r="D2145" s="28">
        <f>C2145/SUM(Data!$J$2:$J$2379)</f>
        <v>0.99094141689820203</v>
      </c>
    </row>
    <row r="2146" spans="1:4" x14ac:dyDescent="0.3">
      <c r="A2146" s="25">
        <v>2145</v>
      </c>
      <c r="B2146" s="25">
        <f>LARGE(Data!$J$2:$J$2379,A2146)</f>
        <v>70</v>
      </c>
      <c r="C2146" s="25">
        <f t="shared" si="33"/>
        <v>1208420</v>
      </c>
      <c r="D2146" s="28">
        <f>C2146/SUM(Data!$J$2:$J$2379)</f>
        <v>0.99099882236779524</v>
      </c>
    </row>
    <row r="2147" spans="1:4" x14ac:dyDescent="0.3">
      <c r="A2147" s="25">
        <v>2146</v>
      </c>
      <c r="B2147" s="25">
        <f>LARGE(Data!$J$2:$J$2379,A2147)</f>
        <v>70</v>
      </c>
      <c r="C2147" s="25">
        <f t="shared" si="33"/>
        <v>1208490</v>
      </c>
      <c r="D2147" s="28">
        <f>C2147/SUM(Data!$J$2:$J$2379)</f>
        <v>0.99105622783738834</v>
      </c>
    </row>
    <row r="2148" spans="1:4" x14ac:dyDescent="0.3">
      <c r="A2148" s="25">
        <v>2147</v>
      </c>
      <c r="B2148" s="25">
        <f>LARGE(Data!$J$2:$J$2379,A2148)</f>
        <v>70</v>
      </c>
      <c r="C2148" s="25">
        <f t="shared" si="33"/>
        <v>1208560</v>
      </c>
      <c r="D2148" s="28">
        <f>C2148/SUM(Data!$J$2:$J$2379)</f>
        <v>0.99111363330698143</v>
      </c>
    </row>
    <row r="2149" spans="1:4" x14ac:dyDescent="0.3">
      <c r="A2149" s="25">
        <v>2148</v>
      </c>
      <c r="B2149" s="25">
        <f>LARGE(Data!$J$2:$J$2379,A2149)</f>
        <v>70</v>
      </c>
      <c r="C2149" s="25">
        <f t="shared" si="33"/>
        <v>1208630</v>
      </c>
      <c r="D2149" s="28">
        <f>C2149/SUM(Data!$J$2:$J$2379)</f>
        <v>0.99117103877657464</v>
      </c>
    </row>
    <row r="2150" spans="1:4" x14ac:dyDescent="0.3">
      <c r="A2150" s="25">
        <v>2149</v>
      </c>
      <c r="B2150" s="25">
        <f>LARGE(Data!$J$2:$J$2379,A2150)</f>
        <v>70</v>
      </c>
      <c r="C2150" s="25">
        <f t="shared" si="33"/>
        <v>1208700</v>
      </c>
      <c r="D2150" s="28">
        <f>C2150/SUM(Data!$J$2:$J$2379)</f>
        <v>0.99122844424616774</v>
      </c>
    </row>
    <row r="2151" spans="1:4" x14ac:dyDescent="0.3">
      <c r="A2151" s="25">
        <v>2150</v>
      </c>
      <c r="B2151" s="25">
        <f>LARGE(Data!$J$2:$J$2379,A2151)</f>
        <v>70</v>
      </c>
      <c r="C2151" s="25">
        <f t="shared" si="33"/>
        <v>1208770</v>
      </c>
      <c r="D2151" s="28">
        <f>C2151/SUM(Data!$J$2:$J$2379)</f>
        <v>0.99128584971576095</v>
      </c>
    </row>
    <row r="2152" spans="1:4" x14ac:dyDescent="0.3">
      <c r="A2152" s="25">
        <v>2151</v>
      </c>
      <c r="B2152" s="25">
        <f>LARGE(Data!$J$2:$J$2379,A2152)</f>
        <v>70</v>
      </c>
      <c r="C2152" s="25">
        <f t="shared" si="33"/>
        <v>1208840</v>
      </c>
      <c r="D2152" s="28">
        <f>C2152/SUM(Data!$J$2:$J$2379)</f>
        <v>0.99134325518535404</v>
      </c>
    </row>
    <row r="2153" spans="1:4" x14ac:dyDescent="0.3">
      <c r="A2153" s="25">
        <v>2152</v>
      </c>
      <c r="B2153" s="25">
        <f>LARGE(Data!$J$2:$J$2379,A2153)</f>
        <v>70</v>
      </c>
      <c r="C2153" s="25">
        <f t="shared" si="33"/>
        <v>1208910</v>
      </c>
      <c r="D2153" s="28">
        <f>C2153/SUM(Data!$J$2:$J$2379)</f>
        <v>0.99140066065494725</v>
      </c>
    </row>
    <row r="2154" spans="1:4" x14ac:dyDescent="0.3">
      <c r="A2154" s="25">
        <v>2153</v>
      </c>
      <c r="B2154" s="25">
        <f>LARGE(Data!$J$2:$J$2379,A2154)</f>
        <v>70</v>
      </c>
      <c r="C2154" s="25">
        <f t="shared" si="33"/>
        <v>1208980</v>
      </c>
      <c r="D2154" s="28">
        <f>C2154/SUM(Data!$J$2:$J$2379)</f>
        <v>0.99145806612454035</v>
      </c>
    </row>
    <row r="2155" spans="1:4" x14ac:dyDescent="0.3">
      <c r="A2155" s="25">
        <v>2154</v>
      </c>
      <c r="B2155" s="25">
        <f>LARGE(Data!$J$2:$J$2379,A2155)</f>
        <v>70</v>
      </c>
      <c r="C2155" s="25">
        <f t="shared" si="33"/>
        <v>1209050</v>
      </c>
      <c r="D2155" s="28">
        <f>C2155/SUM(Data!$J$2:$J$2379)</f>
        <v>0.99151547159413345</v>
      </c>
    </row>
    <row r="2156" spans="1:4" x14ac:dyDescent="0.3">
      <c r="A2156" s="25">
        <v>2155</v>
      </c>
      <c r="B2156" s="25">
        <f>LARGE(Data!$J$2:$J$2379,A2156)</f>
        <v>70</v>
      </c>
      <c r="C2156" s="25">
        <f t="shared" si="33"/>
        <v>1209120</v>
      </c>
      <c r="D2156" s="28">
        <f>C2156/SUM(Data!$J$2:$J$2379)</f>
        <v>0.99157287706372665</v>
      </c>
    </row>
    <row r="2157" spans="1:4" x14ac:dyDescent="0.3">
      <c r="A2157" s="25">
        <v>2156</v>
      </c>
      <c r="B2157" s="25">
        <f>LARGE(Data!$J$2:$J$2379,A2157)</f>
        <v>70</v>
      </c>
      <c r="C2157" s="25">
        <f t="shared" si="33"/>
        <v>1209190</v>
      </c>
      <c r="D2157" s="28">
        <f>C2157/SUM(Data!$J$2:$J$2379)</f>
        <v>0.99163028253331975</v>
      </c>
    </row>
    <row r="2158" spans="1:4" x14ac:dyDescent="0.3">
      <c r="A2158" s="25">
        <v>2157</v>
      </c>
      <c r="B2158" s="25">
        <f>LARGE(Data!$J$2:$J$2379,A2158)</f>
        <v>70</v>
      </c>
      <c r="C2158" s="25">
        <f t="shared" si="33"/>
        <v>1209260</v>
      </c>
      <c r="D2158" s="28">
        <f>C2158/SUM(Data!$J$2:$J$2379)</f>
        <v>0.99168768800291296</v>
      </c>
    </row>
    <row r="2159" spans="1:4" x14ac:dyDescent="0.3">
      <c r="A2159" s="25">
        <v>2158</v>
      </c>
      <c r="B2159" s="25">
        <f>LARGE(Data!$J$2:$J$2379,A2159)</f>
        <v>70</v>
      </c>
      <c r="C2159" s="25">
        <f t="shared" si="33"/>
        <v>1209330</v>
      </c>
      <c r="D2159" s="28">
        <f>C2159/SUM(Data!$J$2:$J$2379)</f>
        <v>0.99174509347250606</v>
      </c>
    </row>
    <row r="2160" spans="1:4" x14ac:dyDescent="0.3">
      <c r="A2160" s="25">
        <v>2159</v>
      </c>
      <c r="B2160" s="25">
        <f>LARGE(Data!$J$2:$J$2379,A2160)</f>
        <v>70</v>
      </c>
      <c r="C2160" s="25">
        <f t="shared" si="33"/>
        <v>1209400</v>
      </c>
      <c r="D2160" s="28">
        <f>C2160/SUM(Data!$J$2:$J$2379)</f>
        <v>0.99180249894209915</v>
      </c>
    </row>
    <row r="2161" spans="1:4" x14ac:dyDescent="0.3">
      <c r="A2161" s="25">
        <v>2160</v>
      </c>
      <c r="B2161" s="25">
        <f>LARGE(Data!$J$2:$J$2379,A2161)</f>
        <v>70</v>
      </c>
      <c r="C2161" s="25">
        <f t="shared" si="33"/>
        <v>1209470</v>
      </c>
      <c r="D2161" s="28">
        <f>C2161/SUM(Data!$J$2:$J$2379)</f>
        <v>0.99185990441169236</v>
      </c>
    </row>
    <row r="2162" spans="1:4" x14ac:dyDescent="0.3">
      <c r="A2162" s="25">
        <v>2161</v>
      </c>
      <c r="B2162" s="25">
        <f>LARGE(Data!$J$2:$J$2379,A2162)</f>
        <v>70</v>
      </c>
      <c r="C2162" s="25">
        <f t="shared" si="33"/>
        <v>1209540</v>
      </c>
      <c r="D2162" s="28">
        <f>C2162/SUM(Data!$J$2:$J$2379)</f>
        <v>0.99191730988128546</v>
      </c>
    </row>
    <row r="2163" spans="1:4" x14ac:dyDescent="0.3">
      <c r="A2163" s="25">
        <v>2162</v>
      </c>
      <c r="B2163" s="25">
        <f>LARGE(Data!$J$2:$J$2379,A2163)</f>
        <v>70</v>
      </c>
      <c r="C2163" s="25">
        <f t="shared" si="33"/>
        <v>1209610</v>
      </c>
      <c r="D2163" s="28">
        <f>C2163/SUM(Data!$J$2:$J$2379)</f>
        <v>0.99197471535087867</v>
      </c>
    </row>
    <row r="2164" spans="1:4" x14ac:dyDescent="0.3">
      <c r="A2164" s="25">
        <v>2163</v>
      </c>
      <c r="B2164" s="25">
        <f>LARGE(Data!$J$2:$J$2379,A2164)</f>
        <v>70</v>
      </c>
      <c r="C2164" s="25">
        <f t="shared" si="33"/>
        <v>1209680</v>
      </c>
      <c r="D2164" s="28">
        <f>C2164/SUM(Data!$J$2:$J$2379)</f>
        <v>0.99203212082047176</v>
      </c>
    </row>
    <row r="2165" spans="1:4" x14ac:dyDescent="0.3">
      <c r="A2165" s="25">
        <v>2164</v>
      </c>
      <c r="B2165" s="25">
        <f>LARGE(Data!$J$2:$J$2379,A2165)</f>
        <v>70</v>
      </c>
      <c r="C2165" s="25">
        <f t="shared" si="33"/>
        <v>1209750</v>
      </c>
      <c r="D2165" s="28">
        <f>C2165/SUM(Data!$J$2:$J$2379)</f>
        <v>0.99208952629006497</v>
      </c>
    </row>
    <row r="2166" spans="1:4" x14ac:dyDescent="0.3">
      <c r="A2166" s="25">
        <v>2165</v>
      </c>
      <c r="B2166" s="25">
        <f>LARGE(Data!$J$2:$J$2379,A2166)</f>
        <v>70</v>
      </c>
      <c r="C2166" s="25">
        <f t="shared" si="33"/>
        <v>1209820</v>
      </c>
      <c r="D2166" s="28">
        <f>C2166/SUM(Data!$J$2:$J$2379)</f>
        <v>0.99214693175965807</v>
      </c>
    </row>
    <row r="2167" spans="1:4" x14ac:dyDescent="0.3">
      <c r="A2167" s="25">
        <v>2166</v>
      </c>
      <c r="B2167" s="25">
        <f>LARGE(Data!$J$2:$J$2379,A2167)</f>
        <v>70</v>
      </c>
      <c r="C2167" s="25">
        <f t="shared" si="33"/>
        <v>1209890</v>
      </c>
      <c r="D2167" s="28">
        <f>C2167/SUM(Data!$J$2:$J$2379)</f>
        <v>0.99220433722925117</v>
      </c>
    </row>
    <row r="2168" spans="1:4" x14ac:dyDescent="0.3">
      <c r="A2168" s="25">
        <v>2167</v>
      </c>
      <c r="B2168" s="25">
        <f>LARGE(Data!$J$2:$J$2379,A2168)</f>
        <v>70</v>
      </c>
      <c r="C2168" s="25">
        <f t="shared" si="33"/>
        <v>1209960</v>
      </c>
      <c r="D2168" s="28">
        <f>C2168/SUM(Data!$J$2:$J$2379)</f>
        <v>0.99226174269884437</v>
      </c>
    </row>
    <row r="2169" spans="1:4" x14ac:dyDescent="0.3">
      <c r="A2169" s="25">
        <v>2168</v>
      </c>
      <c r="B2169" s="25">
        <f>LARGE(Data!$J$2:$J$2379,A2169)</f>
        <v>70</v>
      </c>
      <c r="C2169" s="25">
        <f t="shared" si="33"/>
        <v>1210030</v>
      </c>
      <c r="D2169" s="28">
        <f>C2169/SUM(Data!$J$2:$J$2379)</f>
        <v>0.99231914816843747</v>
      </c>
    </row>
    <row r="2170" spans="1:4" x14ac:dyDescent="0.3">
      <c r="A2170" s="25">
        <v>2169</v>
      </c>
      <c r="B2170" s="25">
        <f>LARGE(Data!$J$2:$J$2379,A2170)</f>
        <v>70</v>
      </c>
      <c r="C2170" s="25">
        <f t="shared" si="33"/>
        <v>1210100</v>
      </c>
      <c r="D2170" s="28">
        <f>C2170/SUM(Data!$J$2:$J$2379)</f>
        <v>0.99237655363803068</v>
      </c>
    </row>
    <row r="2171" spans="1:4" x14ac:dyDescent="0.3">
      <c r="A2171" s="25">
        <v>2170</v>
      </c>
      <c r="B2171" s="25">
        <f>LARGE(Data!$J$2:$J$2379,A2171)</f>
        <v>70</v>
      </c>
      <c r="C2171" s="25">
        <f t="shared" si="33"/>
        <v>1210170</v>
      </c>
      <c r="D2171" s="28">
        <f>C2171/SUM(Data!$J$2:$J$2379)</f>
        <v>0.99243395910762378</v>
      </c>
    </row>
    <row r="2172" spans="1:4" x14ac:dyDescent="0.3">
      <c r="A2172" s="25">
        <v>2171</v>
      </c>
      <c r="B2172" s="25">
        <f>LARGE(Data!$J$2:$J$2379,A2172)</f>
        <v>70</v>
      </c>
      <c r="C2172" s="25">
        <f t="shared" si="33"/>
        <v>1210240</v>
      </c>
      <c r="D2172" s="28">
        <f>C2172/SUM(Data!$J$2:$J$2379)</f>
        <v>0.99249136457721687</v>
      </c>
    </row>
    <row r="2173" spans="1:4" x14ac:dyDescent="0.3">
      <c r="A2173" s="25">
        <v>2172</v>
      </c>
      <c r="B2173" s="25">
        <f>LARGE(Data!$J$2:$J$2379,A2173)</f>
        <v>70</v>
      </c>
      <c r="C2173" s="25">
        <f t="shared" si="33"/>
        <v>1210310</v>
      </c>
      <c r="D2173" s="28">
        <f>C2173/SUM(Data!$J$2:$J$2379)</f>
        <v>0.99254877004681008</v>
      </c>
    </row>
    <row r="2174" spans="1:4" x14ac:dyDescent="0.3">
      <c r="A2174" s="25">
        <v>2173</v>
      </c>
      <c r="B2174" s="25">
        <f>LARGE(Data!$J$2:$J$2379,A2174)</f>
        <v>65</v>
      </c>
      <c r="C2174" s="25">
        <f t="shared" si="33"/>
        <v>1210375</v>
      </c>
      <c r="D2174" s="28">
        <f>C2174/SUM(Data!$J$2:$J$2379)</f>
        <v>0.99260207512571796</v>
      </c>
    </row>
    <row r="2175" spans="1:4" x14ac:dyDescent="0.3">
      <c r="A2175" s="25">
        <v>2174</v>
      </c>
      <c r="B2175" s="25">
        <f>LARGE(Data!$J$2:$J$2379,A2175)</f>
        <v>65</v>
      </c>
      <c r="C2175" s="25">
        <f t="shared" si="33"/>
        <v>1210440</v>
      </c>
      <c r="D2175" s="28">
        <f>C2175/SUM(Data!$J$2:$J$2379)</f>
        <v>0.99265538020462585</v>
      </c>
    </row>
    <row r="2176" spans="1:4" x14ac:dyDescent="0.3">
      <c r="A2176" s="25">
        <v>2175</v>
      </c>
      <c r="B2176" s="25">
        <f>LARGE(Data!$J$2:$J$2379,A2176)</f>
        <v>65</v>
      </c>
      <c r="C2176" s="25">
        <f t="shared" si="33"/>
        <v>1210505</v>
      </c>
      <c r="D2176" s="28">
        <f>C2176/SUM(Data!$J$2:$J$2379)</f>
        <v>0.99270868528353384</v>
      </c>
    </row>
    <row r="2177" spans="1:4" x14ac:dyDescent="0.3">
      <c r="A2177" s="25">
        <v>2176</v>
      </c>
      <c r="B2177" s="25">
        <f>LARGE(Data!$J$2:$J$2379,A2177)</f>
        <v>65</v>
      </c>
      <c r="C2177" s="25">
        <f t="shared" si="33"/>
        <v>1210570</v>
      </c>
      <c r="D2177" s="28">
        <f>C2177/SUM(Data!$J$2:$J$2379)</f>
        <v>0.99276199036244173</v>
      </c>
    </row>
    <row r="2178" spans="1:4" x14ac:dyDescent="0.3">
      <c r="A2178" s="25">
        <v>2177</v>
      </c>
      <c r="B2178" s="25">
        <f>LARGE(Data!$J$2:$J$2379,A2178)</f>
        <v>65</v>
      </c>
      <c r="C2178" s="25">
        <f t="shared" si="33"/>
        <v>1210635</v>
      </c>
      <c r="D2178" s="28">
        <f>C2178/SUM(Data!$J$2:$J$2379)</f>
        <v>0.99281529544134961</v>
      </c>
    </row>
    <row r="2179" spans="1:4" x14ac:dyDescent="0.3">
      <c r="A2179" s="25">
        <v>2178</v>
      </c>
      <c r="B2179" s="25">
        <f>LARGE(Data!$J$2:$J$2379,A2179)</f>
        <v>65</v>
      </c>
      <c r="C2179" s="25">
        <f t="shared" ref="C2179:C2242" si="34">C2178+B2179</f>
        <v>1210700</v>
      </c>
      <c r="D2179" s="28">
        <f>C2179/SUM(Data!$J$2:$J$2379)</f>
        <v>0.9928686005202576</v>
      </c>
    </row>
    <row r="2180" spans="1:4" x14ac:dyDescent="0.3">
      <c r="A2180" s="25">
        <v>2179</v>
      </c>
      <c r="B2180" s="25">
        <f>LARGE(Data!$J$2:$J$2379,A2180)</f>
        <v>65</v>
      </c>
      <c r="C2180" s="25">
        <f t="shared" si="34"/>
        <v>1210765</v>
      </c>
      <c r="D2180" s="28">
        <f>C2180/SUM(Data!$J$2:$J$2379)</f>
        <v>0.99292190559916549</v>
      </c>
    </row>
    <row r="2181" spans="1:4" x14ac:dyDescent="0.3">
      <c r="A2181" s="25">
        <v>2180</v>
      </c>
      <c r="B2181" s="25">
        <f>LARGE(Data!$J$2:$J$2379,A2181)</f>
        <v>65</v>
      </c>
      <c r="C2181" s="25">
        <f t="shared" si="34"/>
        <v>1210830</v>
      </c>
      <c r="D2181" s="28">
        <f>C2181/SUM(Data!$J$2:$J$2379)</f>
        <v>0.99297521067807337</v>
      </c>
    </row>
    <row r="2182" spans="1:4" x14ac:dyDescent="0.3">
      <c r="A2182" s="25">
        <v>2181</v>
      </c>
      <c r="B2182" s="25">
        <f>LARGE(Data!$J$2:$J$2379,A2182)</f>
        <v>65</v>
      </c>
      <c r="C2182" s="25">
        <f t="shared" si="34"/>
        <v>1210895</v>
      </c>
      <c r="D2182" s="28">
        <f>C2182/SUM(Data!$J$2:$J$2379)</f>
        <v>0.99302851575698137</v>
      </c>
    </row>
    <row r="2183" spans="1:4" x14ac:dyDescent="0.3">
      <c r="A2183" s="25">
        <v>2182</v>
      </c>
      <c r="B2183" s="25">
        <f>LARGE(Data!$J$2:$J$2379,A2183)</f>
        <v>65</v>
      </c>
      <c r="C2183" s="25">
        <f t="shared" si="34"/>
        <v>1210960</v>
      </c>
      <c r="D2183" s="28">
        <f>C2183/SUM(Data!$J$2:$J$2379)</f>
        <v>0.99308182083588925</v>
      </c>
    </row>
    <row r="2184" spans="1:4" x14ac:dyDescent="0.3">
      <c r="A2184" s="25">
        <v>2183</v>
      </c>
      <c r="B2184" s="25">
        <f>LARGE(Data!$J$2:$J$2379,A2184)</f>
        <v>65</v>
      </c>
      <c r="C2184" s="25">
        <f t="shared" si="34"/>
        <v>1211025</v>
      </c>
      <c r="D2184" s="28">
        <f>C2184/SUM(Data!$J$2:$J$2379)</f>
        <v>0.99313512591479713</v>
      </c>
    </row>
    <row r="2185" spans="1:4" x14ac:dyDescent="0.3">
      <c r="A2185" s="25">
        <v>2184</v>
      </c>
      <c r="B2185" s="25">
        <f>LARGE(Data!$J$2:$J$2379,A2185)</f>
        <v>65</v>
      </c>
      <c r="C2185" s="25">
        <f t="shared" si="34"/>
        <v>1211090</v>
      </c>
      <c r="D2185" s="28">
        <f>C2185/SUM(Data!$J$2:$J$2379)</f>
        <v>0.99318843099370513</v>
      </c>
    </row>
    <row r="2186" spans="1:4" x14ac:dyDescent="0.3">
      <c r="A2186" s="25">
        <v>2185</v>
      </c>
      <c r="B2186" s="25">
        <f>LARGE(Data!$J$2:$J$2379,A2186)</f>
        <v>65</v>
      </c>
      <c r="C2186" s="25">
        <f t="shared" si="34"/>
        <v>1211155</v>
      </c>
      <c r="D2186" s="28">
        <f>C2186/SUM(Data!$J$2:$J$2379)</f>
        <v>0.99324173607261301</v>
      </c>
    </row>
    <row r="2187" spans="1:4" x14ac:dyDescent="0.3">
      <c r="A2187" s="25">
        <v>2186</v>
      </c>
      <c r="B2187" s="25">
        <f>LARGE(Data!$J$2:$J$2379,A2187)</f>
        <v>65</v>
      </c>
      <c r="C2187" s="25">
        <f t="shared" si="34"/>
        <v>1211220</v>
      </c>
      <c r="D2187" s="28">
        <f>C2187/SUM(Data!$J$2:$J$2379)</f>
        <v>0.9932950411515209</v>
      </c>
    </row>
    <row r="2188" spans="1:4" x14ac:dyDescent="0.3">
      <c r="A2188" s="25">
        <v>2187</v>
      </c>
      <c r="B2188" s="25">
        <f>LARGE(Data!$J$2:$J$2379,A2188)</f>
        <v>65</v>
      </c>
      <c r="C2188" s="25">
        <f t="shared" si="34"/>
        <v>1211285</v>
      </c>
      <c r="D2188" s="28">
        <f>C2188/SUM(Data!$J$2:$J$2379)</f>
        <v>0.99334834623042878</v>
      </c>
    </row>
    <row r="2189" spans="1:4" x14ac:dyDescent="0.3">
      <c r="A2189" s="25">
        <v>2188</v>
      </c>
      <c r="B2189" s="25">
        <f>LARGE(Data!$J$2:$J$2379,A2189)</f>
        <v>65</v>
      </c>
      <c r="C2189" s="25">
        <f t="shared" si="34"/>
        <v>1211350</v>
      </c>
      <c r="D2189" s="28">
        <f>C2189/SUM(Data!$J$2:$J$2379)</f>
        <v>0.99340165130933678</v>
      </c>
    </row>
    <row r="2190" spans="1:4" x14ac:dyDescent="0.3">
      <c r="A2190" s="25">
        <v>2189</v>
      </c>
      <c r="B2190" s="25">
        <f>LARGE(Data!$J$2:$J$2379,A2190)</f>
        <v>65</v>
      </c>
      <c r="C2190" s="25">
        <f t="shared" si="34"/>
        <v>1211415</v>
      </c>
      <c r="D2190" s="28">
        <f>C2190/SUM(Data!$J$2:$J$2379)</f>
        <v>0.99345495638824466</v>
      </c>
    </row>
    <row r="2191" spans="1:4" x14ac:dyDescent="0.3">
      <c r="A2191" s="25">
        <v>2190</v>
      </c>
      <c r="B2191" s="25">
        <f>LARGE(Data!$J$2:$J$2379,A2191)</f>
        <v>65</v>
      </c>
      <c r="C2191" s="25">
        <f t="shared" si="34"/>
        <v>1211480</v>
      </c>
      <c r="D2191" s="28">
        <f>C2191/SUM(Data!$J$2:$J$2379)</f>
        <v>0.99350826146715254</v>
      </c>
    </row>
    <row r="2192" spans="1:4" x14ac:dyDescent="0.3">
      <c r="A2192" s="25">
        <v>2191</v>
      </c>
      <c r="B2192" s="25">
        <f>LARGE(Data!$J$2:$J$2379,A2192)</f>
        <v>65</v>
      </c>
      <c r="C2192" s="25">
        <f t="shared" si="34"/>
        <v>1211545</v>
      </c>
      <c r="D2192" s="28">
        <f>C2192/SUM(Data!$J$2:$J$2379)</f>
        <v>0.99356156654606054</v>
      </c>
    </row>
    <row r="2193" spans="1:4" x14ac:dyDescent="0.3">
      <c r="A2193" s="25">
        <v>2192</v>
      </c>
      <c r="B2193" s="25">
        <f>LARGE(Data!$J$2:$J$2379,A2193)</f>
        <v>65</v>
      </c>
      <c r="C2193" s="25">
        <f t="shared" si="34"/>
        <v>1211610</v>
      </c>
      <c r="D2193" s="28">
        <f>C2193/SUM(Data!$J$2:$J$2379)</f>
        <v>0.99361487162496842</v>
      </c>
    </row>
    <row r="2194" spans="1:4" x14ac:dyDescent="0.3">
      <c r="A2194" s="25">
        <v>2193</v>
      </c>
      <c r="B2194" s="25">
        <f>LARGE(Data!$J$2:$J$2379,A2194)</f>
        <v>65</v>
      </c>
      <c r="C2194" s="25">
        <f t="shared" si="34"/>
        <v>1211675</v>
      </c>
      <c r="D2194" s="28">
        <f>C2194/SUM(Data!$J$2:$J$2379)</f>
        <v>0.9936681767038763</v>
      </c>
    </row>
    <row r="2195" spans="1:4" x14ac:dyDescent="0.3">
      <c r="A2195" s="25">
        <v>2194</v>
      </c>
      <c r="B2195" s="25">
        <f>LARGE(Data!$J$2:$J$2379,A2195)</f>
        <v>65</v>
      </c>
      <c r="C2195" s="25">
        <f t="shared" si="34"/>
        <v>1211740</v>
      </c>
      <c r="D2195" s="28">
        <f>C2195/SUM(Data!$J$2:$J$2379)</f>
        <v>0.9937214817827843</v>
      </c>
    </row>
    <row r="2196" spans="1:4" x14ac:dyDescent="0.3">
      <c r="A2196" s="25">
        <v>2195</v>
      </c>
      <c r="B2196" s="25">
        <f>LARGE(Data!$J$2:$J$2379,A2196)</f>
        <v>65</v>
      </c>
      <c r="C2196" s="25">
        <f t="shared" si="34"/>
        <v>1211805</v>
      </c>
      <c r="D2196" s="28">
        <f>C2196/SUM(Data!$J$2:$J$2379)</f>
        <v>0.99377478686169218</v>
      </c>
    </row>
    <row r="2197" spans="1:4" x14ac:dyDescent="0.3">
      <c r="A2197" s="25">
        <v>2196</v>
      </c>
      <c r="B2197" s="25">
        <f>LARGE(Data!$J$2:$J$2379,A2197)</f>
        <v>65</v>
      </c>
      <c r="C2197" s="25">
        <f t="shared" si="34"/>
        <v>1211870</v>
      </c>
      <c r="D2197" s="28">
        <f>C2197/SUM(Data!$J$2:$J$2379)</f>
        <v>0.99382809194060007</v>
      </c>
    </row>
    <row r="2198" spans="1:4" x14ac:dyDescent="0.3">
      <c r="A2198" s="25">
        <v>2197</v>
      </c>
      <c r="B2198" s="25">
        <f>LARGE(Data!$J$2:$J$2379,A2198)</f>
        <v>65</v>
      </c>
      <c r="C2198" s="25">
        <f t="shared" si="34"/>
        <v>1211935</v>
      </c>
      <c r="D2198" s="28">
        <f>C2198/SUM(Data!$J$2:$J$2379)</f>
        <v>0.99388139701950806</v>
      </c>
    </row>
    <row r="2199" spans="1:4" x14ac:dyDescent="0.3">
      <c r="A2199" s="25">
        <v>2198</v>
      </c>
      <c r="B2199" s="25">
        <f>LARGE(Data!$J$2:$J$2379,A2199)</f>
        <v>65</v>
      </c>
      <c r="C2199" s="25">
        <f t="shared" si="34"/>
        <v>1212000</v>
      </c>
      <c r="D2199" s="28">
        <f>C2199/SUM(Data!$J$2:$J$2379)</f>
        <v>0.99393470209841595</v>
      </c>
    </row>
    <row r="2200" spans="1:4" x14ac:dyDescent="0.3">
      <c r="A2200" s="25">
        <v>2199</v>
      </c>
      <c r="B2200" s="25">
        <f>LARGE(Data!$J$2:$J$2379,A2200)</f>
        <v>65</v>
      </c>
      <c r="C2200" s="25">
        <f t="shared" si="34"/>
        <v>1212065</v>
      </c>
      <c r="D2200" s="28">
        <f>C2200/SUM(Data!$J$2:$J$2379)</f>
        <v>0.99398800717732383</v>
      </c>
    </row>
    <row r="2201" spans="1:4" x14ac:dyDescent="0.3">
      <c r="A2201" s="25">
        <v>2200</v>
      </c>
      <c r="B2201" s="25">
        <f>LARGE(Data!$J$2:$J$2379,A2201)</f>
        <v>65</v>
      </c>
      <c r="C2201" s="25">
        <f t="shared" si="34"/>
        <v>1212130</v>
      </c>
      <c r="D2201" s="28">
        <f>C2201/SUM(Data!$J$2:$J$2379)</f>
        <v>0.99404131225623182</v>
      </c>
    </row>
    <row r="2202" spans="1:4" x14ac:dyDescent="0.3">
      <c r="A2202" s="25">
        <v>2201</v>
      </c>
      <c r="B2202" s="25">
        <f>LARGE(Data!$J$2:$J$2379,A2202)</f>
        <v>65</v>
      </c>
      <c r="C2202" s="25">
        <f t="shared" si="34"/>
        <v>1212195</v>
      </c>
      <c r="D2202" s="28">
        <f>C2202/SUM(Data!$J$2:$J$2379)</f>
        <v>0.99409461733513971</v>
      </c>
    </row>
    <row r="2203" spans="1:4" x14ac:dyDescent="0.3">
      <c r="A2203" s="25">
        <v>2202</v>
      </c>
      <c r="B2203" s="25">
        <f>LARGE(Data!$J$2:$J$2379,A2203)</f>
        <v>65</v>
      </c>
      <c r="C2203" s="25">
        <f t="shared" si="34"/>
        <v>1212260</v>
      </c>
      <c r="D2203" s="28">
        <f>C2203/SUM(Data!$J$2:$J$2379)</f>
        <v>0.99414792241404759</v>
      </c>
    </row>
    <row r="2204" spans="1:4" x14ac:dyDescent="0.3">
      <c r="A2204" s="25">
        <v>2203</v>
      </c>
      <c r="B2204" s="25">
        <f>LARGE(Data!$J$2:$J$2379,A2204)</f>
        <v>65</v>
      </c>
      <c r="C2204" s="25">
        <f t="shared" si="34"/>
        <v>1212325</v>
      </c>
      <c r="D2204" s="28">
        <f>C2204/SUM(Data!$J$2:$J$2379)</f>
        <v>0.99420122749295547</v>
      </c>
    </row>
    <row r="2205" spans="1:4" x14ac:dyDescent="0.3">
      <c r="A2205" s="25">
        <v>2204</v>
      </c>
      <c r="B2205" s="25">
        <f>LARGE(Data!$J$2:$J$2379,A2205)</f>
        <v>65</v>
      </c>
      <c r="C2205" s="25">
        <f t="shared" si="34"/>
        <v>1212390</v>
      </c>
      <c r="D2205" s="28">
        <f>C2205/SUM(Data!$J$2:$J$2379)</f>
        <v>0.99425453257186347</v>
      </c>
    </row>
    <row r="2206" spans="1:4" x14ac:dyDescent="0.3">
      <c r="A2206" s="25">
        <v>2205</v>
      </c>
      <c r="B2206" s="25">
        <f>LARGE(Data!$J$2:$J$2379,A2206)</f>
        <v>65</v>
      </c>
      <c r="C2206" s="25">
        <f t="shared" si="34"/>
        <v>1212455</v>
      </c>
      <c r="D2206" s="28">
        <f>C2206/SUM(Data!$J$2:$J$2379)</f>
        <v>0.99430783765077135</v>
      </c>
    </row>
    <row r="2207" spans="1:4" x14ac:dyDescent="0.3">
      <c r="A2207" s="25">
        <v>2206</v>
      </c>
      <c r="B2207" s="25">
        <f>LARGE(Data!$J$2:$J$2379,A2207)</f>
        <v>65</v>
      </c>
      <c r="C2207" s="25">
        <f t="shared" si="34"/>
        <v>1212520</v>
      </c>
      <c r="D2207" s="28">
        <f>C2207/SUM(Data!$J$2:$J$2379)</f>
        <v>0.99436114272967924</v>
      </c>
    </row>
    <row r="2208" spans="1:4" x14ac:dyDescent="0.3">
      <c r="A2208" s="25">
        <v>2207</v>
      </c>
      <c r="B2208" s="25">
        <f>LARGE(Data!$J$2:$J$2379,A2208)</f>
        <v>60</v>
      </c>
      <c r="C2208" s="25">
        <f t="shared" si="34"/>
        <v>1212580</v>
      </c>
      <c r="D2208" s="28">
        <f>C2208/SUM(Data!$J$2:$J$2379)</f>
        <v>0.99441034741790202</v>
      </c>
    </row>
    <row r="2209" spans="1:4" x14ac:dyDescent="0.3">
      <c r="A2209" s="25">
        <v>2208</v>
      </c>
      <c r="B2209" s="25">
        <f>LARGE(Data!$J$2:$J$2379,A2209)</f>
        <v>60</v>
      </c>
      <c r="C2209" s="25">
        <f t="shared" si="34"/>
        <v>1212640</v>
      </c>
      <c r="D2209" s="28">
        <f>C2209/SUM(Data!$J$2:$J$2379)</f>
        <v>0.99445955210612469</v>
      </c>
    </row>
    <row r="2210" spans="1:4" x14ac:dyDescent="0.3">
      <c r="A2210" s="25">
        <v>2209</v>
      </c>
      <c r="B2210" s="25">
        <f>LARGE(Data!$J$2:$J$2379,A2210)</f>
        <v>60</v>
      </c>
      <c r="C2210" s="25">
        <f t="shared" si="34"/>
        <v>1212700</v>
      </c>
      <c r="D2210" s="28">
        <f>C2210/SUM(Data!$J$2:$J$2379)</f>
        <v>0.99450875679434736</v>
      </c>
    </row>
    <row r="2211" spans="1:4" x14ac:dyDescent="0.3">
      <c r="A2211" s="25">
        <v>2210</v>
      </c>
      <c r="B2211" s="25">
        <f>LARGE(Data!$J$2:$J$2379,A2211)</f>
        <v>60</v>
      </c>
      <c r="C2211" s="25">
        <f t="shared" si="34"/>
        <v>1212760</v>
      </c>
      <c r="D2211" s="28">
        <f>C2211/SUM(Data!$J$2:$J$2379)</f>
        <v>0.99455796148257003</v>
      </c>
    </row>
    <row r="2212" spans="1:4" x14ac:dyDescent="0.3">
      <c r="A2212" s="25">
        <v>2211</v>
      </c>
      <c r="B2212" s="25">
        <f>LARGE(Data!$J$2:$J$2379,A2212)</f>
        <v>60</v>
      </c>
      <c r="C2212" s="25">
        <f t="shared" si="34"/>
        <v>1212820</v>
      </c>
      <c r="D2212" s="28">
        <f>C2212/SUM(Data!$J$2:$J$2379)</f>
        <v>0.9946071661707927</v>
      </c>
    </row>
    <row r="2213" spans="1:4" x14ac:dyDescent="0.3">
      <c r="A2213" s="25">
        <v>2212</v>
      </c>
      <c r="B2213" s="25">
        <f>LARGE(Data!$J$2:$J$2379,A2213)</f>
        <v>60</v>
      </c>
      <c r="C2213" s="25">
        <f t="shared" si="34"/>
        <v>1212880</v>
      </c>
      <c r="D2213" s="28">
        <f>C2213/SUM(Data!$J$2:$J$2379)</f>
        <v>0.99465637085901548</v>
      </c>
    </row>
    <row r="2214" spans="1:4" x14ac:dyDescent="0.3">
      <c r="A2214" s="25">
        <v>2213</v>
      </c>
      <c r="B2214" s="25">
        <f>LARGE(Data!$J$2:$J$2379,A2214)</f>
        <v>60</v>
      </c>
      <c r="C2214" s="25">
        <f t="shared" si="34"/>
        <v>1212940</v>
      </c>
      <c r="D2214" s="28">
        <f>C2214/SUM(Data!$J$2:$J$2379)</f>
        <v>0.99470557554723815</v>
      </c>
    </row>
    <row r="2215" spans="1:4" x14ac:dyDescent="0.3">
      <c r="A2215" s="25">
        <v>2214</v>
      </c>
      <c r="B2215" s="25">
        <f>LARGE(Data!$J$2:$J$2379,A2215)</f>
        <v>60</v>
      </c>
      <c r="C2215" s="25">
        <f t="shared" si="34"/>
        <v>1213000</v>
      </c>
      <c r="D2215" s="28">
        <f>C2215/SUM(Data!$J$2:$J$2379)</f>
        <v>0.99475478023546082</v>
      </c>
    </row>
    <row r="2216" spans="1:4" x14ac:dyDescent="0.3">
      <c r="A2216" s="25">
        <v>2215</v>
      </c>
      <c r="B2216" s="25">
        <f>LARGE(Data!$J$2:$J$2379,A2216)</f>
        <v>60</v>
      </c>
      <c r="C2216" s="25">
        <f t="shared" si="34"/>
        <v>1213060</v>
      </c>
      <c r="D2216" s="28">
        <f>C2216/SUM(Data!$J$2:$J$2379)</f>
        <v>0.99480398492368349</v>
      </c>
    </row>
    <row r="2217" spans="1:4" x14ac:dyDescent="0.3">
      <c r="A2217" s="25">
        <v>2216</v>
      </c>
      <c r="B2217" s="25">
        <f>LARGE(Data!$J$2:$J$2379,A2217)</f>
        <v>60</v>
      </c>
      <c r="C2217" s="25">
        <f t="shared" si="34"/>
        <v>1213120</v>
      </c>
      <c r="D2217" s="28">
        <f>C2217/SUM(Data!$J$2:$J$2379)</f>
        <v>0.99485318961190627</v>
      </c>
    </row>
    <row r="2218" spans="1:4" x14ac:dyDescent="0.3">
      <c r="A2218" s="25">
        <v>2217</v>
      </c>
      <c r="B2218" s="25">
        <f>LARGE(Data!$J$2:$J$2379,A2218)</f>
        <v>60</v>
      </c>
      <c r="C2218" s="25">
        <f t="shared" si="34"/>
        <v>1213180</v>
      </c>
      <c r="D2218" s="28">
        <f>C2218/SUM(Data!$J$2:$J$2379)</f>
        <v>0.99490239430012894</v>
      </c>
    </row>
    <row r="2219" spans="1:4" x14ac:dyDescent="0.3">
      <c r="A2219" s="25">
        <v>2218</v>
      </c>
      <c r="B2219" s="25">
        <f>LARGE(Data!$J$2:$J$2379,A2219)</f>
        <v>60</v>
      </c>
      <c r="C2219" s="25">
        <f t="shared" si="34"/>
        <v>1213240</v>
      </c>
      <c r="D2219" s="28">
        <f>C2219/SUM(Data!$J$2:$J$2379)</f>
        <v>0.99495159898835162</v>
      </c>
    </row>
    <row r="2220" spans="1:4" x14ac:dyDescent="0.3">
      <c r="A2220" s="25">
        <v>2219</v>
      </c>
      <c r="B2220" s="25">
        <f>LARGE(Data!$J$2:$J$2379,A2220)</f>
        <v>60</v>
      </c>
      <c r="C2220" s="25">
        <f t="shared" si="34"/>
        <v>1213300</v>
      </c>
      <c r="D2220" s="28">
        <f>C2220/SUM(Data!$J$2:$J$2379)</f>
        <v>0.99500080367657429</v>
      </c>
    </row>
    <row r="2221" spans="1:4" x14ac:dyDescent="0.3">
      <c r="A2221" s="25">
        <v>2220</v>
      </c>
      <c r="B2221" s="25">
        <f>LARGE(Data!$J$2:$J$2379,A2221)</f>
        <v>60</v>
      </c>
      <c r="C2221" s="25">
        <f t="shared" si="34"/>
        <v>1213360</v>
      </c>
      <c r="D2221" s="28">
        <f>C2221/SUM(Data!$J$2:$J$2379)</f>
        <v>0.99505000836479696</v>
      </c>
    </row>
    <row r="2222" spans="1:4" x14ac:dyDescent="0.3">
      <c r="A2222" s="25">
        <v>2221</v>
      </c>
      <c r="B2222" s="25">
        <f>LARGE(Data!$J$2:$J$2379,A2222)</f>
        <v>60</v>
      </c>
      <c r="C2222" s="25">
        <f t="shared" si="34"/>
        <v>1213420</v>
      </c>
      <c r="D2222" s="28">
        <f>C2222/SUM(Data!$J$2:$J$2379)</f>
        <v>0.99509921305301974</v>
      </c>
    </row>
    <row r="2223" spans="1:4" x14ac:dyDescent="0.3">
      <c r="A2223" s="25">
        <v>2222</v>
      </c>
      <c r="B2223" s="25">
        <f>LARGE(Data!$J$2:$J$2379,A2223)</f>
        <v>60</v>
      </c>
      <c r="C2223" s="25">
        <f t="shared" si="34"/>
        <v>1213480</v>
      </c>
      <c r="D2223" s="28">
        <f>C2223/SUM(Data!$J$2:$J$2379)</f>
        <v>0.99514841774124241</v>
      </c>
    </row>
    <row r="2224" spans="1:4" x14ac:dyDescent="0.3">
      <c r="A2224" s="25">
        <v>2223</v>
      </c>
      <c r="B2224" s="25">
        <f>LARGE(Data!$J$2:$J$2379,A2224)</f>
        <v>60</v>
      </c>
      <c r="C2224" s="25">
        <f t="shared" si="34"/>
        <v>1213540</v>
      </c>
      <c r="D2224" s="28">
        <f>C2224/SUM(Data!$J$2:$J$2379)</f>
        <v>0.99519762242946508</v>
      </c>
    </row>
    <row r="2225" spans="1:4" x14ac:dyDescent="0.3">
      <c r="A2225" s="25">
        <v>2224</v>
      </c>
      <c r="B2225" s="25">
        <f>LARGE(Data!$J$2:$J$2379,A2225)</f>
        <v>60</v>
      </c>
      <c r="C2225" s="25">
        <f t="shared" si="34"/>
        <v>1213600</v>
      </c>
      <c r="D2225" s="28">
        <f>C2225/SUM(Data!$J$2:$J$2379)</f>
        <v>0.99524682711768775</v>
      </c>
    </row>
    <row r="2226" spans="1:4" x14ac:dyDescent="0.3">
      <c r="A2226" s="25">
        <v>2225</v>
      </c>
      <c r="B2226" s="25">
        <f>LARGE(Data!$J$2:$J$2379,A2226)</f>
        <v>60</v>
      </c>
      <c r="C2226" s="25">
        <f t="shared" si="34"/>
        <v>1213660</v>
      </c>
      <c r="D2226" s="28">
        <f>C2226/SUM(Data!$J$2:$J$2379)</f>
        <v>0.99529603180591042</v>
      </c>
    </row>
    <row r="2227" spans="1:4" x14ac:dyDescent="0.3">
      <c r="A2227" s="25">
        <v>2226</v>
      </c>
      <c r="B2227" s="25">
        <f>LARGE(Data!$J$2:$J$2379,A2227)</f>
        <v>60</v>
      </c>
      <c r="C2227" s="25">
        <f t="shared" si="34"/>
        <v>1213720</v>
      </c>
      <c r="D2227" s="28">
        <f>C2227/SUM(Data!$J$2:$J$2379)</f>
        <v>0.9953452364941332</v>
      </c>
    </row>
    <row r="2228" spans="1:4" x14ac:dyDescent="0.3">
      <c r="A2228" s="25">
        <v>2227</v>
      </c>
      <c r="B2228" s="25">
        <f>LARGE(Data!$J$2:$J$2379,A2228)</f>
        <v>60</v>
      </c>
      <c r="C2228" s="25">
        <f t="shared" si="34"/>
        <v>1213780</v>
      </c>
      <c r="D2228" s="28">
        <f>C2228/SUM(Data!$J$2:$J$2379)</f>
        <v>0.99539444118235587</v>
      </c>
    </row>
    <row r="2229" spans="1:4" x14ac:dyDescent="0.3">
      <c r="A2229" s="25">
        <v>2228</v>
      </c>
      <c r="B2229" s="25">
        <f>LARGE(Data!$J$2:$J$2379,A2229)</f>
        <v>60</v>
      </c>
      <c r="C2229" s="25">
        <f t="shared" si="34"/>
        <v>1213840</v>
      </c>
      <c r="D2229" s="28">
        <f>C2229/SUM(Data!$J$2:$J$2379)</f>
        <v>0.99544364587057854</v>
      </c>
    </row>
    <row r="2230" spans="1:4" x14ac:dyDescent="0.3">
      <c r="A2230" s="25">
        <v>2229</v>
      </c>
      <c r="B2230" s="25">
        <f>LARGE(Data!$J$2:$J$2379,A2230)</f>
        <v>60</v>
      </c>
      <c r="C2230" s="25">
        <f t="shared" si="34"/>
        <v>1213900</v>
      </c>
      <c r="D2230" s="28">
        <f>C2230/SUM(Data!$J$2:$J$2379)</f>
        <v>0.99549285055880121</v>
      </c>
    </row>
    <row r="2231" spans="1:4" x14ac:dyDescent="0.3">
      <c r="A2231" s="25">
        <v>2230</v>
      </c>
      <c r="B2231" s="25">
        <f>LARGE(Data!$J$2:$J$2379,A2231)</f>
        <v>60</v>
      </c>
      <c r="C2231" s="25">
        <f t="shared" si="34"/>
        <v>1213960</v>
      </c>
      <c r="D2231" s="28">
        <f>C2231/SUM(Data!$J$2:$J$2379)</f>
        <v>0.99554205524702388</v>
      </c>
    </row>
    <row r="2232" spans="1:4" x14ac:dyDescent="0.3">
      <c r="A2232" s="25">
        <v>2231</v>
      </c>
      <c r="B2232" s="25">
        <f>LARGE(Data!$J$2:$J$2379,A2232)</f>
        <v>60</v>
      </c>
      <c r="C2232" s="25">
        <f t="shared" si="34"/>
        <v>1214020</v>
      </c>
      <c r="D2232" s="28">
        <f>C2232/SUM(Data!$J$2:$J$2379)</f>
        <v>0.99559125993524666</v>
      </c>
    </row>
    <row r="2233" spans="1:4" x14ac:dyDescent="0.3">
      <c r="A2233" s="25">
        <v>2232</v>
      </c>
      <c r="B2233" s="25">
        <f>LARGE(Data!$J$2:$J$2379,A2233)</f>
        <v>60</v>
      </c>
      <c r="C2233" s="25">
        <f t="shared" si="34"/>
        <v>1214080</v>
      </c>
      <c r="D2233" s="28">
        <f>C2233/SUM(Data!$J$2:$J$2379)</f>
        <v>0.99564046462346933</v>
      </c>
    </row>
    <row r="2234" spans="1:4" x14ac:dyDescent="0.3">
      <c r="A2234" s="25">
        <v>2233</v>
      </c>
      <c r="B2234" s="25">
        <f>LARGE(Data!$J$2:$J$2379,A2234)</f>
        <v>60</v>
      </c>
      <c r="C2234" s="25">
        <f t="shared" si="34"/>
        <v>1214140</v>
      </c>
      <c r="D2234" s="28">
        <f>C2234/SUM(Data!$J$2:$J$2379)</f>
        <v>0.995689669311692</v>
      </c>
    </row>
    <row r="2235" spans="1:4" x14ac:dyDescent="0.3">
      <c r="A2235" s="25">
        <v>2234</v>
      </c>
      <c r="B2235" s="25">
        <f>LARGE(Data!$J$2:$J$2379,A2235)</f>
        <v>60</v>
      </c>
      <c r="C2235" s="25">
        <f t="shared" si="34"/>
        <v>1214200</v>
      </c>
      <c r="D2235" s="28">
        <f>C2235/SUM(Data!$J$2:$J$2379)</f>
        <v>0.99573887399991468</v>
      </c>
    </row>
    <row r="2236" spans="1:4" x14ac:dyDescent="0.3">
      <c r="A2236" s="25">
        <v>2235</v>
      </c>
      <c r="B2236" s="25">
        <f>LARGE(Data!$J$2:$J$2379,A2236)</f>
        <v>60</v>
      </c>
      <c r="C2236" s="25">
        <f t="shared" si="34"/>
        <v>1214260</v>
      </c>
      <c r="D2236" s="28">
        <f>C2236/SUM(Data!$J$2:$J$2379)</f>
        <v>0.99578807868813746</v>
      </c>
    </row>
    <row r="2237" spans="1:4" x14ac:dyDescent="0.3">
      <c r="A2237" s="25">
        <v>2236</v>
      </c>
      <c r="B2237" s="25">
        <f>LARGE(Data!$J$2:$J$2379,A2237)</f>
        <v>60</v>
      </c>
      <c r="C2237" s="25">
        <f t="shared" si="34"/>
        <v>1214320</v>
      </c>
      <c r="D2237" s="28">
        <f>C2237/SUM(Data!$J$2:$J$2379)</f>
        <v>0.99583728337636013</v>
      </c>
    </row>
    <row r="2238" spans="1:4" x14ac:dyDescent="0.3">
      <c r="A2238" s="25">
        <v>2237</v>
      </c>
      <c r="B2238" s="25">
        <f>LARGE(Data!$J$2:$J$2379,A2238)</f>
        <v>60</v>
      </c>
      <c r="C2238" s="25">
        <f t="shared" si="34"/>
        <v>1214380</v>
      </c>
      <c r="D2238" s="28">
        <f>C2238/SUM(Data!$J$2:$J$2379)</f>
        <v>0.9958864880645828</v>
      </c>
    </row>
    <row r="2239" spans="1:4" x14ac:dyDescent="0.3">
      <c r="A2239" s="25">
        <v>2238</v>
      </c>
      <c r="B2239" s="25">
        <f>LARGE(Data!$J$2:$J$2379,A2239)</f>
        <v>60</v>
      </c>
      <c r="C2239" s="25">
        <f t="shared" si="34"/>
        <v>1214440</v>
      </c>
      <c r="D2239" s="28">
        <f>C2239/SUM(Data!$J$2:$J$2379)</f>
        <v>0.99593569275280547</v>
      </c>
    </row>
    <row r="2240" spans="1:4" x14ac:dyDescent="0.3">
      <c r="A2240" s="25">
        <v>2239</v>
      </c>
      <c r="B2240" s="25">
        <f>LARGE(Data!$J$2:$J$2379,A2240)</f>
        <v>60</v>
      </c>
      <c r="C2240" s="25">
        <f t="shared" si="34"/>
        <v>1214500</v>
      </c>
      <c r="D2240" s="28">
        <f>C2240/SUM(Data!$J$2:$J$2379)</f>
        <v>0.99598489744102814</v>
      </c>
    </row>
    <row r="2241" spans="1:4" x14ac:dyDescent="0.3">
      <c r="A2241" s="25">
        <v>2240</v>
      </c>
      <c r="B2241" s="25">
        <f>LARGE(Data!$J$2:$J$2379,A2241)</f>
        <v>60</v>
      </c>
      <c r="C2241" s="25">
        <f t="shared" si="34"/>
        <v>1214560</v>
      </c>
      <c r="D2241" s="28">
        <f>C2241/SUM(Data!$J$2:$J$2379)</f>
        <v>0.99603410212925092</v>
      </c>
    </row>
    <row r="2242" spans="1:4" x14ac:dyDescent="0.3">
      <c r="A2242" s="25">
        <v>2241</v>
      </c>
      <c r="B2242" s="25">
        <f>LARGE(Data!$J$2:$J$2379,A2242)</f>
        <v>60</v>
      </c>
      <c r="C2242" s="25">
        <f t="shared" si="34"/>
        <v>1214620</v>
      </c>
      <c r="D2242" s="28">
        <f>C2242/SUM(Data!$J$2:$J$2379)</f>
        <v>0.99608330681747359</v>
      </c>
    </row>
    <row r="2243" spans="1:4" x14ac:dyDescent="0.3">
      <c r="A2243" s="25">
        <v>2242</v>
      </c>
      <c r="B2243" s="25">
        <f>LARGE(Data!$J$2:$J$2379,A2243)</f>
        <v>60</v>
      </c>
      <c r="C2243" s="25">
        <f t="shared" ref="C2243:C2306" si="35">C2242+B2243</f>
        <v>1214680</v>
      </c>
      <c r="D2243" s="28">
        <f>C2243/SUM(Data!$J$2:$J$2379)</f>
        <v>0.99613251150569626</v>
      </c>
    </row>
    <row r="2244" spans="1:4" x14ac:dyDescent="0.3">
      <c r="A2244" s="25">
        <v>2243</v>
      </c>
      <c r="B2244" s="25">
        <f>LARGE(Data!$J$2:$J$2379,A2244)</f>
        <v>60</v>
      </c>
      <c r="C2244" s="25">
        <f t="shared" si="35"/>
        <v>1214740</v>
      </c>
      <c r="D2244" s="28">
        <f>C2244/SUM(Data!$J$2:$J$2379)</f>
        <v>0.99618171619391893</v>
      </c>
    </row>
    <row r="2245" spans="1:4" x14ac:dyDescent="0.3">
      <c r="A2245" s="25">
        <v>2244</v>
      </c>
      <c r="B2245" s="25">
        <f>LARGE(Data!$J$2:$J$2379,A2245)</f>
        <v>60</v>
      </c>
      <c r="C2245" s="25">
        <f t="shared" si="35"/>
        <v>1214800</v>
      </c>
      <c r="D2245" s="28">
        <f>C2245/SUM(Data!$J$2:$J$2379)</f>
        <v>0.9962309208821416</v>
      </c>
    </row>
    <row r="2246" spans="1:4" x14ac:dyDescent="0.3">
      <c r="A2246" s="25">
        <v>2245</v>
      </c>
      <c r="B2246" s="25">
        <f>LARGE(Data!$J$2:$J$2379,A2246)</f>
        <v>60</v>
      </c>
      <c r="C2246" s="25">
        <f t="shared" si="35"/>
        <v>1214860</v>
      </c>
      <c r="D2246" s="28">
        <f>C2246/SUM(Data!$J$2:$J$2379)</f>
        <v>0.99628012557036438</v>
      </c>
    </row>
    <row r="2247" spans="1:4" x14ac:dyDescent="0.3">
      <c r="A2247" s="25">
        <v>2246</v>
      </c>
      <c r="B2247" s="25">
        <f>LARGE(Data!$J$2:$J$2379,A2247)</f>
        <v>60</v>
      </c>
      <c r="C2247" s="25">
        <f t="shared" si="35"/>
        <v>1214920</v>
      </c>
      <c r="D2247" s="28">
        <f>C2247/SUM(Data!$J$2:$J$2379)</f>
        <v>0.99632933025858705</v>
      </c>
    </row>
    <row r="2248" spans="1:4" x14ac:dyDescent="0.3">
      <c r="A2248" s="25">
        <v>2247</v>
      </c>
      <c r="B2248" s="25">
        <f>LARGE(Data!$J$2:$J$2379,A2248)</f>
        <v>60</v>
      </c>
      <c r="C2248" s="25">
        <f t="shared" si="35"/>
        <v>1214980</v>
      </c>
      <c r="D2248" s="28">
        <f>C2248/SUM(Data!$J$2:$J$2379)</f>
        <v>0.99637853494680972</v>
      </c>
    </row>
    <row r="2249" spans="1:4" x14ac:dyDescent="0.3">
      <c r="A2249" s="25">
        <v>2248</v>
      </c>
      <c r="B2249" s="25">
        <f>LARGE(Data!$J$2:$J$2379,A2249)</f>
        <v>60</v>
      </c>
      <c r="C2249" s="25">
        <f t="shared" si="35"/>
        <v>1215040</v>
      </c>
      <c r="D2249" s="28">
        <f>C2249/SUM(Data!$J$2:$J$2379)</f>
        <v>0.99642773963503239</v>
      </c>
    </row>
    <row r="2250" spans="1:4" x14ac:dyDescent="0.3">
      <c r="A2250" s="25">
        <v>2249</v>
      </c>
      <c r="B2250" s="25">
        <f>LARGE(Data!$J$2:$J$2379,A2250)</f>
        <v>60</v>
      </c>
      <c r="C2250" s="25">
        <f t="shared" si="35"/>
        <v>1215100</v>
      </c>
      <c r="D2250" s="28">
        <f>C2250/SUM(Data!$J$2:$J$2379)</f>
        <v>0.99647694432325506</v>
      </c>
    </row>
    <row r="2251" spans="1:4" x14ac:dyDescent="0.3">
      <c r="A2251" s="25">
        <v>2250</v>
      </c>
      <c r="B2251" s="25">
        <f>LARGE(Data!$J$2:$J$2379,A2251)</f>
        <v>60</v>
      </c>
      <c r="C2251" s="25">
        <f t="shared" si="35"/>
        <v>1215160</v>
      </c>
      <c r="D2251" s="28">
        <f>C2251/SUM(Data!$J$2:$J$2379)</f>
        <v>0.99652614901147785</v>
      </c>
    </row>
    <row r="2252" spans="1:4" x14ac:dyDescent="0.3">
      <c r="A2252" s="25">
        <v>2251</v>
      </c>
      <c r="B2252" s="25">
        <f>LARGE(Data!$J$2:$J$2379,A2252)</f>
        <v>60</v>
      </c>
      <c r="C2252" s="25">
        <f t="shared" si="35"/>
        <v>1215220</v>
      </c>
      <c r="D2252" s="28">
        <f>C2252/SUM(Data!$J$2:$J$2379)</f>
        <v>0.99657535369970052</v>
      </c>
    </row>
    <row r="2253" spans="1:4" x14ac:dyDescent="0.3">
      <c r="A2253" s="25">
        <v>2252</v>
      </c>
      <c r="B2253" s="25">
        <f>LARGE(Data!$J$2:$J$2379,A2253)</f>
        <v>48</v>
      </c>
      <c r="C2253" s="25">
        <f t="shared" si="35"/>
        <v>1215268</v>
      </c>
      <c r="D2253" s="28">
        <f>C2253/SUM(Data!$J$2:$J$2379)</f>
        <v>0.99661471745027863</v>
      </c>
    </row>
    <row r="2254" spans="1:4" x14ac:dyDescent="0.3">
      <c r="A2254" s="25">
        <v>2253</v>
      </c>
      <c r="B2254" s="25">
        <f>LARGE(Data!$J$2:$J$2379,A2254)</f>
        <v>42</v>
      </c>
      <c r="C2254" s="25">
        <f t="shared" si="35"/>
        <v>1215310</v>
      </c>
      <c r="D2254" s="28">
        <f>C2254/SUM(Data!$J$2:$J$2379)</f>
        <v>0.99664916073203458</v>
      </c>
    </row>
    <row r="2255" spans="1:4" x14ac:dyDescent="0.3">
      <c r="A2255" s="25">
        <v>2254</v>
      </c>
      <c r="B2255" s="25">
        <f>LARGE(Data!$J$2:$J$2379,A2255)</f>
        <v>42</v>
      </c>
      <c r="C2255" s="25">
        <f t="shared" si="35"/>
        <v>1215352</v>
      </c>
      <c r="D2255" s="28">
        <f>C2255/SUM(Data!$J$2:$J$2379)</f>
        <v>0.99668360401379041</v>
      </c>
    </row>
    <row r="2256" spans="1:4" x14ac:dyDescent="0.3">
      <c r="A2256" s="25">
        <v>2255</v>
      </c>
      <c r="B2256" s="25">
        <f>LARGE(Data!$J$2:$J$2379,A2256)</f>
        <v>36</v>
      </c>
      <c r="C2256" s="25">
        <f t="shared" si="35"/>
        <v>1215388</v>
      </c>
      <c r="D2256" s="28">
        <f>C2256/SUM(Data!$J$2:$J$2379)</f>
        <v>0.99671312682672408</v>
      </c>
    </row>
    <row r="2257" spans="1:4" x14ac:dyDescent="0.3">
      <c r="A2257" s="25">
        <v>2256</v>
      </c>
      <c r="B2257" s="25">
        <f>LARGE(Data!$J$2:$J$2379,A2257)</f>
        <v>36</v>
      </c>
      <c r="C2257" s="25">
        <f t="shared" si="35"/>
        <v>1215424</v>
      </c>
      <c r="D2257" s="28">
        <f>C2257/SUM(Data!$J$2:$J$2379)</f>
        <v>0.99674264963965764</v>
      </c>
    </row>
    <row r="2258" spans="1:4" x14ac:dyDescent="0.3">
      <c r="A2258" s="25">
        <v>2257</v>
      </c>
      <c r="B2258" s="25">
        <f>LARGE(Data!$J$2:$J$2379,A2258)</f>
        <v>36</v>
      </c>
      <c r="C2258" s="25">
        <f t="shared" si="35"/>
        <v>1215460</v>
      </c>
      <c r="D2258" s="28">
        <f>C2258/SUM(Data!$J$2:$J$2379)</f>
        <v>0.99677217245259131</v>
      </c>
    </row>
    <row r="2259" spans="1:4" x14ac:dyDescent="0.3">
      <c r="A2259" s="25">
        <v>2258</v>
      </c>
      <c r="B2259" s="25">
        <f>LARGE(Data!$J$2:$J$2379,A2259)</f>
        <v>36</v>
      </c>
      <c r="C2259" s="25">
        <f t="shared" si="35"/>
        <v>1215496</v>
      </c>
      <c r="D2259" s="28">
        <f>C2259/SUM(Data!$J$2:$J$2379)</f>
        <v>0.99680169526552487</v>
      </c>
    </row>
    <row r="2260" spans="1:4" x14ac:dyDescent="0.3">
      <c r="A2260" s="25">
        <v>2259</v>
      </c>
      <c r="B2260" s="25">
        <f>LARGE(Data!$J$2:$J$2379,A2260)</f>
        <v>36</v>
      </c>
      <c r="C2260" s="25">
        <f t="shared" si="35"/>
        <v>1215532</v>
      </c>
      <c r="D2260" s="28">
        <f>C2260/SUM(Data!$J$2:$J$2379)</f>
        <v>0.99683121807845854</v>
      </c>
    </row>
    <row r="2261" spans="1:4" x14ac:dyDescent="0.3">
      <c r="A2261" s="25">
        <v>2260</v>
      </c>
      <c r="B2261" s="25">
        <f>LARGE(Data!$J$2:$J$2379,A2261)</f>
        <v>36</v>
      </c>
      <c r="C2261" s="25">
        <f t="shared" si="35"/>
        <v>1215568</v>
      </c>
      <c r="D2261" s="28">
        <f>C2261/SUM(Data!$J$2:$J$2379)</f>
        <v>0.99686074089139209</v>
      </c>
    </row>
    <row r="2262" spans="1:4" x14ac:dyDescent="0.3">
      <c r="A2262" s="25">
        <v>2261</v>
      </c>
      <c r="B2262" s="25">
        <f>LARGE(Data!$J$2:$J$2379,A2262)</f>
        <v>36</v>
      </c>
      <c r="C2262" s="25">
        <f t="shared" si="35"/>
        <v>1215604</v>
      </c>
      <c r="D2262" s="28">
        <f>C2262/SUM(Data!$J$2:$J$2379)</f>
        <v>0.99689026370432576</v>
      </c>
    </row>
    <row r="2263" spans="1:4" x14ac:dyDescent="0.3">
      <c r="A2263" s="25">
        <v>2262</v>
      </c>
      <c r="B2263" s="25">
        <f>LARGE(Data!$J$2:$J$2379,A2263)</f>
        <v>36</v>
      </c>
      <c r="C2263" s="25">
        <f t="shared" si="35"/>
        <v>1215640</v>
      </c>
      <c r="D2263" s="28">
        <f>C2263/SUM(Data!$J$2:$J$2379)</f>
        <v>0.99691978651725932</v>
      </c>
    </row>
    <row r="2264" spans="1:4" x14ac:dyDescent="0.3">
      <c r="A2264" s="25">
        <v>2263</v>
      </c>
      <c r="B2264" s="25">
        <f>LARGE(Data!$J$2:$J$2379,A2264)</f>
        <v>36</v>
      </c>
      <c r="C2264" s="25">
        <f t="shared" si="35"/>
        <v>1215676</v>
      </c>
      <c r="D2264" s="28">
        <f>C2264/SUM(Data!$J$2:$J$2379)</f>
        <v>0.99694930933019299</v>
      </c>
    </row>
    <row r="2265" spans="1:4" x14ac:dyDescent="0.3">
      <c r="A2265" s="25">
        <v>2264</v>
      </c>
      <c r="B2265" s="25">
        <f>LARGE(Data!$J$2:$J$2379,A2265)</f>
        <v>36</v>
      </c>
      <c r="C2265" s="25">
        <f t="shared" si="35"/>
        <v>1215712</v>
      </c>
      <c r="D2265" s="28">
        <f>C2265/SUM(Data!$J$2:$J$2379)</f>
        <v>0.99697883214312655</v>
      </c>
    </row>
    <row r="2266" spans="1:4" x14ac:dyDescent="0.3">
      <c r="A2266" s="25">
        <v>2265</v>
      </c>
      <c r="B2266" s="25">
        <f>LARGE(Data!$J$2:$J$2379,A2266)</f>
        <v>36</v>
      </c>
      <c r="C2266" s="25">
        <f t="shared" si="35"/>
        <v>1215748</v>
      </c>
      <c r="D2266" s="28">
        <f>C2266/SUM(Data!$J$2:$J$2379)</f>
        <v>0.99700835495606022</v>
      </c>
    </row>
    <row r="2267" spans="1:4" x14ac:dyDescent="0.3">
      <c r="A2267" s="25">
        <v>2266</v>
      </c>
      <c r="B2267" s="25">
        <f>LARGE(Data!$J$2:$J$2379,A2267)</f>
        <v>36</v>
      </c>
      <c r="C2267" s="25">
        <f t="shared" si="35"/>
        <v>1215784</v>
      </c>
      <c r="D2267" s="28">
        <f>C2267/SUM(Data!$J$2:$J$2379)</f>
        <v>0.99703787776899377</v>
      </c>
    </row>
    <row r="2268" spans="1:4" x14ac:dyDescent="0.3">
      <c r="A2268" s="25">
        <v>2267</v>
      </c>
      <c r="B2268" s="25">
        <f>LARGE(Data!$J$2:$J$2379,A2268)</f>
        <v>36</v>
      </c>
      <c r="C2268" s="25">
        <f t="shared" si="35"/>
        <v>1215820</v>
      </c>
      <c r="D2268" s="28">
        <f>C2268/SUM(Data!$J$2:$J$2379)</f>
        <v>0.99706740058192744</v>
      </c>
    </row>
    <row r="2269" spans="1:4" x14ac:dyDescent="0.3">
      <c r="A2269" s="25">
        <v>2268</v>
      </c>
      <c r="B2269" s="25">
        <f>LARGE(Data!$J$2:$J$2379,A2269)</f>
        <v>36</v>
      </c>
      <c r="C2269" s="25">
        <f t="shared" si="35"/>
        <v>1215856</v>
      </c>
      <c r="D2269" s="28">
        <f>C2269/SUM(Data!$J$2:$J$2379)</f>
        <v>0.99709692339486111</v>
      </c>
    </row>
    <row r="2270" spans="1:4" x14ac:dyDescent="0.3">
      <c r="A2270" s="25">
        <v>2269</v>
      </c>
      <c r="B2270" s="25">
        <f>LARGE(Data!$J$2:$J$2379,A2270)</f>
        <v>36</v>
      </c>
      <c r="C2270" s="25">
        <f t="shared" si="35"/>
        <v>1215892</v>
      </c>
      <c r="D2270" s="28">
        <f>C2270/SUM(Data!$J$2:$J$2379)</f>
        <v>0.99712644620779467</v>
      </c>
    </row>
    <row r="2271" spans="1:4" x14ac:dyDescent="0.3">
      <c r="A2271" s="25">
        <v>2270</v>
      </c>
      <c r="B2271" s="25">
        <f>LARGE(Data!$J$2:$J$2379,A2271)</f>
        <v>36</v>
      </c>
      <c r="C2271" s="25">
        <f t="shared" si="35"/>
        <v>1215928</v>
      </c>
      <c r="D2271" s="28">
        <f>C2271/SUM(Data!$J$2:$J$2379)</f>
        <v>0.99715596902072834</v>
      </c>
    </row>
    <row r="2272" spans="1:4" x14ac:dyDescent="0.3">
      <c r="A2272" s="25">
        <v>2271</v>
      </c>
      <c r="B2272" s="25">
        <f>LARGE(Data!$J$2:$J$2379,A2272)</f>
        <v>36</v>
      </c>
      <c r="C2272" s="25">
        <f t="shared" si="35"/>
        <v>1215964</v>
      </c>
      <c r="D2272" s="28">
        <f>C2272/SUM(Data!$J$2:$J$2379)</f>
        <v>0.9971854918336619</v>
      </c>
    </row>
    <row r="2273" spans="1:4" x14ac:dyDescent="0.3">
      <c r="A2273" s="25">
        <v>2272</v>
      </c>
      <c r="B2273" s="25">
        <f>LARGE(Data!$J$2:$J$2379,A2273)</f>
        <v>36</v>
      </c>
      <c r="C2273" s="25">
        <f t="shared" si="35"/>
        <v>1216000</v>
      </c>
      <c r="D2273" s="28">
        <f>C2273/SUM(Data!$J$2:$J$2379)</f>
        <v>0.99721501464659557</v>
      </c>
    </row>
    <row r="2274" spans="1:4" x14ac:dyDescent="0.3">
      <c r="A2274" s="25">
        <v>2273</v>
      </c>
      <c r="B2274" s="25">
        <f>LARGE(Data!$J$2:$J$2379,A2274)</f>
        <v>36</v>
      </c>
      <c r="C2274" s="25">
        <f t="shared" si="35"/>
        <v>1216036</v>
      </c>
      <c r="D2274" s="28">
        <f>C2274/SUM(Data!$J$2:$J$2379)</f>
        <v>0.99724453745952912</v>
      </c>
    </row>
    <row r="2275" spans="1:4" x14ac:dyDescent="0.3">
      <c r="A2275" s="25">
        <v>2274</v>
      </c>
      <c r="B2275" s="25">
        <f>LARGE(Data!$J$2:$J$2379,A2275)</f>
        <v>36</v>
      </c>
      <c r="C2275" s="25">
        <f t="shared" si="35"/>
        <v>1216072</v>
      </c>
      <c r="D2275" s="28">
        <f>C2275/SUM(Data!$J$2:$J$2379)</f>
        <v>0.99727406027246279</v>
      </c>
    </row>
    <row r="2276" spans="1:4" x14ac:dyDescent="0.3">
      <c r="A2276" s="25">
        <v>2275</v>
      </c>
      <c r="B2276" s="25">
        <f>LARGE(Data!$J$2:$J$2379,A2276)</f>
        <v>36</v>
      </c>
      <c r="C2276" s="25">
        <f t="shared" si="35"/>
        <v>1216108</v>
      </c>
      <c r="D2276" s="28">
        <f>C2276/SUM(Data!$J$2:$J$2379)</f>
        <v>0.99730358308539635</v>
      </c>
    </row>
    <row r="2277" spans="1:4" x14ac:dyDescent="0.3">
      <c r="A2277" s="25">
        <v>2276</v>
      </c>
      <c r="B2277" s="25">
        <f>LARGE(Data!$J$2:$J$2379,A2277)</f>
        <v>36</v>
      </c>
      <c r="C2277" s="25">
        <f t="shared" si="35"/>
        <v>1216144</v>
      </c>
      <c r="D2277" s="28">
        <f>C2277/SUM(Data!$J$2:$J$2379)</f>
        <v>0.99733310589833002</v>
      </c>
    </row>
    <row r="2278" spans="1:4" x14ac:dyDescent="0.3">
      <c r="A2278" s="25">
        <v>2277</v>
      </c>
      <c r="B2278" s="25">
        <f>LARGE(Data!$J$2:$J$2379,A2278)</f>
        <v>36</v>
      </c>
      <c r="C2278" s="25">
        <f t="shared" si="35"/>
        <v>1216180</v>
      </c>
      <c r="D2278" s="28">
        <f>C2278/SUM(Data!$J$2:$J$2379)</f>
        <v>0.99736262871126358</v>
      </c>
    </row>
    <row r="2279" spans="1:4" x14ac:dyDescent="0.3">
      <c r="A2279" s="25">
        <v>2278</v>
      </c>
      <c r="B2279" s="25">
        <f>LARGE(Data!$J$2:$J$2379,A2279)</f>
        <v>36</v>
      </c>
      <c r="C2279" s="25">
        <f t="shared" si="35"/>
        <v>1216216</v>
      </c>
      <c r="D2279" s="28">
        <f>C2279/SUM(Data!$J$2:$J$2379)</f>
        <v>0.99739215152419725</v>
      </c>
    </row>
    <row r="2280" spans="1:4" x14ac:dyDescent="0.3">
      <c r="A2280" s="25">
        <v>2279</v>
      </c>
      <c r="B2280" s="25">
        <f>LARGE(Data!$J$2:$J$2379,A2280)</f>
        <v>36</v>
      </c>
      <c r="C2280" s="25">
        <f t="shared" si="35"/>
        <v>1216252</v>
      </c>
      <c r="D2280" s="28">
        <f>C2280/SUM(Data!$J$2:$J$2379)</f>
        <v>0.9974216743371308</v>
      </c>
    </row>
    <row r="2281" spans="1:4" x14ac:dyDescent="0.3">
      <c r="A2281" s="25">
        <v>2280</v>
      </c>
      <c r="B2281" s="25">
        <f>LARGE(Data!$J$2:$J$2379,A2281)</f>
        <v>36</v>
      </c>
      <c r="C2281" s="25">
        <f t="shared" si="35"/>
        <v>1216288</v>
      </c>
      <c r="D2281" s="28">
        <f>C2281/SUM(Data!$J$2:$J$2379)</f>
        <v>0.99745119715006447</v>
      </c>
    </row>
    <row r="2282" spans="1:4" x14ac:dyDescent="0.3">
      <c r="A2282" s="25">
        <v>2281</v>
      </c>
      <c r="B2282" s="25">
        <f>LARGE(Data!$J$2:$J$2379,A2282)</f>
        <v>36</v>
      </c>
      <c r="C2282" s="25">
        <f t="shared" si="35"/>
        <v>1216324</v>
      </c>
      <c r="D2282" s="28">
        <f>C2282/SUM(Data!$J$2:$J$2379)</f>
        <v>0.99748071996299803</v>
      </c>
    </row>
    <row r="2283" spans="1:4" x14ac:dyDescent="0.3">
      <c r="A2283" s="25">
        <v>2282</v>
      </c>
      <c r="B2283" s="25">
        <f>LARGE(Data!$J$2:$J$2379,A2283)</f>
        <v>36</v>
      </c>
      <c r="C2283" s="25">
        <f t="shared" si="35"/>
        <v>1216360</v>
      </c>
      <c r="D2283" s="28">
        <f>C2283/SUM(Data!$J$2:$J$2379)</f>
        <v>0.9975102427759317</v>
      </c>
    </row>
    <row r="2284" spans="1:4" x14ac:dyDescent="0.3">
      <c r="A2284" s="25">
        <v>2283</v>
      </c>
      <c r="B2284" s="25">
        <f>LARGE(Data!$J$2:$J$2379,A2284)</f>
        <v>36</v>
      </c>
      <c r="C2284" s="25">
        <f t="shared" si="35"/>
        <v>1216396</v>
      </c>
      <c r="D2284" s="28">
        <f>C2284/SUM(Data!$J$2:$J$2379)</f>
        <v>0.99753976558886526</v>
      </c>
    </row>
    <row r="2285" spans="1:4" x14ac:dyDescent="0.3">
      <c r="A2285" s="25">
        <v>2284</v>
      </c>
      <c r="B2285" s="25">
        <f>LARGE(Data!$J$2:$J$2379,A2285)</f>
        <v>36</v>
      </c>
      <c r="C2285" s="25">
        <f t="shared" si="35"/>
        <v>1216432</v>
      </c>
      <c r="D2285" s="28">
        <f>C2285/SUM(Data!$J$2:$J$2379)</f>
        <v>0.99756928840179893</v>
      </c>
    </row>
    <row r="2286" spans="1:4" x14ac:dyDescent="0.3">
      <c r="A2286" s="25">
        <v>2285</v>
      </c>
      <c r="B2286" s="25">
        <f>LARGE(Data!$J$2:$J$2379,A2286)</f>
        <v>36</v>
      </c>
      <c r="C2286" s="25">
        <f t="shared" si="35"/>
        <v>1216468</v>
      </c>
      <c r="D2286" s="28">
        <f>C2286/SUM(Data!$J$2:$J$2379)</f>
        <v>0.99759881121473259</v>
      </c>
    </row>
    <row r="2287" spans="1:4" x14ac:dyDescent="0.3">
      <c r="A2287" s="25">
        <v>2286</v>
      </c>
      <c r="B2287" s="25">
        <f>LARGE(Data!$J$2:$J$2379,A2287)</f>
        <v>36</v>
      </c>
      <c r="C2287" s="25">
        <f t="shared" si="35"/>
        <v>1216504</v>
      </c>
      <c r="D2287" s="28">
        <f>C2287/SUM(Data!$J$2:$J$2379)</f>
        <v>0.99762833402766615</v>
      </c>
    </row>
    <row r="2288" spans="1:4" x14ac:dyDescent="0.3">
      <c r="A2288" s="25">
        <v>2287</v>
      </c>
      <c r="B2288" s="25">
        <f>LARGE(Data!$J$2:$J$2379,A2288)</f>
        <v>36</v>
      </c>
      <c r="C2288" s="25">
        <f t="shared" si="35"/>
        <v>1216540</v>
      </c>
      <c r="D2288" s="28">
        <f>C2288/SUM(Data!$J$2:$J$2379)</f>
        <v>0.99765785684059982</v>
      </c>
    </row>
    <row r="2289" spans="1:4" x14ac:dyDescent="0.3">
      <c r="A2289" s="25">
        <v>2288</v>
      </c>
      <c r="B2289" s="25">
        <f>LARGE(Data!$J$2:$J$2379,A2289)</f>
        <v>36</v>
      </c>
      <c r="C2289" s="25">
        <f t="shared" si="35"/>
        <v>1216576</v>
      </c>
      <c r="D2289" s="28">
        <f>C2289/SUM(Data!$J$2:$J$2379)</f>
        <v>0.99768737965353338</v>
      </c>
    </row>
    <row r="2290" spans="1:4" x14ac:dyDescent="0.3">
      <c r="A2290" s="25">
        <v>2289</v>
      </c>
      <c r="B2290" s="25">
        <f>LARGE(Data!$J$2:$J$2379,A2290)</f>
        <v>36</v>
      </c>
      <c r="C2290" s="25">
        <f t="shared" si="35"/>
        <v>1216612</v>
      </c>
      <c r="D2290" s="28">
        <f>C2290/SUM(Data!$J$2:$J$2379)</f>
        <v>0.99771690246646705</v>
      </c>
    </row>
    <row r="2291" spans="1:4" x14ac:dyDescent="0.3">
      <c r="A2291" s="25">
        <v>2290</v>
      </c>
      <c r="B2291" s="25">
        <f>LARGE(Data!$J$2:$J$2379,A2291)</f>
        <v>36</v>
      </c>
      <c r="C2291" s="25">
        <f t="shared" si="35"/>
        <v>1216648</v>
      </c>
      <c r="D2291" s="28">
        <f>C2291/SUM(Data!$J$2:$J$2379)</f>
        <v>0.99774642527940061</v>
      </c>
    </row>
    <row r="2292" spans="1:4" x14ac:dyDescent="0.3">
      <c r="A2292" s="25">
        <v>2291</v>
      </c>
      <c r="B2292" s="25">
        <f>LARGE(Data!$J$2:$J$2379,A2292)</f>
        <v>36</v>
      </c>
      <c r="C2292" s="25">
        <f t="shared" si="35"/>
        <v>1216684</v>
      </c>
      <c r="D2292" s="28">
        <f>C2292/SUM(Data!$J$2:$J$2379)</f>
        <v>0.99777594809233427</v>
      </c>
    </row>
    <row r="2293" spans="1:4" x14ac:dyDescent="0.3">
      <c r="A2293" s="25">
        <v>2292</v>
      </c>
      <c r="B2293" s="25">
        <f>LARGE(Data!$J$2:$J$2379,A2293)</f>
        <v>36</v>
      </c>
      <c r="C2293" s="25">
        <f t="shared" si="35"/>
        <v>1216720</v>
      </c>
      <c r="D2293" s="28">
        <f>C2293/SUM(Data!$J$2:$J$2379)</f>
        <v>0.99780547090526783</v>
      </c>
    </row>
    <row r="2294" spans="1:4" x14ac:dyDescent="0.3">
      <c r="A2294" s="25">
        <v>2293</v>
      </c>
      <c r="B2294" s="25">
        <f>LARGE(Data!$J$2:$J$2379,A2294)</f>
        <v>36</v>
      </c>
      <c r="C2294" s="25">
        <f t="shared" si="35"/>
        <v>1216756</v>
      </c>
      <c r="D2294" s="28">
        <f>C2294/SUM(Data!$J$2:$J$2379)</f>
        <v>0.9978349937182015</v>
      </c>
    </row>
    <row r="2295" spans="1:4" x14ac:dyDescent="0.3">
      <c r="A2295" s="25">
        <v>2294</v>
      </c>
      <c r="B2295" s="25">
        <f>LARGE(Data!$J$2:$J$2379,A2295)</f>
        <v>36</v>
      </c>
      <c r="C2295" s="25">
        <f t="shared" si="35"/>
        <v>1216792</v>
      </c>
      <c r="D2295" s="28">
        <f>C2295/SUM(Data!$J$2:$J$2379)</f>
        <v>0.99786451653113506</v>
      </c>
    </row>
    <row r="2296" spans="1:4" x14ac:dyDescent="0.3">
      <c r="A2296" s="25">
        <v>2295</v>
      </c>
      <c r="B2296" s="25">
        <f>LARGE(Data!$J$2:$J$2379,A2296)</f>
        <v>36</v>
      </c>
      <c r="C2296" s="25">
        <f t="shared" si="35"/>
        <v>1216828</v>
      </c>
      <c r="D2296" s="28">
        <f>C2296/SUM(Data!$J$2:$J$2379)</f>
        <v>0.99789403934406873</v>
      </c>
    </row>
    <row r="2297" spans="1:4" x14ac:dyDescent="0.3">
      <c r="A2297" s="25">
        <v>2296</v>
      </c>
      <c r="B2297" s="25">
        <f>LARGE(Data!$J$2:$J$2379,A2297)</f>
        <v>36</v>
      </c>
      <c r="C2297" s="25">
        <f t="shared" si="35"/>
        <v>1216864</v>
      </c>
      <c r="D2297" s="28">
        <f>C2297/SUM(Data!$J$2:$J$2379)</f>
        <v>0.99792356215700229</v>
      </c>
    </row>
    <row r="2298" spans="1:4" x14ac:dyDescent="0.3">
      <c r="A2298" s="25">
        <v>2297</v>
      </c>
      <c r="B2298" s="25">
        <f>LARGE(Data!$J$2:$J$2379,A2298)</f>
        <v>36</v>
      </c>
      <c r="C2298" s="25">
        <f t="shared" si="35"/>
        <v>1216900</v>
      </c>
      <c r="D2298" s="28">
        <f>C2298/SUM(Data!$J$2:$J$2379)</f>
        <v>0.99795308496993596</v>
      </c>
    </row>
    <row r="2299" spans="1:4" x14ac:dyDescent="0.3">
      <c r="A2299" s="25">
        <v>2298</v>
      </c>
      <c r="B2299" s="25">
        <f>LARGE(Data!$J$2:$J$2379,A2299)</f>
        <v>36</v>
      </c>
      <c r="C2299" s="25">
        <f t="shared" si="35"/>
        <v>1216936</v>
      </c>
      <c r="D2299" s="28">
        <f>C2299/SUM(Data!$J$2:$J$2379)</f>
        <v>0.99798260778286951</v>
      </c>
    </row>
    <row r="2300" spans="1:4" x14ac:dyDescent="0.3">
      <c r="A2300" s="25">
        <v>2299</v>
      </c>
      <c r="B2300" s="25">
        <f>LARGE(Data!$J$2:$J$2379,A2300)</f>
        <v>36</v>
      </c>
      <c r="C2300" s="25">
        <f t="shared" si="35"/>
        <v>1216972</v>
      </c>
      <c r="D2300" s="28">
        <f>C2300/SUM(Data!$J$2:$J$2379)</f>
        <v>0.99801213059580318</v>
      </c>
    </row>
    <row r="2301" spans="1:4" x14ac:dyDescent="0.3">
      <c r="A2301" s="25">
        <v>2300</v>
      </c>
      <c r="B2301" s="25">
        <f>LARGE(Data!$J$2:$J$2379,A2301)</f>
        <v>36</v>
      </c>
      <c r="C2301" s="25">
        <f t="shared" si="35"/>
        <v>1217008</v>
      </c>
      <c r="D2301" s="28">
        <f>C2301/SUM(Data!$J$2:$J$2379)</f>
        <v>0.99804165340873674</v>
      </c>
    </row>
    <row r="2302" spans="1:4" x14ac:dyDescent="0.3">
      <c r="A2302" s="25">
        <v>2301</v>
      </c>
      <c r="B2302" s="25">
        <f>LARGE(Data!$J$2:$J$2379,A2302)</f>
        <v>36</v>
      </c>
      <c r="C2302" s="25">
        <f t="shared" si="35"/>
        <v>1217044</v>
      </c>
      <c r="D2302" s="28">
        <f>C2302/SUM(Data!$J$2:$J$2379)</f>
        <v>0.99807117622167041</v>
      </c>
    </row>
    <row r="2303" spans="1:4" x14ac:dyDescent="0.3">
      <c r="A2303" s="25">
        <v>2302</v>
      </c>
      <c r="B2303" s="25">
        <f>LARGE(Data!$J$2:$J$2379,A2303)</f>
        <v>36</v>
      </c>
      <c r="C2303" s="25">
        <f t="shared" si="35"/>
        <v>1217080</v>
      </c>
      <c r="D2303" s="28">
        <f>C2303/SUM(Data!$J$2:$J$2379)</f>
        <v>0.99810069903460397</v>
      </c>
    </row>
    <row r="2304" spans="1:4" x14ac:dyDescent="0.3">
      <c r="A2304" s="25">
        <v>2303</v>
      </c>
      <c r="B2304" s="25">
        <f>LARGE(Data!$J$2:$J$2379,A2304)</f>
        <v>36</v>
      </c>
      <c r="C2304" s="25">
        <f t="shared" si="35"/>
        <v>1217116</v>
      </c>
      <c r="D2304" s="28">
        <f>C2304/SUM(Data!$J$2:$J$2379)</f>
        <v>0.99813022184753764</v>
      </c>
    </row>
    <row r="2305" spans="1:4" x14ac:dyDescent="0.3">
      <c r="A2305" s="25">
        <v>2304</v>
      </c>
      <c r="B2305" s="25">
        <f>LARGE(Data!$J$2:$J$2379,A2305)</f>
        <v>36</v>
      </c>
      <c r="C2305" s="25">
        <f t="shared" si="35"/>
        <v>1217152</v>
      </c>
      <c r="D2305" s="28">
        <f>C2305/SUM(Data!$J$2:$J$2379)</f>
        <v>0.9981597446604713</v>
      </c>
    </row>
    <row r="2306" spans="1:4" x14ac:dyDescent="0.3">
      <c r="A2306" s="25">
        <v>2305</v>
      </c>
      <c r="B2306" s="25">
        <f>LARGE(Data!$J$2:$J$2379,A2306)</f>
        <v>36</v>
      </c>
      <c r="C2306" s="25">
        <f t="shared" si="35"/>
        <v>1217188</v>
      </c>
      <c r="D2306" s="28">
        <f>C2306/SUM(Data!$J$2:$J$2379)</f>
        <v>0.99818926747340486</v>
      </c>
    </row>
    <row r="2307" spans="1:4" x14ac:dyDescent="0.3">
      <c r="A2307" s="25">
        <v>2306</v>
      </c>
      <c r="B2307" s="25">
        <f>LARGE(Data!$J$2:$J$2379,A2307)</f>
        <v>36</v>
      </c>
      <c r="C2307" s="25">
        <f t="shared" ref="C2307:C2370" si="36">C2306+B2307</f>
        <v>1217224</v>
      </c>
      <c r="D2307" s="28">
        <f>C2307/SUM(Data!$J$2:$J$2379)</f>
        <v>0.99821879028633853</v>
      </c>
    </row>
    <row r="2308" spans="1:4" x14ac:dyDescent="0.3">
      <c r="A2308" s="25">
        <v>2307</v>
      </c>
      <c r="B2308" s="25">
        <f>LARGE(Data!$J$2:$J$2379,A2308)</f>
        <v>36</v>
      </c>
      <c r="C2308" s="25">
        <f t="shared" si="36"/>
        <v>1217260</v>
      </c>
      <c r="D2308" s="28">
        <f>C2308/SUM(Data!$J$2:$J$2379)</f>
        <v>0.99824831309927209</v>
      </c>
    </row>
    <row r="2309" spans="1:4" x14ac:dyDescent="0.3">
      <c r="A2309" s="25">
        <v>2308</v>
      </c>
      <c r="B2309" s="25">
        <f>LARGE(Data!$J$2:$J$2379,A2309)</f>
        <v>36</v>
      </c>
      <c r="C2309" s="25">
        <f t="shared" si="36"/>
        <v>1217296</v>
      </c>
      <c r="D2309" s="28">
        <f>C2309/SUM(Data!$J$2:$J$2379)</f>
        <v>0.99827783591220576</v>
      </c>
    </row>
    <row r="2310" spans="1:4" x14ac:dyDescent="0.3">
      <c r="A2310" s="25">
        <v>2309</v>
      </c>
      <c r="B2310" s="25">
        <f>LARGE(Data!$J$2:$J$2379,A2310)</f>
        <v>30</v>
      </c>
      <c r="C2310" s="25">
        <f t="shared" si="36"/>
        <v>1217326</v>
      </c>
      <c r="D2310" s="28">
        <f>C2310/SUM(Data!$J$2:$J$2379)</f>
        <v>0.99830243825631704</v>
      </c>
    </row>
    <row r="2311" spans="1:4" x14ac:dyDescent="0.3">
      <c r="A2311" s="25">
        <v>2310</v>
      </c>
      <c r="B2311" s="25">
        <f>LARGE(Data!$J$2:$J$2379,A2311)</f>
        <v>30</v>
      </c>
      <c r="C2311" s="25">
        <f t="shared" si="36"/>
        <v>1217356</v>
      </c>
      <c r="D2311" s="28">
        <f>C2311/SUM(Data!$J$2:$J$2379)</f>
        <v>0.99832704060042843</v>
      </c>
    </row>
    <row r="2312" spans="1:4" x14ac:dyDescent="0.3">
      <c r="A2312" s="25">
        <v>2311</v>
      </c>
      <c r="B2312" s="25">
        <f>LARGE(Data!$J$2:$J$2379,A2312)</f>
        <v>30</v>
      </c>
      <c r="C2312" s="25">
        <f t="shared" si="36"/>
        <v>1217386</v>
      </c>
      <c r="D2312" s="28">
        <f>C2312/SUM(Data!$J$2:$J$2379)</f>
        <v>0.99835164294453971</v>
      </c>
    </row>
    <row r="2313" spans="1:4" x14ac:dyDescent="0.3">
      <c r="A2313" s="25">
        <v>2312</v>
      </c>
      <c r="B2313" s="25">
        <f>LARGE(Data!$J$2:$J$2379,A2313)</f>
        <v>30</v>
      </c>
      <c r="C2313" s="25">
        <f t="shared" si="36"/>
        <v>1217416</v>
      </c>
      <c r="D2313" s="28">
        <f>C2313/SUM(Data!$J$2:$J$2379)</f>
        <v>0.9983762452886511</v>
      </c>
    </row>
    <row r="2314" spans="1:4" x14ac:dyDescent="0.3">
      <c r="A2314" s="25">
        <v>2313</v>
      </c>
      <c r="B2314" s="25">
        <f>LARGE(Data!$J$2:$J$2379,A2314)</f>
        <v>30</v>
      </c>
      <c r="C2314" s="25">
        <f t="shared" si="36"/>
        <v>1217446</v>
      </c>
      <c r="D2314" s="28">
        <f>C2314/SUM(Data!$J$2:$J$2379)</f>
        <v>0.99840084763276249</v>
      </c>
    </row>
    <row r="2315" spans="1:4" x14ac:dyDescent="0.3">
      <c r="A2315" s="25">
        <v>2314</v>
      </c>
      <c r="B2315" s="25">
        <f>LARGE(Data!$J$2:$J$2379,A2315)</f>
        <v>30</v>
      </c>
      <c r="C2315" s="25">
        <f t="shared" si="36"/>
        <v>1217476</v>
      </c>
      <c r="D2315" s="28">
        <f>C2315/SUM(Data!$J$2:$J$2379)</f>
        <v>0.99842544997687377</v>
      </c>
    </row>
    <row r="2316" spans="1:4" x14ac:dyDescent="0.3">
      <c r="A2316" s="25">
        <v>2315</v>
      </c>
      <c r="B2316" s="25">
        <f>LARGE(Data!$J$2:$J$2379,A2316)</f>
        <v>30</v>
      </c>
      <c r="C2316" s="25">
        <f t="shared" si="36"/>
        <v>1217506</v>
      </c>
      <c r="D2316" s="28">
        <f>C2316/SUM(Data!$J$2:$J$2379)</f>
        <v>0.99845005232098516</v>
      </c>
    </row>
    <row r="2317" spans="1:4" x14ac:dyDescent="0.3">
      <c r="A2317" s="25">
        <v>2316</v>
      </c>
      <c r="B2317" s="25">
        <f>LARGE(Data!$J$2:$J$2379,A2317)</f>
        <v>30</v>
      </c>
      <c r="C2317" s="25">
        <f t="shared" si="36"/>
        <v>1217536</v>
      </c>
      <c r="D2317" s="28">
        <f>C2317/SUM(Data!$J$2:$J$2379)</f>
        <v>0.99847465466509644</v>
      </c>
    </row>
    <row r="2318" spans="1:4" x14ac:dyDescent="0.3">
      <c r="A2318" s="25">
        <v>2317</v>
      </c>
      <c r="B2318" s="25">
        <f>LARGE(Data!$J$2:$J$2379,A2318)</f>
        <v>30</v>
      </c>
      <c r="C2318" s="25">
        <f t="shared" si="36"/>
        <v>1217566</v>
      </c>
      <c r="D2318" s="28">
        <f>C2318/SUM(Data!$J$2:$J$2379)</f>
        <v>0.99849925700920783</v>
      </c>
    </row>
    <row r="2319" spans="1:4" x14ac:dyDescent="0.3">
      <c r="A2319" s="25">
        <v>2318</v>
      </c>
      <c r="B2319" s="25">
        <f>LARGE(Data!$J$2:$J$2379,A2319)</f>
        <v>30</v>
      </c>
      <c r="C2319" s="25">
        <f t="shared" si="36"/>
        <v>1217596</v>
      </c>
      <c r="D2319" s="28">
        <f>C2319/SUM(Data!$J$2:$J$2379)</f>
        <v>0.99852385935331922</v>
      </c>
    </row>
    <row r="2320" spans="1:4" x14ac:dyDescent="0.3">
      <c r="A2320" s="25">
        <v>2319</v>
      </c>
      <c r="B2320" s="25">
        <f>LARGE(Data!$J$2:$J$2379,A2320)</f>
        <v>30</v>
      </c>
      <c r="C2320" s="25">
        <f t="shared" si="36"/>
        <v>1217626</v>
      </c>
      <c r="D2320" s="28">
        <f>C2320/SUM(Data!$J$2:$J$2379)</f>
        <v>0.9985484616974305</v>
      </c>
    </row>
    <row r="2321" spans="1:4" x14ac:dyDescent="0.3">
      <c r="A2321" s="25">
        <v>2320</v>
      </c>
      <c r="B2321" s="25">
        <f>LARGE(Data!$J$2:$J$2379,A2321)</f>
        <v>30</v>
      </c>
      <c r="C2321" s="25">
        <f t="shared" si="36"/>
        <v>1217656</v>
      </c>
      <c r="D2321" s="28">
        <f>C2321/SUM(Data!$J$2:$J$2379)</f>
        <v>0.99857306404154189</v>
      </c>
    </row>
    <row r="2322" spans="1:4" x14ac:dyDescent="0.3">
      <c r="A2322" s="25">
        <v>2321</v>
      </c>
      <c r="B2322" s="25">
        <f>LARGE(Data!$J$2:$J$2379,A2322)</f>
        <v>30</v>
      </c>
      <c r="C2322" s="25">
        <f t="shared" si="36"/>
        <v>1217686</v>
      </c>
      <c r="D2322" s="28">
        <f>C2322/SUM(Data!$J$2:$J$2379)</f>
        <v>0.99859766638565317</v>
      </c>
    </row>
    <row r="2323" spans="1:4" x14ac:dyDescent="0.3">
      <c r="A2323" s="25">
        <v>2322</v>
      </c>
      <c r="B2323" s="25">
        <f>LARGE(Data!$J$2:$J$2379,A2323)</f>
        <v>30</v>
      </c>
      <c r="C2323" s="25">
        <f t="shared" si="36"/>
        <v>1217716</v>
      </c>
      <c r="D2323" s="28">
        <f>C2323/SUM(Data!$J$2:$J$2379)</f>
        <v>0.99862226872976456</v>
      </c>
    </row>
    <row r="2324" spans="1:4" x14ac:dyDescent="0.3">
      <c r="A2324" s="25">
        <v>2323</v>
      </c>
      <c r="B2324" s="25">
        <f>LARGE(Data!$J$2:$J$2379,A2324)</f>
        <v>30</v>
      </c>
      <c r="C2324" s="25">
        <f t="shared" si="36"/>
        <v>1217746</v>
      </c>
      <c r="D2324" s="28">
        <f>C2324/SUM(Data!$J$2:$J$2379)</f>
        <v>0.99864687107387595</v>
      </c>
    </row>
    <row r="2325" spans="1:4" x14ac:dyDescent="0.3">
      <c r="A2325" s="25">
        <v>2324</v>
      </c>
      <c r="B2325" s="25">
        <f>LARGE(Data!$J$2:$J$2379,A2325)</f>
        <v>30</v>
      </c>
      <c r="C2325" s="25">
        <f t="shared" si="36"/>
        <v>1217776</v>
      </c>
      <c r="D2325" s="28">
        <f>C2325/SUM(Data!$J$2:$J$2379)</f>
        <v>0.99867147341798723</v>
      </c>
    </row>
    <row r="2326" spans="1:4" x14ac:dyDescent="0.3">
      <c r="A2326" s="25">
        <v>2325</v>
      </c>
      <c r="B2326" s="25">
        <f>LARGE(Data!$J$2:$J$2379,A2326)</f>
        <v>30</v>
      </c>
      <c r="C2326" s="25">
        <f t="shared" si="36"/>
        <v>1217806</v>
      </c>
      <c r="D2326" s="28">
        <f>C2326/SUM(Data!$J$2:$J$2379)</f>
        <v>0.99869607576209862</v>
      </c>
    </row>
    <row r="2327" spans="1:4" x14ac:dyDescent="0.3">
      <c r="A2327" s="25">
        <v>2326</v>
      </c>
      <c r="B2327" s="25">
        <f>LARGE(Data!$J$2:$J$2379,A2327)</f>
        <v>30</v>
      </c>
      <c r="C2327" s="25">
        <f t="shared" si="36"/>
        <v>1217836</v>
      </c>
      <c r="D2327" s="28">
        <f>C2327/SUM(Data!$J$2:$J$2379)</f>
        <v>0.99872067810621001</v>
      </c>
    </row>
    <row r="2328" spans="1:4" x14ac:dyDescent="0.3">
      <c r="A2328" s="25">
        <v>2327</v>
      </c>
      <c r="B2328" s="25">
        <f>LARGE(Data!$J$2:$J$2379,A2328)</f>
        <v>30</v>
      </c>
      <c r="C2328" s="25">
        <f t="shared" si="36"/>
        <v>1217866</v>
      </c>
      <c r="D2328" s="28">
        <f>C2328/SUM(Data!$J$2:$J$2379)</f>
        <v>0.99874528045032129</v>
      </c>
    </row>
    <row r="2329" spans="1:4" x14ac:dyDescent="0.3">
      <c r="A2329" s="25">
        <v>2328</v>
      </c>
      <c r="B2329" s="25">
        <f>LARGE(Data!$J$2:$J$2379,A2329)</f>
        <v>30</v>
      </c>
      <c r="C2329" s="25">
        <f t="shared" si="36"/>
        <v>1217896</v>
      </c>
      <c r="D2329" s="28">
        <f>C2329/SUM(Data!$J$2:$J$2379)</f>
        <v>0.99876988279443268</v>
      </c>
    </row>
    <row r="2330" spans="1:4" x14ac:dyDescent="0.3">
      <c r="A2330" s="25">
        <v>2329</v>
      </c>
      <c r="B2330" s="25">
        <f>LARGE(Data!$J$2:$J$2379,A2330)</f>
        <v>30</v>
      </c>
      <c r="C2330" s="25">
        <f t="shared" si="36"/>
        <v>1217926</v>
      </c>
      <c r="D2330" s="28">
        <f>C2330/SUM(Data!$J$2:$J$2379)</f>
        <v>0.99879448513854396</v>
      </c>
    </row>
    <row r="2331" spans="1:4" x14ac:dyDescent="0.3">
      <c r="A2331" s="25">
        <v>2330</v>
      </c>
      <c r="B2331" s="25">
        <f>LARGE(Data!$J$2:$J$2379,A2331)</f>
        <v>30</v>
      </c>
      <c r="C2331" s="25">
        <f t="shared" si="36"/>
        <v>1217956</v>
      </c>
      <c r="D2331" s="28">
        <f>C2331/SUM(Data!$J$2:$J$2379)</f>
        <v>0.99881908748265535</v>
      </c>
    </row>
    <row r="2332" spans="1:4" x14ac:dyDescent="0.3">
      <c r="A2332" s="25">
        <v>2331</v>
      </c>
      <c r="B2332" s="25">
        <f>LARGE(Data!$J$2:$J$2379,A2332)</f>
        <v>30</v>
      </c>
      <c r="C2332" s="25">
        <f t="shared" si="36"/>
        <v>1217986</v>
      </c>
      <c r="D2332" s="28">
        <f>C2332/SUM(Data!$J$2:$J$2379)</f>
        <v>0.99884368982676675</v>
      </c>
    </row>
    <row r="2333" spans="1:4" x14ac:dyDescent="0.3">
      <c r="A2333" s="25">
        <v>2332</v>
      </c>
      <c r="B2333" s="25">
        <f>LARGE(Data!$J$2:$J$2379,A2333)</f>
        <v>30</v>
      </c>
      <c r="C2333" s="25">
        <f t="shared" si="36"/>
        <v>1218016</v>
      </c>
      <c r="D2333" s="28">
        <f>C2333/SUM(Data!$J$2:$J$2379)</f>
        <v>0.99886829217087802</v>
      </c>
    </row>
    <row r="2334" spans="1:4" x14ac:dyDescent="0.3">
      <c r="A2334" s="25">
        <v>2333</v>
      </c>
      <c r="B2334" s="25">
        <f>LARGE(Data!$J$2:$J$2379,A2334)</f>
        <v>30</v>
      </c>
      <c r="C2334" s="25">
        <f t="shared" si="36"/>
        <v>1218046</v>
      </c>
      <c r="D2334" s="28">
        <f>C2334/SUM(Data!$J$2:$J$2379)</f>
        <v>0.99889289451498942</v>
      </c>
    </row>
    <row r="2335" spans="1:4" x14ac:dyDescent="0.3">
      <c r="A2335" s="25">
        <v>2334</v>
      </c>
      <c r="B2335" s="25">
        <f>LARGE(Data!$J$2:$J$2379,A2335)</f>
        <v>30</v>
      </c>
      <c r="C2335" s="25">
        <f t="shared" si="36"/>
        <v>1218076</v>
      </c>
      <c r="D2335" s="28">
        <f>C2335/SUM(Data!$J$2:$J$2379)</f>
        <v>0.9989174968591007</v>
      </c>
    </row>
    <row r="2336" spans="1:4" x14ac:dyDescent="0.3">
      <c r="A2336" s="25">
        <v>2335</v>
      </c>
      <c r="B2336" s="25">
        <f>LARGE(Data!$J$2:$J$2379,A2336)</f>
        <v>30</v>
      </c>
      <c r="C2336" s="25">
        <f t="shared" si="36"/>
        <v>1218106</v>
      </c>
      <c r="D2336" s="28">
        <f>C2336/SUM(Data!$J$2:$J$2379)</f>
        <v>0.99894209920321209</v>
      </c>
    </row>
    <row r="2337" spans="1:4" x14ac:dyDescent="0.3">
      <c r="A2337" s="25">
        <v>2336</v>
      </c>
      <c r="B2337" s="25">
        <f>LARGE(Data!$J$2:$J$2379,A2337)</f>
        <v>30</v>
      </c>
      <c r="C2337" s="25">
        <f t="shared" si="36"/>
        <v>1218136</v>
      </c>
      <c r="D2337" s="28">
        <f>C2337/SUM(Data!$J$2:$J$2379)</f>
        <v>0.99896670154732348</v>
      </c>
    </row>
    <row r="2338" spans="1:4" x14ac:dyDescent="0.3">
      <c r="A2338" s="25">
        <v>2337</v>
      </c>
      <c r="B2338" s="25">
        <f>LARGE(Data!$J$2:$J$2379,A2338)</f>
        <v>30</v>
      </c>
      <c r="C2338" s="25">
        <f t="shared" si="36"/>
        <v>1218166</v>
      </c>
      <c r="D2338" s="28">
        <f>C2338/SUM(Data!$J$2:$J$2379)</f>
        <v>0.99899130389143476</v>
      </c>
    </row>
    <row r="2339" spans="1:4" x14ac:dyDescent="0.3">
      <c r="A2339" s="25">
        <v>2338</v>
      </c>
      <c r="B2339" s="25">
        <f>LARGE(Data!$J$2:$J$2379,A2339)</f>
        <v>30</v>
      </c>
      <c r="C2339" s="25">
        <f t="shared" si="36"/>
        <v>1218196</v>
      </c>
      <c r="D2339" s="28">
        <f>C2339/SUM(Data!$J$2:$J$2379)</f>
        <v>0.99901590623554615</v>
      </c>
    </row>
    <row r="2340" spans="1:4" x14ac:dyDescent="0.3">
      <c r="A2340" s="25">
        <v>2339</v>
      </c>
      <c r="B2340" s="25">
        <f>LARGE(Data!$J$2:$J$2379,A2340)</f>
        <v>30</v>
      </c>
      <c r="C2340" s="25">
        <f t="shared" si="36"/>
        <v>1218226</v>
      </c>
      <c r="D2340" s="28">
        <f>C2340/SUM(Data!$J$2:$J$2379)</f>
        <v>0.99904050857965743</v>
      </c>
    </row>
    <row r="2341" spans="1:4" x14ac:dyDescent="0.3">
      <c r="A2341" s="25">
        <v>2340</v>
      </c>
      <c r="B2341" s="25">
        <f>LARGE(Data!$J$2:$J$2379,A2341)</f>
        <v>30</v>
      </c>
      <c r="C2341" s="25">
        <f t="shared" si="36"/>
        <v>1218256</v>
      </c>
      <c r="D2341" s="28">
        <f>C2341/SUM(Data!$J$2:$J$2379)</f>
        <v>0.99906511092376882</v>
      </c>
    </row>
    <row r="2342" spans="1:4" x14ac:dyDescent="0.3">
      <c r="A2342" s="25">
        <v>2341</v>
      </c>
      <c r="B2342" s="25">
        <f>LARGE(Data!$J$2:$J$2379,A2342)</f>
        <v>30</v>
      </c>
      <c r="C2342" s="25">
        <f t="shared" si="36"/>
        <v>1218286</v>
      </c>
      <c r="D2342" s="28">
        <f>C2342/SUM(Data!$J$2:$J$2379)</f>
        <v>0.99908971326788021</v>
      </c>
    </row>
    <row r="2343" spans="1:4" x14ac:dyDescent="0.3">
      <c r="A2343" s="25">
        <v>2342</v>
      </c>
      <c r="B2343" s="25">
        <f>LARGE(Data!$J$2:$J$2379,A2343)</f>
        <v>30</v>
      </c>
      <c r="C2343" s="25">
        <f t="shared" si="36"/>
        <v>1218316</v>
      </c>
      <c r="D2343" s="28">
        <f>C2343/SUM(Data!$J$2:$J$2379)</f>
        <v>0.99911431561199149</v>
      </c>
    </row>
    <row r="2344" spans="1:4" x14ac:dyDescent="0.3">
      <c r="A2344" s="25">
        <v>2343</v>
      </c>
      <c r="B2344" s="25">
        <f>LARGE(Data!$J$2:$J$2379,A2344)</f>
        <v>30</v>
      </c>
      <c r="C2344" s="25">
        <f t="shared" si="36"/>
        <v>1218346</v>
      </c>
      <c r="D2344" s="28">
        <f>C2344/SUM(Data!$J$2:$J$2379)</f>
        <v>0.99913891795610288</v>
      </c>
    </row>
    <row r="2345" spans="1:4" x14ac:dyDescent="0.3">
      <c r="A2345" s="25">
        <v>2344</v>
      </c>
      <c r="B2345" s="25">
        <f>LARGE(Data!$J$2:$J$2379,A2345)</f>
        <v>30</v>
      </c>
      <c r="C2345" s="25">
        <f t="shared" si="36"/>
        <v>1218376</v>
      </c>
      <c r="D2345" s="28">
        <f>C2345/SUM(Data!$J$2:$J$2379)</f>
        <v>0.99916352030021416</v>
      </c>
    </row>
    <row r="2346" spans="1:4" x14ac:dyDescent="0.3">
      <c r="A2346" s="25">
        <v>2345</v>
      </c>
      <c r="B2346" s="25">
        <f>LARGE(Data!$J$2:$J$2379,A2346)</f>
        <v>30</v>
      </c>
      <c r="C2346" s="25">
        <f t="shared" si="36"/>
        <v>1218406</v>
      </c>
      <c r="D2346" s="28">
        <f>C2346/SUM(Data!$J$2:$J$2379)</f>
        <v>0.99918812264432555</v>
      </c>
    </row>
    <row r="2347" spans="1:4" x14ac:dyDescent="0.3">
      <c r="A2347" s="25">
        <v>2346</v>
      </c>
      <c r="B2347" s="25">
        <f>LARGE(Data!$J$2:$J$2379,A2347)</f>
        <v>30</v>
      </c>
      <c r="C2347" s="25">
        <f t="shared" si="36"/>
        <v>1218436</v>
      </c>
      <c r="D2347" s="28">
        <f>C2347/SUM(Data!$J$2:$J$2379)</f>
        <v>0.99921272498843694</v>
      </c>
    </row>
    <row r="2348" spans="1:4" x14ac:dyDescent="0.3">
      <c r="A2348" s="25">
        <v>2347</v>
      </c>
      <c r="B2348" s="25">
        <f>LARGE(Data!$J$2:$J$2379,A2348)</f>
        <v>30</v>
      </c>
      <c r="C2348" s="25">
        <f t="shared" si="36"/>
        <v>1218466</v>
      </c>
      <c r="D2348" s="28">
        <f>C2348/SUM(Data!$J$2:$J$2379)</f>
        <v>0.99923732733254822</v>
      </c>
    </row>
    <row r="2349" spans="1:4" x14ac:dyDescent="0.3">
      <c r="A2349" s="25">
        <v>2348</v>
      </c>
      <c r="B2349" s="25">
        <f>LARGE(Data!$J$2:$J$2379,A2349)</f>
        <v>30</v>
      </c>
      <c r="C2349" s="25">
        <f t="shared" si="36"/>
        <v>1218496</v>
      </c>
      <c r="D2349" s="28">
        <f>C2349/SUM(Data!$J$2:$J$2379)</f>
        <v>0.99926192967665961</v>
      </c>
    </row>
    <row r="2350" spans="1:4" x14ac:dyDescent="0.3">
      <c r="A2350" s="25">
        <v>2349</v>
      </c>
      <c r="B2350" s="25">
        <f>LARGE(Data!$J$2:$J$2379,A2350)</f>
        <v>30</v>
      </c>
      <c r="C2350" s="25">
        <f t="shared" si="36"/>
        <v>1218526</v>
      </c>
      <c r="D2350" s="28">
        <f>C2350/SUM(Data!$J$2:$J$2379)</f>
        <v>0.99928653202077089</v>
      </c>
    </row>
    <row r="2351" spans="1:4" x14ac:dyDescent="0.3">
      <c r="A2351" s="25">
        <v>2350</v>
      </c>
      <c r="B2351" s="25">
        <f>LARGE(Data!$J$2:$J$2379,A2351)</f>
        <v>30</v>
      </c>
      <c r="C2351" s="25">
        <f t="shared" si="36"/>
        <v>1218556</v>
      </c>
      <c r="D2351" s="28">
        <f>C2351/SUM(Data!$J$2:$J$2379)</f>
        <v>0.99931113436488228</v>
      </c>
    </row>
    <row r="2352" spans="1:4" x14ac:dyDescent="0.3">
      <c r="A2352" s="25">
        <v>2351</v>
      </c>
      <c r="B2352" s="25">
        <f>LARGE(Data!$J$2:$J$2379,A2352)</f>
        <v>30</v>
      </c>
      <c r="C2352" s="25">
        <f t="shared" si="36"/>
        <v>1218586</v>
      </c>
      <c r="D2352" s="28">
        <f>C2352/SUM(Data!$J$2:$J$2379)</f>
        <v>0.99933573670899367</v>
      </c>
    </row>
    <row r="2353" spans="1:4" x14ac:dyDescent="0.3">
      <c r="A2353" s="25">
        <v>2352</v>
      </c>
      <c r="B2353" s="25">
        <f>LARGE(Data!$J$2:$J$2379,A2353)</f>
        <v>30</v>
      </c>
      <c r="C2353" s="25">
        <f t="shared" si="36"/>
        <v>1218616</v>
      </c>
      <c r="D2353" s="28">
        <f>C2353/SUM(Data!$J$2:$J$2379)</f>
        <v>0.99936033905310495</v>
      </c>
    </row>
    <row r="2354" spans="1:4" x14ac:dyDescent="0.3">
      <c r="A2354" s="25">
        <v>2353</v>
      </c>
      <c r="B2354" s="25">
        <f>LARGE(Data!$J$2:$J$2379,A2354)</f>
        <v>30</v>
      </c>
      <c r="C2354" s="25">
        <f t="shared" si="36"/>
        <v>1218646</v>
      </c>
      <c r="D2354" s="28">
        <f>C2354/SUM(Data!$J$2:$J$2379)</f>
        <v>0.99938494139721634</v>
      </c>
    </row>
    <row r="2355" spans="1:4" x14ac:dyDescent="0.3">
      <c r="A2355" s="25">
        <v>2354</v>
      </c>
      <c r="B2355" s="25">
        <f>LARGE(Data!$J$2:$J$2379,A2355)</f>
        <v>30</v>
      </c>
      <c r="C2355" s="25">
        <f t="shared" si="36"/>
        <v>1218676</v>
      </c>
      <c r="D2355" s="28">
        <f>C2355/SUM(Data!$J$2:$J$2379)</f>
        <v>0.99940954374132762</v>
      </c>
    </row>
    <row r="2356" spans="1:4" x14ac:dyDescent="0.3">
      <c r="A2356" s="25">
        <v>2355</v>
      </c>
      <c r="B2356" s="25">
        <f>LARGE(Data!$J$2:$J$2379,A2356)</f>
        <v>30</v>
      </c>
      <c r="C2356" s="25">
        <f t="shared" si="36"/>
        <v>1218706</v>
      </c>
      <c r="D2356" s="28">
        <f>C2356/SUM(Data!$J$2:$J$2379)</f>
        <v>0.99943414608543901</v>
      </c>
    </row>
    <row r="2357" spans="1:4" x14ac:dyDescent="0.3">
      <c r="A2357" s="25">
        <v>2356</v>
      </c>
      <c r="B2357" s="25">
        <f>LARGE(Data!$J$2:$J$2379,A2357)</f>
        <v>30</v>
      </c>
      <c r="C2357" s="25">
        <f t="shared" si="36"/>
        <v>1218736</v>
      </c>
      <c r="D2357" s="28">
        <f>C2357/SUM(Data!$J$2:$J$2379)</f>
        <v>0.9994587484295504</v>
      </c>
    </row>
    <row r="2358" spans="1:4" x14ac:dyDescent="0.3">
      <c r="A2358" s="25">
        <v>2357</v>
      </c>
      <c r="B2358" s="25">
        <f>LARGE(Data!$J$2:$J$2379,A2358)</f>
        <v>30</v>
      </c>
      <c r="C2358" s="25">
        <f t="shared" si="36"/>
        <v>1218766</v>
      </c>
      <c r="D2358" s="28">
        <f>C2358/SUM(Data!$J$2:$J$2379)</f>
        <v>0.99948335077366168</v>
      </c>
    </row>
    <row r="2359" spans="1:4" x14ac:dyDescent="0.3">
      <c r="A2359" s="25">
        <v>2358</v>
      </c>
      <c r="B2359" s="25">
        <f>LARGE(Data!$J$2:$J$2379,A2359)</f>
        <v>30</v>
      </c>
      <c r="C2359" s="25">
        <f t="shared" si="36"/>
        <v>1218796</v>
      </c>
      <c r="D2359" s="28">
        <f>C2359/SUM(Data!$J$2:$J$2379)</f>
        <v>0.99950795311777307</v>
      </c>
    </row>
    <row r="2360" spans="1:4" x14ac:dyDescent="0.3">
      <c r="A2360" s="25">
        <v>2359</v>
      </c>
      <c r="B2360" s="25">
        <f>LARGE(Data!$J$2:$J$2379,A2360)</f>
        <v>30</v>
      </c>
      <c r="C2360" s="25">
        <f t="shared" si="36"/>
        <v>1218826</v>
      </c>
      <c r="D2360" s="28">
        <f>C2360/SUM(Data!$J$2:$J$2379)</f>
        <v>0.99953255546188435</v>
      </c>
    </row>
    <row r="2361" spans="1:4" x14ac:dyDescent="0.3">
      <c r="A2361" s="25">
        <v>2360</v>
      </c>
      <c r="B2361" s="25">
        <f>LARGE(Data!$J$2:$J$2379,A2361)</f>
        <v>30</v>
      </c>
      <c r="C2361" s="25">
        <f t="shared" si="36"/>
        <v>1218856</v>
      </c>
      <c r="D2361" s="28">
        <f>C2361/SUM(Data!$J$2:$J$2379)</f>
        <v>0.99955715780599574</v>
      </c>
    </row>
    <row r="2362" spans="1:4" x14ac:dyDescent="0.3">
      <c r="A2362" s="25">
        <v>2361</v>
      </c>
      <c r="B2362" s="25">
        <f>LARGE(Data!$J$2:$J$2379,A2362)</f>
        <v>30</v>
      </c>
      <c r="C2362" s="25">
        <f t="shared" si="36"/>
        <v>1218886</v>
      </c>
      <c r="D2362" s="28">
        <f>C2362/SUM(Data!$J$2:$J$2379)</f>
        <v>0.99958176015010713</v>
      </c>
    </row>
    <row r="2363" spans="1:4" x14ac:dyDescent="0.3">
      <c r="A2363" s="25">
        <v>2362</v>
      </c>
      <c r="B2363" s="25">
        <f>LARGE(Data!$J$2:$J$2379,A2363)</f>
        <v>30</v>
      </c>
      <c r="C2363" s="25">
        <f t="shared" si="36"/>
        <v>1218916</v>
      </c>
      <c r="D2363" s="28">
        <f>C2363/SUM(Data!$J$2:$J$2379)</f>
        <v>0.99960636249421841</v>
      </c>
    </row>
    <row r="2364" spans="1:4" x14ac:dyDescent="0.3">
      <c r="A2364" s="25">
        <v>2363</v>
      </c>
      <c r="B2364" s="25">
        <f>LARGE(Data!$J$2:$J$2379,A2364)</f>
        <v>30</v>
      </c>
      <c r="C2364" s="25">
        <f t="shared" si="36"/>
        <v>1218946</v>
      </c>
      <c r="D2364" s="28">
        <f>C2364/SUM(Data!$J$2:$J$2379)</f>
        <v>0.99963096483832981</v>
      </c>
    </row>
    <row r="2365" spans="1:4" x14ac:dyDescent="0.3">
      <c r="A2365" s="25">
        <v>2364</v>
      </c>
      <c r="B2365" s="25">
        <f>LARGE(Data!$J$2:$J$2379,A2365)</f>
        <v>30</v>
      </c>
      <c r="C2365" s="25">
        <f t="shared" si="36"/>
        <v>1218976</v>
      </c>
      <c r="D2365" s="28">
        <f>C2365/SUM(Data!$J$2:$J$2379)</f>
        <v>0.9996555671824412</v>
      </c>
    </row>
    <row r="2366" spans="1:4" x14ac:dyDescent="0.3">
      <c r="A2366" s="25">
        <v>2365</v>
      </c>
      <c r="B2366" s="25">
        <f>LARGE(Data!$J$2:$J$2379,A2366)</f>
        <v>30</v>
      </c>
      <c r="C2366" s="25">
        <f t="shared" si="36"/>
        <v>1219006</v>
      </c>
      <c r="D2366" s="28">
        <f>C2366/SUM(Data!$J$2:$J$2379)</f>
        <v>0.99968016952655248</v>
      </c>
    </row>
    <row r="2367" spans="1:4" x14ac:dyDescent="0.3">
      <c r="A2367" s="25">
        <v>2366</v>
      </c>
      <c r="B2367" s="25">
        <f>LARGE(Data!$J$2:$J$2379,A2367)</f>
        <v>30</v>
      </c>
      <c r="C2367" s="25">
        <f t="shared" si="36"/>
        <v>1219036</v>
      </c>
      <c r="D2367" s="28">
        <f>C2367/SUM(Data!$J$2:$J$2379)</f>
        <v>0.99970477187066387</v>
      </c>
    </row>
    <row r="2368" spans="1:4" x14ac:dyDescent="0.3">
      <c r="A2368" s="25">
        <v>2367</v>
      </c>
      <c r="B2368" s="25">
        <f>LARGE(Data!$J$2:$J$2379,A2368)</f>
        <v>30</v>
      </c>
      <c r="C2368" s="25">
        <f t="shared" si="36"/>
        <v>1219066</v>
      </c>
      <c r="D2368" s="28">
        <f>C2368/SUM(Data!$J$2:$J$2379)</f>
        <v>0.99972937421477515</v>
      </c>
    </row>
    <row r="2369" spans="1:4" x14ac:dyDescent="0.3">
      <c r="A2369" s="25">
        <v>2368</v>
      </c>
      <c r="B2369" s="25">
        <f>LARGE(Data!$J$2:$J$2379,A2369)</f>
        <v>30</v>
      </c>
      <c r="C2369" s="25">
        <f t="shared" si="36"/>
        <v>1219096</v>
      </c>
      <c r="D2369" s="28">
        <f>C2369/SUM(Data!$J$2:$J$2379)</f>
        <v>0.99975397655888654</v>
      </c>
    </row>
    <row r="2370" spans="1:4" x14ac:dyDescent="0.3">
      <c r="A2370" s="25">
        <v>2369</v>
      </c>
      <c r="B2370" s="25">
        <f>LARGE(Data!$J$2:$J$2379,A2370)</f>
        <v>30</v>
      </c>
      <c r="C2370" s="25">
        <f t="shared" si="36"/>
        <v>1219126</v>
      </c>
      <c r="D2370" s="28">
        <f>C2370/SUM(Data!$J$2:$J$2379)</f>
        <v>0.99977857890299793</v>
      </c>
    </row>
    <row r="2371" spans="1:4" x14ac:dyDescent="0.3">
      <c r="A2371" s="25">
        <v>2370</v>
      </c>
      <c r="B2371" s="25">
        <f>LARGE(Data!$J$2:$J$2379,A2371)</f>
        <v>30</v>
      </c>
      <c r="C2371" s="25">
        <f t="shared" ref="C2371:C2434" si="37">C2370+B2371</f>
        <v>1219156</v>
      </c>
      <c r="D2371" s="28">
        <f>C2371/SUM(Data!$J$2:$J$2379)</f>
        <v>0.99980318124710921</v>
      </c>
    </row>
    <row r="2372" spans="1:4" x14ac:dyDescent="0.3">
      <c r="A2372" s="25">
        <v>2371</v>
      </c>
      <c r="B2372" s="25">
        <f>LARGE(Data!$J$2:$J$2379,A2372)</f>
        <v>30</v>
      </c>
      <c r="C2372" s="25">
        <f t="shared" si="37"/>
        <v>1219186</v>
      </c>
      <c r="D2372" s="28">
        <f>C2372/SUM(Data!$J$2:$J$2379)</f>
        <v>0.9998277835912206</v>
      </c>
    </row>
    <row r="2373" spans="1:4" x14ac:dyDescent="0.3">
      <c r="A2373" s="25">
        <v>2372</v>
      </c>
      <c r="B2373" s="25">
        <f>LARGE(Data!$J$2:$J$2379,A2373)</f>
        <v>30</v>
      </c>
      <c r="C2373" s="25">
        <f t="shared" si="37"/>
        <v>1219216</v>
      </c>
      <c r="D2373" s="28">
        <f>C2373/SUM(Data!$J$2:$J$2379)</f>
        <v>0.99985238593533188</v>
      </c>
    </row>
    <row r="2374" spans="1:4" x14ac:dyDescent="0.3">
      <c r="A2374" s="25">
        <v>2373</v>
      </c>
      <c r="B2374" s="25">
        <f>LARGE(Data!$J$2:$J$2379,A2374)</f>
        <v>30</v>
      </c>
      <c r="C2374" s="25">
        <f t="shared" si="37"/>
        <v>1219246</v>
      </c>
      <c r="D2374" s="28">
        <f>C2374/SUM(Data!$J$2:$J$2379)</f>
        <v>0.99987698827944327</v>
      </c>
    </row>
    <row r="2375" spans="1:4" x14ac:dyDescent="0.3">
      <c r="A2375" s="25">
        <v>2374</v>
      </c>
      <c r="B2375" s="25">
        <f>LARGE(Data!$J$2:$J$2379,A2375)</f>
        <v>30</v>
      </c>
      <c r="C2375" s="25">
        <f t="shared" si="37"/>
        <v>1219276</v>
      </c>
      <c r="D2375" s="28">
        <f>C2375/SUM(Data!$J$2:$J$2379)</f>
        <v>0.99990159062355466</v>
      </c>
    </row>
    <row r="2376" spans="1:4" x14ac:dyDescent="0.3">
      <c r="A2376" s="25">
        <v>2375</v>
      </c>
      <c r="B2376" s="25">
        <f>LARGE(Data!$J$2:$J$2379,A2376)</f>
        <v>30</v>
      </c>
      <c r="C2376" s="25">
        <f t="shared" si="37"/>
        <v>1219306</v>
      </c>
      <c r="D2376" s="28">
        <f>C2376/SUM(Data!$J$2:$J$2379)</f>
        <v>0.99992619296766594</v>
      </c>
    </row>
    <row r="2377" spans="1:4" x14ac:dyDescent="0.3">
      <c r="A2377" s="25">
        <v>2376</v>
      </c>
      <c r="B2377" s="25">
        <f>LARGE(Data!$J$2:$J$2379,A2377)</f>
        <v>30</v>
      </c>
      <c r="C2377" s="25">
        <f t="shared" si="37"/>
        <v>1219336</v>
      </c>
      <c r="D2377" s="28">
        <f>C2377/SUM(Data!$J$2:$J$2379)</f>
        <v>0.99995079531177733</v>
      </c>
    </row>
    <row r="2378" spans="1:4" x14ac:dyDescent="0.3">
      <c r="A2378" s="25">
        <v>2377</v>
      </c>
      <c r="B2378" s="25">
        <f>LARGE(Data!$J$2:$J$2379,A2378)</f>
        <v>30</v>
      </c>
      <c r="C2378" s="25">
        <f t="shared" si="37"/>
        <v>1219366</v>
      </c>
      <c r="D2378" s="28">
        <f>C2378/SUM(Data!$J$2:$J$2379)</f>
        <v>0.99997539765588861</v>
      </c>
    </row>
    <row r="2379" spans="1:4" x14ac:dyDescent="0.3">
      <c r="A2379" s="25">
        <v>2378</v>
      </c>
      <c r="B2379" s="25">
        <f>LARGE(Data!$J$2:$J$2379,A2379)</f>
        <v>30</v>
      </c>
      <c r="C2379" s="25">
        <f t="shared" si="37"/>
        <v>1219396</v>
      </c>
      <c r="D2379" s="28">
        <f>C2379/SUM(Data!$J$2:$J$2379)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Data</vt:lpstr>
      <vt:lpstr>Data 1</vt:lpstr>
      <vt:lpstr>Monthly</vt:lpstr>
      <vt:lpstr>Seasonal</vt:lpstr>
      <vt:lpstr>Products</vt:lpstr>
      <vt:lpstr>ABC-XYZ</vt:lpstr>
      <vt:lpstr>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MITTAL</cp:lastModifiedBy>
  <cp:revision>1</cp:revision>
  <dcterms:created xsi:type="dcterms:W3CDTF">2026-10-04T12:22:03Z</dcterms:created>
  <dcterms:modified xsi:type="dcterms:W3CDTF">2026-10-04T13:49:57Z</dcterms:modified>
  <dc:language>en-US</dc:language>
</cp:coreProperties>
</file>